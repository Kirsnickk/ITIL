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https://mapcoid-my.sharepoint.com/personal/hieu_phamtrung_map_co_id/Documents/IT/09. Procurement, Payment/Procurement/"/>
    </mc:Choice>
  </mc:AlternateContent>
  <xr:revisionPtr revIDLastSave="0" documentId="8_{DAF2837A-F8CE-466B-97C9-28C0DFB9D80E}" xr6:coauthVersionLast="47" xr6:coauthVersionMax="47" xr10:uidLastSave="{00000000-0000-0000-0000-000000000000}"/>
  <bookViews>
    <workbookView xWindow="-20610" yWindow="-120" windowWidth="19335" windowHeight="11760" xr2:uid="{6196E6DC-FA72-4DFF-BE93-C5935E16A3C8}"/>
  </bookViews>
  <sheets>
    <sheet name="Procurement" sheetId="3" r:id="rId1"/>
    <sheet name="Contract" sheetId="2" r:id="rId2"/>
    <sheet name="Request" sheetId="1" r:id="rId3"/>
    <sheet name="Vendor" sheetId="4" r:id="rId4"/>
  </sheets>
  <definedNames>
    <definedName name="_xlnm._FilterDatabase" localSheetId="2" hidden="1">Request!$A$1:$H$10</definedName>
    <definedName name="_xlnm._FilterDatabase" localSheetId="0" hidden="1">Procurement!$A$1:$AK$410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45" i="3" l="1"/>
  <c r="AB361" i="3"/>
  <c r="AB342" i="3"/>
  <c r="B358" i="3"/>
  <c r="B359" i="3" s="1"/>
  <c r="B360" i="3" s="1"/>
  <c r="B361" i="3" s="1"/>
  <c r="B362" i="3" s="1"/>
  <c r="B363" i="3" s="1"/>
  <c r="B364" i="3" s="1"/>
  <c r="B365" i="3" s="1"/>
  <c r="B366" i="3" s="1"/>
  <c r="B367" i="3" s="1"/>
  <c r="B368" i="3" s="1"/>
  <c r="B369" i="3" s="1"/>
  <c r="B370" i="3" s="1"/>
  <c r="B371" i="3" s="1"/>
  <c r="B372" i="3" s="1"/>
  <c r="B373" i="3" s="1"/>
  <c r="B374" i="3" s="1"/>
  <c r="B375" i="3" s="1"/>
  <c r="B376" i="3" s="1"/>
  <c r="B377" i="3" s="1"/>
  <c r="B378" i="3" s="1"/>
  <c r="B379" i="3" s="1"/>
  <c r="B380" i="3" s="1"/>
  <c r="B381" i="3" s="1"/>
  <c r="B382" i="3" s="1"/>
  <c r="B383" i="3" s="1"/>
  <c r="B384" i="3" s="1"/>
  <c r="B385" i="3" s="1"/>
  <c r="B386" i="3" s="1"/>
  <c r="B387" i="3" s="1"/>
  <c r="B388" i="3" s="1"/>
  <c r="B389" i="3" s="1"/>
  <c r="B390" i="3" s="1"/>
  <c r="B391" i="3" s="1"/>
  <c r="B392" i="3" s="1"/>
  <c r="B393" i="3" s="1"/>
  <c r="B394" i="3" s="1"/>
  <c r="B395" i="3" s="1"/>
  <c r="B396" i="3" s="1"/>
  <c r="B397" i="3" s="1"/>
  <c r="B398" i="3" s="1"/>
  <c r="B399" i="3" s="1"/>
  <c r="B400" i="3" s="1"/>
  <c r="B401" i="3" s="1"/>
  <c r="B402" i="3" s="1"/>
  <c r="B403" i="3" s="1"/>
  <c r="B404" i="3" s="1"/>
  <c r="B405" i="3" s="1"/>
  <c r="B406" i="3" s="1"/>
  <c r="A5" i="4"/>
  <c r="A7" i="4"/>
  <c r="A9" i="4"/>
  <c r="A6" i="3"/>
  <c r="A7" i="3"/>
  <c r="A8" i="3"/>
  <c r="AD275" i="3"/>
  <c r="AD274" i="3"/>
  <c r="AD273" i="3"/>
  <c r="AD272" i="3"/>
  <c r="AD271" i="3"/>
  <c r="AD270" i="3"/>
  <c r="AD269" i="3"/>
  <c r="M269" i="3"/>
  <c r="AD263" i="3"/>
  <c r="AD262" i="3"/>
  <c r="AD261" i="3"/>
  <c r="AD258" i="3"/>
  <c r="AD257" i="3"/>
  <c r="AD256" i="3"/>
  <c r="AD255" i="3"/>
  <c r="AD254" i="3"/>
  <c r="AD253" i="3"/>
  <c r="A221" i="3"/>
  <c r="A222" i="3" s="1"/>
  <c r="A223" i="3" s="1"/>
  <c r="A210" i="3"/>
  <c r="A211" i="3" s="1"/>
  <c r="A212" i="3" s="1"/>
  <c r="A206" i="3"/>
  <c r="A196" i="3"/>
  <c r="A197" i="3" s="1"/>
  <c r="A198" i="3" s="1"/>
  <c r="A199" i="3" s="1"/>
  <c r="A200" i="3" s="1"/>
  <c r="A201" i="3" s="1"/>
  <c r="A202" i="3" s="1"/>
  <c r="A203" i="3" s="1"/>
  <c r="A204" i="3" s="1"/>
  <c r="A178" i="3"/>
  <c r="A179" i="3" s="1"/>
  <c r="A180" i="3" s="1"/>
  <c r="A181" i="3" s="1"/>
  <c r="A163" i="3"/>
  <c r="A164" i="3" s="1"/>
  <c r="A165" i="3" s="1"/>
  <c r="A166" i="3" s="1"/>
  <c r="A167" i="3" s="1"/>
  <c r="A168" i="3" s="1"/>
  <c r="A169" i="3" s="1"/>
  <c r="A152" i="3"/>
  <c r="A147" i="3"/>
  <c r="A148" i="3" s="1"/>
  <c r="A149" i="3" s="1"/>
  <c r="A150" i="3" s="1"/>
  <c r="AD146" i="3"/>
  <c r="AD140" i="3"/>
  <c r="AD141" i="3"/>
  <c r="AD142" i="3"/>
  <c r="AD143" i="3"/>
  <c r="AD144" i="3"/>
  <c r="AD145" i="3"/>
  <c r="AD127" i="3"/>
  <c r="A127" i="3"/>
  <c r="A128" i="3" s="1"/>
  <c r="A129" i="3" s="1"/>
  <c r="A130" i="3" s="1"/>
  <c r="A131" i="3" s="1"/>
  <c r="A132" i="3" s="1"/>
  <c r="A133" i="3" s="1"/>
  <c r="A134" i="3" s="1"/>
  <c r="A137" i="3" s="1"/>
  <c r="A138" i="3" s="1"/>
  <c r="A139" i="3" s="1"/>
  <c r="A140" i="3" s="1"/>
  <c r="A141" i="3" s="1"/>
  <c r="A142" i="3" s="1"/>
  <c r="A143" i="3" s="1"/>
  <c r="A144" i="3" s="1"/>
  <c r="A145" i="3" s="1"/>
  <c r="AD112" i="3"/>
  <c r="A83" i="3"/>
  <c r="A84" i="3" s="1"/>
  <c r="A85" i="3" s="1"/>
  <c r="A86" i="3" s="1"/>
  <c r="A87" i="3" s="1"/>
  <c r="A88" i="3" s="1"/>
  <c r="A89" i="3" s="1"/>
  <c r="A90"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29" i="1"/>
  <c r="A30" i="1"/>
  <c r="A31" i="1"/>
  <c r="F31" i="1"/>
  <c r="F30" i="1"/>
  <c r="F29" i="1"/>
  <c r="A3" i="4"/>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4" i="1"/>
  <c r="A5" i="1"/>
  <c r="A6" i="1"/>
  <c r="A7" i="1"/>
  <c r="A8" i="1"/>
  <c r="A9" i="1"/>
  <c r="A10" i="1"/>
  <c r="A11" i="1"/>
  <c r="A12" i="1"/>
  <c r="A13" i="1"/>
  <c r="A14" i="1"/>
  <c r="A15" i="1"/>
  <c r="A16" i="1"/>
  <c r="A17" i="1"/>
  <c r="A18" i="1"/>
  <c r="A19" i="1"/>
  <c r="A20" i="1"/>
  <c r="A21" i="1"/>
  <c r="A22" i="1"/>
  <c r="A23" i="1"/>
  <c r="A24" i="1"/>
  <c r="A25" i="1"/>
  <c r="A26" i="1"/>
  <c r="A27" i="1"/>
  <c r="A28" i="1"/>
  <c r="A4" i="2"/>
  <c r="A3" i="2"/>
  <c r="A3" i="1"/>
  <c r="A13" i="4" l="1"/>
  <c r="A14" i="4" s="1"/>
  <c r="A15" i="4" s="1"/>
  <c r="A16" i="4" s="1"/>
  <c r="A17" i="4" s="1"/>
  <c r="A18" i="4" s="1"/>
  <c r="A19" i="4" s="1"/>
  <c r="A20" i="4" s="1"/>
  <c r="A21" i="4" s="1"/>
  <c r="A22" i="4" s="1"/>
  <c r="A23" i="4" s="1"/>
  <c r="A24" i="4" s="1"/>
  <c r="A25" i="4" s="1"/>
  <c r="A26" i="4" s="1"/>
  <c r="A27" i="4" s="1"/>
  <c r="A28" i="4" s="1"/>
  <c r="A29" i="4" s="1"/>
  <c r="A30" i="4" s="1"/>
  <c r="A31" i="4" s="1"/>
  <c r="A34" i="4" s="1"/>
  <c r="A38" i="4" s="1"/>
  <c r="A3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tc={0AB446F2-9C68-45A8-8FA2-7EDC0CCE5F2C}</author>
  </authors>
  <commentList>
    <comment ref="B97" authorId="0" shapeId="0" xr:uid="{0AB446F2-9C68-45A8-8FA2-7EDC0CCE5F2C}">
      <text>
        <t xml:space="preserve">[Threaded comment]
Your version of Excel allows you to read this threaded comment; however, any edits to it will get removed if the file is opened in a newer version of Excel. Learn more: https://go.microsoft.com/fwlink/?linkid=870924
Comment:
    Em chưa scan request, thứ 2 em scan </t>
      </text>
    </comment>
  </commentList>
</comments>
</file>

<file path=xl/sharedStrings.xml><?xml version="1.0" encoding="utf-8"?>
<sst xmlns="http://schemas.openxmlformats.org/spreadsheetml/2006/main" count="3338" uniqueCount="1130">
  <si>
    <t>Quotation</t>
  </si>
  <si>
    <t>Purchasing Request</t>
  </si>
  <si>
    <t>Contract</t>
  </si>
  <si>
    <t>Delivery</t>
  </si>
  <si>
    <t>Handover/Acceptance</t>
  </si>
  <si>
    <t>Tax Invoice</t>
  </si>
  <si>
    <t>Payment Request</t>
  </si>
  <si>
    <t>Payment (from Accounting)</t>
  </si>
  <si>
    <t>Submit supporting documents</t>
  </si>
  <si>
    <t>Remarks</t>
  </si>
  <si>
    <t>No.</t>
  </si>
  <si>
    <t>Purchasing ID</t>
  </si>
  <si>
    <t>PR ID Number</t>
  </si>
  <si>
    <t>Description</t>
  </si>
  <si>
    <t>Country</t>
  </si>
  <si>
    <t>Vendor
(formula)</t>
  </si>
  <si>
    <t>Total Cost (w/o VAT)</t>
  </si>
  <si>
    <t>Total Cost (with VAT)</t>
  </si>
  <si>
    <t>Request for Quotation / Request for Payment</t>
  </si>
  <si>
    <t>Status</t>
  </si>
  <si>
    <t>Softcopy</t>
  </si>
  <si>
    <t>Date</t>
  </si>
  <si>
    <t>Est Date</t>
  </si>
  <si>
    <t>Invoice No</t>
  </si>
  <si>
    <t>Amount (w/o VAT)</t>
  </si>
  <si>
    <t>Payment Cost (with VAT)</t>
  </si>
  <si>
    <t>Remittance</t>
  </si>
  <si>
    <t>Details</t>
  </si>
  <si>
    <t>Template</t>
  </si>
  <si>
    <t>ITP00001</t>
  </si>
  <si>
    <t>POS - Crocs Aeon Mall Sen Sok (Aeon 2)</t>
  </si>
  <si>
    <t>KH</t>
  </si>
  <si>
    <t>DVR Camera Security Co., Ltd (SATATECH)</t>
  </si>
  <si>
    <t>Done</t>
  </si>
  <si>
    <t>Approved</t>
  </si>
  <si>
    <t>ITP00002</t>
  </si>
  <si>
    <t>POS - Crocs Aeon Phnompenh (Aeon 1)</t>
  </si>
  <si>
    <t>ITP00003</t>
  </si>
  <si>
    <t>POS - NB Chip Mong 271 Mega Mall</t>
  </si>
  <si>
    <t>ITP00004</t>
  </si>
  <si>
    <t>POS - New Balance Aeon Phnompenh (Aeon 1)</t>
  </si>
  <si>
    <t>ITP00005</t>
  </si>
  <si>
    <t>POS - Bata Aeon Mean Chey (Aeon 3)</t>
  </si>
  <si>
    <t>- Hardcopy:
Payment Request
- 12/12/2023:
Hardcopy: PR, Quotation, Contract
Printed copy: Handover, Invoice</t>
  </si>
  <si>
    <t>Duplicate paid from POS - New Balance Aeon Phnompenh (Aeon 1)</t>
  </si>
  <si>
    <t>ITP00006</t>
  </si>
  <si>
    <t>FG - Bata Aeon Mean Chey (Aeon 3)
Managed Service 2 Years, 1st Year Advance Payment</t>
  </si>
  <si>
    <t>Proseth Solutions</t>
  </si>
  <si>
    <t>Scheduled</t>
  </si>
  <si>
    <t>- Hardcopy:
Payment Request
- 12/12/2023:
Hardcopy: PR
Printed copy: Quotation, Contract, Invoice</t>
  </si>
  <si>
    <t>Hardcopy of the contract is being kept by Ms. Noch
Submited hardcopy to VN Accountant: Quotation, Payment Request; Handover</t>
  </si>
  <si>
    <t>ITP00007</t>
  </si>
  <si>
    <t>License AutoCAD LT for PnD (Nghia &amp; Son) - 2 licences</t>
  </si>
  <si>
    <t>VN</t>
  </si>
  <si>
    <t>Suntel</t>
  </si>
  <si>
    <t>PUR</t>
  </si>
  <si>
    <t>ITP00008</t>
  </si>
  <si>
    <t>Replace keyboard laptop Lenovo X280 &amp; Rent laptop 1 day (4pcs)</t>
  </si>
  <si>
    <t>Song Nam (SWS)</t>
  </si>
  <si>
    <t>ITP00009</t>
  </si>
  <si>
    <t>Monthly payment (Cambodia) - Internet 8 stores for Nov-2023</t>
  </si>
  <si>
    <t>MekongNet</t>
  </si>
  <si>
    <t>ITP00010</t>
  </si>
  <si>
    <t>Monthly payment (Cambodia) - Printer Rental for Nov-2023</t>
  </si>
  <si>
    <t>Sereyrath Technology</t>
  </si>
  <si>
    <t>ITP00011</t>
  </si>
  <si>
    <t>Monthly payment (Cambodia) - 4G SIM Card for Oct-2023</t>
  </si>
  <si>
    <t>Smart Axiata Co., Ltd</t>
  </si>
  <si>
    <t>ITP00012</t>
  </si>
  <si>
    <t>Cambodia 6 laptops for Office (since the beginning)</t>
  </si>
  <si>
    <t>Reviewed</t>
  </si>
  <si>
    <t>Partial Submit</t>
  </si>
  <si>
    <t>- Hardcopy:
Payment Request
- 12/12/2023:
Hardcopy: PR, Quotation
Printed copy: Handover, Invoice</t>
  </si>
  <si>
    <t>ITP00013</t>
  </si>
  <si>
    <t>Repair power of laptop Lenovo X280 &amp; Laptop Dell Latitude 3520, I5, SSD 256 Gb, Ram 8Gb</t>
  </si>
  <si>
    <t>done</t>
  </si>
  <si>
    <t>ITP00014</t>
  </si>
  <si>
    <t xml:space="preserve">Internet for New Balance Aeon Phnompenh (Aeon 1) </t>
  </si>
  <si>
    <t>ITP00015</t>
  </si>
  <si>
    <t>Rent 4 laptops, Replace keyboard laptop Lenovo X280 (IT Backup), Laptop 3520, I5,SSD 256, Ram 8Gb (Ms.Koni)</t>
  </si>
  <si>
    <t>Partial Approval</t>
  </si>
  <si>
    <t>ITP00016</t>
  </si>
  <si>
    <t>Laptop Hinge repair, SSD Samsung Evo 500Gb (Ms.Maya), Clone disk  (SSD to SSD)- Ms.Maya</t>
  </si>
  <si>
    <t>Pur</t>
  </si>
  <si>
    <t>ITP00017</t>
  </si>
  <si>
    <t>Monthly payment (VN) - Internet  NETNAM MONTH 10/2023 stores KN01,VI03
KN01: 1,430,000 VND (with VAT)
VI03: 1,430,000 VND (with VAT)</t>
  </si>
  <si>
    <t>Netnam</t>
  </si>
  <si>
    <t>DONE</t>
  </si>
  <si>
    <t>ITP00018</t>
  </si>
  <si>
    <t>Displayport to HDMI (0.2M)
Purpose: Use for ZV08 connect KVM at VN27-Outlet Converse Quang Trung</t>
  </si>
  <si>
    <t>Quoted</t>
  </si>
  <si>
    <t>Get Approval</t>
  </si>
  <si>
    <t>ITP00019</t>
  </si>
  <si>
    <t>3 Sim 4G for New Balance: IPH, Nguyen Trai, Crescent Mall (O2O Project)</t>
  </si>
  <si>
    <t>ITP00020</t>
  </si>
  <si>
    <t>Replace printer ink cartridge HP 107A for Foot Locker Lotte Mall HN</t>
  </si>
  <si>
    <t> </t>
  </si>
  <si>
    <t>ITP00021</t>
  </si>
  <si>
    <t>Replace Ink:
The printer HP 1000W-Rookie Takashimaya: 590.000 Vnd
The printer Canon 2900-Converse Phan Van Tri: 180.000 VND</t>
  </si>
  <si>
    <t>ITP00022</t>
  </si>
  <si>
    <t>Cambodia POS &amp; Peripherals for the first 2 stores - Crocs Chip Mong 271 Mega Mall</t>
  </si>
  <si>
    <t>ITP00023</t>
  </si>
  <si>
    <t>Cambodia POS &amp; Peripherals for the first 2 stores - Crocs Aeon Mall Mean Chey (Aeon 3)</t>
  </si>
  <si>
    <t>ITP00024</t>
  </si>
  <si>
    <t>Renew Internet HO - Line NetNam</t>
  </si>
  <si>
    <t>ITP00025</t>
  </si>
  <si>
    <t>Payment Internet Services 10/2023 for VI01 (Smiggle Robin Cresent mall)</t>
  </si>
  <si>
    <t>New Life (ACT)</t>
  </si>
  <si>
    <t>ITP00026</t>
  </si>
  <si>
    <t>Sales Event (Cambodia)</t>
  </si>
  <si>
    <t>Reviewing</t>
  </si>
  <si>
    <t>8-Dec-2023:
- Hard copy: PR, Quotation, Payment Request
- Printed copy: Handover, Invoice</t>
  </si>
  <si>
    <t>ITP00027</t>
  </si>
  <si>
    <t>Office Bazaar (Cambodia)</t>
  </si>
  <si>
    <t>ITP00028</t>
  </si>
  <si>
    <t>Renew internet Store VN14-Converse Royal City</t>
  </si>
  <si>
    <t>Viettel</t>
  </si>
  <si>
    <t>ITP00029</t>
  </si>
  <si>
    <t>Hub USB 4 Port for store New Balance Hai Phong</t>
  </si>
  <si>
    <t>ITP00030</t>
  </si>
  <si>
    <t>Renew Licesne Teamviewer Coporate Subscription-1 year</t>
  </si>
  <si>
    <t>ITP00031</t>
  </si>
  <si>
    <t>New purchase Tplink 4P 6400R and Sim Mobifone 4G 500Gb/Month/11Months for VI05 and VR05 (Popup Lotte Lieu Giai)</t>
  </si>
  <si>
    <t>ITP00032</t>
  </si>
  <si>
    <t>Recover data for Linh ME (linh.ngocmy) + repair IT backup laptops  lenovo x280 &amp; E490</t>
  </si>
  <si>
    <t>ITP00033</t>
  </si>
  <si>
    <t>Monthly payment (Cambodia) - 4G SIM Card for Nov-2023</t>
  </si>
  <si>
    <t>8-Dec-2023:
- Hard copy: Payment Request
- Printed copy: Invoice</t>
  </si>
  <si>
    <t>ITP00034</t>
  </si>
  <si>
    <t>Monthly payment (Cambodia) - Internet 8 stores for Dec-2023</t>
  </si>
  <si>
    <t>ITP00035</t>
  </si>
  <si>
    <t>Monthly payment (Cambodia) - Printer Rental for Dec-2023</t>
  </si>
  <si>
    <t>ITP00036</t>
  </si>
  <si>
    <t>Monthly payment (VN) - Internet  NETNAM MONTH 11/2023 stores KN01,VI03
KN01: 1,430,000 VND (with VAT)
VI03: 1,430,000 VND (with VAT)</t>
  </si>
  <si>
    <t>ITP00037</t>
  </si>
  <si>
    <t>For Mr. Darryl:
1. Ugreen 80133 10 trong 1 
2. Switch HDMI 2 ra 1 UGREEN CM217
3. Cáp HDMI-HDMI 1.5m</t>
  </si>
  <si>
    <t>ITP00038</t>
  </si>
  <si>
    <t>Trend Micro (110 lics) &amp; FortiZTNA (58 lics)</t>
  </si>
  <si>
    <t>MII</t>
  </si>
  <si>
    <t>- 08/12/2023:
Payment Request, Pur Request, Email, Handover (on Indo), Invoice, Quotation
- 13/12/2023: TrendMicro - Approval Cover Page (printed), Contract (hard)</t>
  </si>
  <si>
    <t>TrendMicro:  2,319.90 (with VAT)</t>
  </si>
  <si>
    <t>FortiZTNA:  1,290.67 (with VAT)</t>
  </si>
  <si>
    <t>Vendor prepare</t>
  </si>
  <si>
    <t>ITP00039</t>
  </si>
  <si>
    <t>New Purchase:
1. Laptop Latitude 5430&amp;License Windows 11 pro - Prepare for chi.tranvukim Brand Division Manger (Foot Locker)
2.SSD 500GB - Samsung Evo 870-Upgrade old mini Pc to prepare in advance for open new stores
3.'Hard Disk Box-IT Tool</t>
  </si>
  <si>
    <t>ITP00040</t>
  </si>
  <si>
    <t>New Purchase: FOR BIRKENSTOCK  DIAMOND &amp; NEWBALACE THẢO ĐIỀN</t>
  </si>
  <si>
    <t>ITP00041
(Thiếu payment)</t>
  </si>
  <si>
    <t>Payment Internet Services 11/2023 for VI01 (Smiggle Robin Cresent mall)</t>
  </si>
  <si>
    <t>ITP00042</t>
  </si>
  <si>
    <t>Renew lic autocad for tra.truongvantin (PnD)</t>
  </si>
  <si>
    <t xml:space="preserve"> </t>
  </si>
  <si>
    <t>ITP00043</t>
  </si>
  <si>
    <t>Replace keyboard laptop for DUONG QUANG MINH TUAN (AM)</t>
  </si>
  <si>
    <t>ITP00044</t>
  </si>
  <si>
    <t>Payment Internet Services 09/2023 for  KN01: 1,430,000 VND (with VAT) BIRKENSTOCK ESTELLA (invoice 4368)</t>
  </si>
  <si>
    <t>ITP00045</t>
  </si>
  <si>
    <t>Monthly payment (Cambodia) - 4G SIM Card for Dec-2023</t>
  </si>
  <si>
    <t>B20240002036</t>
  </si>
  <si>
    <t>03/01/2024:
Payment Request (hard)
Invoice (printed copy)</t>
  </si>
  <si>
    <t>ITP00046</t>
  </si>
  <si>
    <t>Monthly payment (Cambodia) - Internet 8 stores for Jan-2024</t>
  </si>
  <si>
    <t>TIPP2401280</t>
  </si>
  <si>
    <t>ITP00047</t>
  </si>
  <si>
    <t>Monthly payment (Cambodia) - Printer Rental for Jan-2024</t>
  </si>
  <si>
    <t>TI2024-000010</t>
  </si>
  <si>
    <t>ITP00048</t>
  </si>
  <si>
    <t>Monthly payment (VN) - Internet  NETNAM MONTH 12/2023 stores KN01,VI03
KN01: 1,430,000 VND (with VAT)
VI03: 1,430,000 VND (with VAT)</t>
  </si>
  <si>
    <t>1. 21.12.2023
2.  21.12.2023</t>
  </si>
  <si>
    <t>1. 1C23TSG 5638
2. 1C23TSG 5639</t>
  </si>
  <si>
    <t>1. 1,430,000
2. 1,430,000</t>
  </si>
  <si>
    <t>ITP00049
(Thiếu 1 invoice)</t>
  </si>
  <si>
    <t>Monthly payment (VN) - Internet  VIETTEL 
MONTH 11-12/2023 STORE VN14 : 1,760,000 VND</t>
  </si>
  <si>
    <t>ITP00050</t>
  </si>
  <si>
    <t>1.BUY TP-LINK MR6400 ROUTER FOR EVENT STORE VI05-VR05: 1,300,000 VND (w/o VAT)
2.BUY 11 MONTHS 4G DATA MOBI SIM FOR EVENT STORE VI05-VR05: 1,192,000 VND (w/o VAT)
3.HP PRINTER INK REFILL FOR ROOKIE TAKASHIMAYA STORE (VR02): 590,000 VND (w/o VAT)
4.CANON PRINTER INK PUMP FOR PHAN VAN TRI CONVERSE STORE (VN20): 180,000 VND (w/o VAT)</t>
  </si>
  <si>
    <t>1. 06.12.2023
2. 06.12.2023</t>
  </si>
  <si>
    <t>1,2. 1C23TSN_00002728 [Hóa đơn gộp-dòng 1,2]
3,4. 1C23TSN_00002730 [Hóa đơn hộp dòng 3,4]</t>
  </si>
  <si>
    <t>1. 2,741,200
2. 847,000</t>
  </si>
  <si>
    <t>ITP00051</t>
  </si>
  <si>
    <t>1.BỘ NHỚ TRONG CỦA MÁY VI TÍNH KINGSTON 2 RAM 8G D4 -
3200S22 1RX8 SODIMM ( KVR32S22S8/8 )(VC06)
2.MỰC MÁY IN HP ( Footlocker Lotte Mall Ha Noi VO02)
3.MỰC MÁY IN CANON ( vc06 GoldCost Nha Trang)
4.bơm mực store newbalance hải phòng VA03
5.Ram 16GB mua Trang Accounting
RAM 16gb mua cho chị Tuyết Accounting
RAM 8GB CHO THY ACCOUNTING</t>
  </si>
  <si>
    <t>1. 28.12.2023
2. 28.12.2023
3. 28.12.2023,
4. 28.12.2023
5. 28.12.2023</t>
  </si>
  <si>
    <t>1. 1C23TSN_00002910
2. 1C23TSN_00002911
3. 1C23TSN_00002913
4. 1C23TSN_00002912
5. 1C23TSN_00002914</t>
  </si>
  <si>
    <t>1. 1.430.000
2. 198.000
3. 198.000
4. 198.000
5. 3.355.000</t>
  </si>
  <si>
    <t>ITP00052</t>
  </si>
  <si>
    <t>1. DisplayPort Cable Unitek 0.2M Y5118DA ( Use for setup ZV08 at VN27 Outlet Converse Quang Trung
2.Samsung SSD 1TB 970 Evo Plus (Upgrade Huynh Ngoc Sơn' Latop )
3.Set up and clone disk (Install Ram for Huynh Ngoc Son's Laptop and Transfer data from old disk to new disk)
4.Sim 4G (Set up O2O for VA06, VA09, VA11)</t>
  </si>
  <si>
    <t>28/12/2023</t>
  </si>
  <si>
    <t>1. 30.10.2023
2. 24.10.2023
3. 24.10.2023
4. 22.09.2023</t>
  </si>
  <si>
    <t>1. 1C23TSN 00002417
2. 1C23TSN_00002358
3. 1C23TSN_00002359
4. 1C23TSN_00002105</t>
  </si>
  <si>
    <t>1. 273,000
2. 1,892,000
3. 540.000
4. 4.290.000</t>
  </si>
  <si>
    <t>ITP00053</t>
  </si>
  <si>
    <t>PAYMENT RENEW INTERNET FOR VNPT STORE VN02 FROM 01/2024-12/2024</t>
  </si>
  <si>
    <t>VNPT</t>
  </si>
  <si>
    <t>1K24TBA 1728</t>
  </si>
  <si>
    <t>ITP00055</t>
  </si>
  <si>
    <t>1. Renew domain mapclub.com.vn
2. Renew domain mapclub.vn</t>
  </si>
  <si>
    <t>Mat Bao</t>
  </si>
  <si>
    <t>C24TMB 7453</t>
  </si>
  <si>
    <t>ITP00056</t>
  </si>
  <si>
    <t>Paymet internet fee and run fiber cable for store New Balance Vincom Thao Dien &amp; Birkenstock Diamond Plaza</t>
  </si>
  <si>
    <t>1. 15-Jan-2024
2. 15-Jan-2024</t>
  </si>
  <si>
    <t>1. 1K24TBA 53611
2. 1K24TBA 53598</t>
  </si>
  <si>
    <t>1. 5,340,000 VND
2. 5,340,000 VND</t>
  </si>
  <si>
    <t>ITP00057</t>
  </si>
  <si>
    <t>PAYMENT  internet month 12/2023 for ACT (District 7) - Vi01 : 649,000 vnd</t>
  </si>
  <si>
    <t>1C24TAT 1228</t>
  </si>
  <si>
    <t>ITP00058</t>
  </si>
  <si>
    <t>PAYMENT  internet month 12/2023 for ACT (District 7) store vc05-vn05-ve05</t>
  </si>
  <si>
    <t>1. 1C24TAT 1681
2. 1C24TAT 1468
3. 1C23TYY 1469</t>
  </si>
  <si>
    <t>1. 590,000 VND
2. 590,000 VND
3. 590,000 VND</t>
  </si>
  <si>
    <t>ITP00059</t>
  </si>
  <si>
    <t>1. Payment reload ink&amp;maintanance printer fee for 2023.
2. Payment rent photocopy device fee for 2023.
3. Payment rent printer device fee for 2023.</t>
  </si>
  <si>
    <t>Greentech</t>
  </si>
  <si>
    <t>1.14.12.2023
2. 14.12.2023
3. 14.12.2023</t>
  </si>
  <si>
    <t>1. 1C23TYY 00001506
2. 1C23TYY 00001507
3. 1C23TYY 00001508</t>
  </si>
  <si>
    <t>1. 7,018,000
2. 6,600,000
3. 16,500,000</t>
  </si>
  <si>
    <t>ITP00060</t>
  </si>
  <si>
    <t>Purchasing request buy 2 ram PC for Le Thanh Duyen Desigher FL</t>
  </si>
  <si>
    <t>28.12.2023</t>
  </si>
  <si>
    <t>C23TSN 2914 *Hóa đơn gộp-dòng số 1</t>
  </si>
  <si>
    <t>ITP00061</t>
  </si>
  <si>
    <t>Peripheral for New Balance and Birken Stock Gold Coast Nha Trang:
1. USB Hub 4 Port 3.0.
2. Power socket lioa 10 port (square type)</t>
  </si>
  <si>
    <t>1. 19-Feb-2024
2. 19-Feb-2024</t>
  </si>
  <si>
    <t>1.1C24TSN  00000299
2. 1C24TSN 00000300</t>
  </si>
  <si>
    <t>1. 440,000 VND
2. 308,000 VND</t>
  </si>
  <si>
    <t>ITP00062</t>
  </si>
  <si>
    <t>Repair 2D scanner QW2100 (4 units), purchase USB cables
Gửi 4 máy, 1 máy hư gãy chân, không sửa được, 3 máy sửa được ( lỗi nguồn, update firmware
MUA 2 dây cáp máy scan  ( kiểm tra :gởi 3 sợi  dây cáp, 1 sợi ok 2 sợi lỗi)</t>
  </si>
  <si>
    <t>1. 1C24TSN_00000303 *Hóa đơn gộp-dòng số 3 
2. 1C24TSN_00000302 *Hóa đơn gộp-dòng số 2</t>
  </si>
  <si>
    <t>1. 1,500,000 VND
2. 600,000 VND</t>
  </si>
  <si>
    <t>ITP00063 (ref to ITP00073 for payment)</t>
  </si>
  <si>
    <t>Paymet internet fee and run fiber cable for store New Balance Vincom Thảo Điền&amp;Bireken Stock Diamond Plaza</t>
  </si>
  <si>
    <t>RVC</t>
  </si>
  <si>
    <t>ITP00064</t>
  </si>
  <si>
    <t>Replace monitor laptop Dell Latitude 5430 - Mr. Huynh Tuan Nhan (SCM)</t>
  </si>
  <si>
    <t>1C24TSN 0000302 *Hóa đơn gộp-dòng số 1</t>
  </si>
  <si>
    <t>Warranty 6 months for the replaced monitor</t>
  </si>
  <si>
    <t>ITP00065 (Canceled)</t>
  </si>
  <si>
    <t>Cambodia Internet for 8 existing stores (12 months)
- Crocs Chip Mong 271 Mega Mall - K702
- Crocs Aeon Mall Mean Chey (Aeon 3) - K703
- NB Chip Mong 271 Mega Mall - NH02
- NB Aeon Mall Mean Chey (Aeon 3) - NH03
- NB Aeon Mall Sen Sok (Aeon 2) - NH04
- Crocs Aeon Mall Sen Sok (Aeon 2) - K704
- Crocs Aeon Phnompenh (Aeon 1) - K705
- New Balance Aeon Phnompenh (Aeon 1) - NH01</t>
  </si>
  <si>
    <t>ITP00066</t>
  </si>
  <si>
    <t>Cambodia Internet for Bata Chip Mong Mega Mall 271 - KV01 (12 months)</t>
  </si>
  <si>
    <t>TIPP2410860</t>
  </si>
  <si>
    <t>- 2/2/2024:
Payment request-hard copy(Approved)
- 05/02/2024:
Purchasing Request - hard copy (Approved)
Invoice (Sokim sent via email)</t>
  </si>
  <si>
    <t>ITP00067 (ref to ITP00084 for 1st month payment)</t>
  </si>
  <si>
    <t>Replace Secondary ILL at VN HO</t>
  </si>
  <si>
    <t>ITP00068</t>
  </si>
  <si>
    <t>Upgrade Ram laptop 8Gb for my.tranthitoan and 4G Sim Card for Event ZV12 (Viettel 1 year)
1. Ram laptop 8Gb for my.tranthitoan
2. 4G Sim Card for Event ZV12</t>
  </si>
  <si>
    <t>1. 1C24TSN_00000301
2. 1C24TSN_00000304</t>
  </si>
  <si>
    <t>1. 650,000 VND
2. 1,400,000 VND</t>
  </si>
  <si>
    <t>ITP00069</t>
  </si>
  <si>
    <t>Laptop repair (Dell Latitude 3520) for Ms. Nghiem Thi Hong Van (Team Merchandise)</t>
  </si>
  <si>
    <t>1C24TSN 00000303 *Hóa đơn gộp-dòng số 1</t>
  </si>
  <si>
    <t>ITP00070</t>
  </si>
  <si>
    <t>Monthly payment (Cambodia) - 4G SIM Card for Jan-2024</t>
  </si>
  <si>
    <t>B20240004879</t>
  </si>
  <si>
    <t>- 2/2/2024
Payment request (hard copy)
- 5/2/2024:
Invoice (Sokim sent via email)</t>
  </si>
  <si>
    <t>ITP00071</t>
  </si>
  <si>
    <t>Monthly payment (Cambodia) - Internet 8 stores for Feb-2024</t>
  </si>
  <si>
    <t>TIPP2411749</t>
  </si>
  <si>
    <t>ITP00072</t>
  </si>
  <si>
    <t>Monthly payment (Cambodia) - Printer Rental for Feb-2024</t>
  </si>
  <si>
    <t>TI2024-000050</t>
  </si>
  <si>
    <t>ITP00073</t>
  </si>
  <si>
    <t>Renew internet (1 year) with new ISP and deply new Internet for new stores:
1. Birkenstock Diamond Plaza (new store)
2. New Balance Vincom Thao Dien (new store)
3. Birken Stock Estella Thao Dien
4. Smiggle Estella Thao Dien
5. Converse Bien Hoa
6. Converse Royal City</t>
  </si>
  <si>
    <t xml:space="preserve">1. 1C24TRV 173
2. C24TRV 174 
3. C24TRV 175
4. C24TRV 176
5. C24TRV 177
6. C24TRV 178 </t>
  </si>
  <si>
    <t>1. 10,700,000 VND
2. 10,700,000 VND
3. 8,200,000 VND
4. 8,200,000 VND
5. 8,200,000 VND
6. 8,200,000 VND</t>
  </si>
  <si>
    <t>2/2/2024:
Payment request (hard copy)
Invoice</t>
  </si>
  <si>
    <t>ITP00074</t>
  </si>
  <si>
    <t>WiFi Assessment and Heatmap at DSV Warehouse</t>
  </si>
  <si>
    <t>FTI (FPT)</t>
  </si>
  <si>
    <t>1K24TAA 00001233</t>
  </si>
  <si>
    <t>ITP00075</t>
  </si>
  <si>
    <t>PAYMENT  internet month 01/2024 for ACT (District 7) - Vi01</t>
  </si>
  <si>
    <t xml:space="preserve">1C24TAT 16698 </t>
  </si>
  <si>
    <t>ITP00076</t>
  </si>
  <si>
    <t>PAYMENT  internet month 12/2023-01/2024 for ACT (District 7)  store vc05-vn05-ve05</t>
  </si>
  <si>
    <t>1. 1C24TAT 17159
2. 1C24TAT 16944
3. 1C23TYY 16943</t>
  </si>
  <si>
    <t>ITP00077</t>
  </si>
  <si>
    <t>Services charge 3G Ezcom 120 Tháng 01/01/2024- tháng 31/01/2024 &amp; cước tạm tính thá ng 2 (0834 259 924-0834 114 990)</t>
  </si>
  <si>
    <t>1.02-Mar-2024</t>
  </si>
  <si>
    <t xml:space="preserve">1. 1K24THA 1876970
2. 1K24THA 1877868 </t>
  </si>
  <si>
    <t>1. 109.091
2. 109.091</t>
  </si>
  <si>
    <t>ITP00078</t>
  </si>
  <si>
    <t>1. On-site Support repair windows and unistall broken SSD disk ZV07
2. Upgrade Ram 16Gb for POS VI02-VR02
3. Repair A4 Printer Canon 3300 for VA04
4. Repair moniter of Lenovo X280 for tram.lengocbich</t>
  </si>
  <si>
    <t>1. 19-Feb-2024
2. 19-Feb-2024
3. 24-Feb-2024
4. 24-Feb-2024</t>
  </si>
  <si>
    <t>1. 1C24TSN 00000303 *Hóa đơn gộp-dòng số 2
2. C24TSN 00000298
3. 1C24TSN_00000345
4. 1C24TSN_00000284</t>
  </si>
  <si>
    <t>1. 500,000 VND
2. 1,200,000 VND
3. 450,000 VND
4. 2,000,000 VND</t>
  </si>
  <si>
    <t>ITP00079</t>
  </si>
  <si>
    <t>Monthly payment (Cambodia) - 4G SIM Card for Feb-2024</t>
  </si>
  <si>
    <t>B20241071565</t>
  </si>
  <si>
    <t>ITP00080</t>
  </si>
  <si>
    <t>Monthly payment (Cambodia) - Internet 8 stores for Mar-2024</t>
  </si>
  <si>
    <t>TIPP2422736</t>
  </si>
  <si>
    <t>ITP00081</t>
  </si>
  <si>
    <t>Monthly payment (Cambodia) - Printer Rental for Mar-2024</t>
  </si>
  <si>
    <t>TI2024-000095</t>
  </si>
  <si>
    <t>ITP00082</t>
  </si>
  <si>
    <t>PAYMENT  internet month 02/2024 for ACT (District 7) - Vi01</t>
  </si>
  <si>
    <t>1C24TAT 31941</t>
  </si>
  <si>
    <t>ITP00083</t>
  </si>
  <si>
    <t>PAYMENT  internet month 02/2024 for ACT (District 7) 3 store UFO (vc05-vn05-ve05)</t>
  </si>
  <si>
    <t>1. 1C24TAT 32388
2. 1C24TAT 32175
3. 1C23TYY 132176</t>
  </si>
  <si>
    <t>ITP00084</t>
  </si>
  <si>
    <t>Payment monthly for the secondary internet leaseline at HO (March-2024)</t>
  </si>
  <si>
    <t>1C24TRV 285</t>
  </si>
  <si>
    <t>ITP00085</t>
  </si>
  <si>
    <t>Payment: Renew domain Converse.vn and Converse.com.vn (From 07/04/2024 to 07/04/2025)</t>
  </si>
  <si>
    <t>PA VN</t>
  </si>
  <si>
    <t>1C24TPA 00042112</t>
  </si>
  <si>
    <t>ITP00086</t>
  </si>
  <si>
    <t>Fortinet SDWAN for Stores, Phase 1 (15 units) and Phase 2 (10 units)</t>
  </si>
  <si>
    <t>Phase 1 &amp; Phase 2 - Deposit</t>
  </si>
  <si>
    <t>(based on contract)</t>
  </si>
  <si>
    <t>Phase 1 (15 units)</t>
  </si>
  <si>
    <t>Phase 2 (10 units)</t>
  </si>
  <si>
    <t>ITP00087</t>
  </si>
  <si>
    <t>Monthly payment (Cambodia) - 4G SIM Card for Mar-2024</t>
  </si>
  <si>
    <t>B20241076372</t>
  </si>
  <si>
    <t>ITP00088</t>
  </si>
  <si>
    <t>Monthly payment (Cambodia) - Internet 8 stores for Apr-2024</t>
  </si>
  <si>
    <t>TIPP2435313</t>
  </si>
  <si>
    <t>ITP00089</t>
  </si>
  <si>
    <t>Monthly payment (Cambodia) - Rental Printer for Apr-2024</t>
  </si>
  <si>
    <t>TI2024-000138</t>
  </si>
  <si>
    <t>ITP00090</t>
  </si>
  <si>
    <t xml:space="preserve">Upgrade Ram 8Gb for Ms.Phung (BM Converse) </t>
  </si>
  <si>
    <t>C24TSN 766</t>
  </si>
  <si>
    <t>ITP00091</t>
  </si>
  <si>
    <t>Claim Internet fee VE05</t>
  </si>
  <si>
    <t>1C24TAT 46082</t>
  </si>
  <si>
    <t>ITP00092</t>
  </si>
  <si>
    <t>Payment monthly for the secondary internet leaseline at HO (April-2024)</t>
  </si>
  <si>
    <t>1C24TRV 410</t>
  </si>
  <si>
    <t>ITP00093</t>
  </si>
  <si>
    <t>Payment internet fee - Viettel (Mar-2024)-PO04</t>
  </si>
  <si>
    <t>1. 1K24DAA 44398956
2. 1K24DAA 62670051
3. 1K24DAA 84658094</t>
  </si>
  <si>
    <t>1. 143,182 VND
2. 184,751 VND
3. 249 VND</t>
  </si>
  <si>
    <t>ITP00094</t>
  </si>
  <si>
    <t>Payment internet fee - ACT: Converse &amp; Champion Crescent Mall (March-2024) - UFO</t>
  </si>
  <si>
    <t>1. 1C24TAT 47800
2. 1C24TAT 47799</t>
  </si>
  <si>
    <t>1. 590,000 VND
2. 590,000 VND</t>
  </si>
  <si>
    <t>ITP00095</t>
  </si>
  <si>
    <t>Payment internete fee - ACT: Smiggle Robin Crescent Mall (March-2024) *MMA</t>
  </si>
  <si>
    <t>C24TAT 47564</t>
  </si>
  <si>
    <t>ITP00096</t>
  </si>
  <si>
    <t>Spare 2D Scanner for Cambodia</t>
  </si>
  <si>
    <t>000029</t>
  </si>
  <si>
    <t>ITP00097</t>
  </si>
  <si>
    <t>Renew Yearly payment FG Managed Service Apr 2024 - X8T4R1:
- Crocs Chip Mong 271 Mega Mall (K702)
- Crocs Aeon Aeon Mean Chey (K703)</t>
  </si>
  <si>
    <t>2024-000319</t>
  </si>
  <si>
    <t>ITP00098</t>
  </si>
  <si>
    <t>Renew Yearly payment FG Managed Service Apr 2024 - D6Q6X0:
- New Balance Chip Mong (NH02)
- New Balance Aeon Mean Chey (NH03)</t>
  </si>
  <si>
    <t>2024-0003122</t>
  </si>
  <si>
    <t>ITP00099</t>
  </si>
  <si>
    <t>Purchasing order: 
1.Reload printer toner for store New Balance Van Hanh Mall 
2. Restore hard drive data for Ms Uyên
3.Clone Data from HDD to SSD (ZV08-Outlet Quang Trung)
4.Upgrade ZV08 outlet Quang Trung
5.Upgrade for VN03-Converse Takashimaya
6.Replace rum and reload printer toner for VO02-Foot Locker West Lake
7.Reload printer toner VN03-Converse Takashimaya
8.Reload printer toner VC04-New Balance GoldCoast 
9.Replace for VN01, the old adapter broken</t>
  </si>
  <si>
    <t>1. 1-Apr-2024
2. 7-May-2024
3. 6-Apr-2024
4. 6-Apr-2024
5. 16-Apr-2024
6. 6-Apr-2024
7. 6-Apr-2024
8. 1-Apr-2024
9. 6-Apr-2024</t>
  </si>
  <si>
    <t>1. 1C24TSN_00000643
2. 1C24TSN_00000910
3. 1C24TSN_00000717
4. 1C24TSN_00000718
5. 1C24TSN_00000766
6. 1C24TSN_00000720
7. 1C24TSN_00000716
8. 1C24TSN_00000644
9. 1C24TSN_00000719</t>
  </si>
  <si>
    <t>1. 180,000
2. 6,500,000
3. 550,000
4. 1,500,000
5. 650,000
6. 600,000
7. 480,000
8. 180,000
9. 700,000</t>
  </si>
  <si>
    <t>ITP00100</t>
  </si>
  <si>
    <t>B20241079379</t>
  </si>
  <si>
    <t>ITP00101</t>
  </si>
  <si>
    <t>TIPP2448091</t>
  </si>
  <si>
    <t>ITP00102</t>
  </si>
  <si>
    <t>TI2024-000180</t>
  </si>
  <si>
    <t>ITP00103</t>
  </si>
  <si>
    <t>Renew Domain .KH 2024 (from 18th May 2023 to 18th May 2024)</t>
  </si>
  <si>
    <t>NDMA Media</t>
  </si>
  <si>
    <t>24-0030</t>
  </si>
  <si>
    <t>ITP00104</t>
  </si>
  <si>
    <t>Laptops for Mr. Darryl and Ms. Uyen
1.Laptop Hp Elite X360 1040 G10 (Core I7-1355u/ 16GB Ram/ 1tb SSD/ Intel Graphics/ 14inch WUXGA Touch/ Webcam/ 3 Cell/ Wlan Ax+Bt/ Fingerprint,Smcard,Nfc,Pen/ Win11 Pro 64/ Silver_876D3PA* - Warranty 03 year) -  (SL:2)
2. Apdater for Laptop Elite X360 - (SL:2)</t>
  </si>
  <si>
    <t>1C24TSN 00000914</t>
  </si>
  <si>
    <t>ITP00105</t>
  </si>
  <si>
    <t>Renew ILL at Office-RVC (May-2024)</t>
  </si>
  <si>
    <t>1C24TRV 531</t>
  </si>
  <si>
    <t>ITP00106</t>
  </si>
  <si>
    <t>Payment internet fee - ACT: Converse&amp;Champion Crescent Mall (April-2024) *Hoàn Vũ</t>
  </si>
  <si>
    <t>1. 1C24TAT 63360
2. 1C24TAT 63361</t>
  </si>
  <si>
    <t xml:space="preserve"> 1. 590,000
 2. 590,000</t>
  </si>
  <si>
    <t>ITP00107</t>
  </si>
  <si>
    <t>Payment internete fee - ACT: Smiggle Robin Crescent Mall (April-2024) *MMA</t>
  </si>
  <si>
    <t>1C24TAT 63138</t>
  </si>
  <si>
    <t>ITP00108</t>
  </si>
  <si>
    <t>1.Renew Internet VN24-Convers Bacu (from 01/06/2024 to 31/12/2024)		
2.Renew Internet VC08 (Champion Aeon Long Bien) -VE04 (New Era Aeon Long Bien)  (from 01/06/2024 to 31/12/2024)
3.Renew Internet VN04 (Converse Aeon Mall Ha Dong) - VE03 (New Era Aeon Ha Dong)</t>
  </si>
  <si>
    <t>1. 1K24TBA 343326
2. 1K24TBA 343370
3. 1K24TBA 343457</t>
  </si>
  <si>
    <t>1. 3,744,000
2. 3,744,000
3. 3,744,000</t>
  </si>
  <si>
    <t xml:space="preserve"> VND 12,355,200 </t>
  </si>
  <si>
    <t>ITP00109</t>
  </si>
  <si>
    <t>Monthly payment (Cambodia) - 4G SIM Card for Apr-2024</t>
  </si>
  <si>
    <t>B20241081341</t>
  </si>
  <si>
    <t>ITP00110</t>
  </si>
  <si>
    <t>Monthly payment (Cambodia) - Internet 8 stores for May-2024</t>
  </si>
  <si>
    <t>TIPP2461492</t>
  </si>
  <si>
    <t>ITP00111</t>
  </si>
  <si>
    <t>Monthly payment (Cambodia) - Rental Printer for May-2024</t>
  </si>
  <si>
    <t>TI2024-000226</t>
  </si>
  <si>
    <t>ITP00112</t>
  </si>
  <si>
    <t>Label paper roll for stores (100 rolls)</t>
  </si>
  <si>
    <t>T.O Group Co. ., Ltd.</t>
  </si>
  <si>
    <t>24-00808</t>
  </si>
  <si>
    <t>ITP00113</t>
  </si>
  <si>
    <t>Payment internet fee - ACT: Converse Crescent Mall (May-2024) *MMA</t>
  </si>
  <si>
    <t>1C24TAT-79022</t>
  </si>
  <si>
    <t>ITP00114</t>
  </si>
  <si>
    <t>Payment internete fee - ACT: Smiggle Robin Crescent Mall (May-2024)*MMA</t>
  </si>
  <si>
    <t>1C24TAT-78802</t>
  </si>
  <si>
    <t>ITP00115</t>
  </si>
  <si>
    <t>O2O NB Nguyen Trai (VA11) &amp; NB Vincom Thao Dien (VA05) - Sim 4G  (sl:2)</t>
  </si>
  <si>
    <t>ITP00116</t>
  </si>
  <si>
    <t>1. O2O New Balance Crescent Mall: 
 - Postek printer (sl: 1)
 - Sim 4G (sl:1)
 2. O2O New Balance Van Hanh Mall: 
 - Postek printer (sl: 1)
 - Sim 4G (sl:1)</t>
  </si>
  <si>
    <t>ITP00117</t>
  </si>
  <si>
    <t>1. SSD Samsung 970 EVO Plus 500GB M2 (linh.lecam)
2. SSD Samsung 970 EVO Plus 500GB M2 (thanh.nguyenphuoc)</t>
  </si>
  <si>
    <t>ITP00118</t>
  </si>
  <si>
    <t>Cambodia 2nd POS &amp; Peripherals for Sale Event</t>
  </si>
  <si>
    <t>000032</t>
  </si>
  <si>
    <t>ITP00119</t>
  </si>
  <si>
    <t xml:space="preserve">Renew office internet (FPT) - 1 year from 21/06/2024 to 20/07/2025 -  Use for wifi guest  </t>
  </si>
  <si>
    <t>FPT</t>
  </si>
  <si>
    <t xml:space="preserve"> VND 6,540,000</t>
  </si>
  <si>
    <t>ITP00120</t>
  </si>
  <si>
    <t>Renew ILL at Office-RVC (July-2024)</t>
  </si>
  <si>
    <t>1C24TRV 772</t>
  </si>
  <si>
    <t>ITP00121</t>
  </si>
  <si>
    <t>Monthly payment (Cambodia) - 4G SIM Card for July-2024</t>
  </si>
  <si>
    <t>ITP00122</t>
  </si>
  <si>
    <t>Monthly payment (Cambodia) - Internet 8 stores for July-2024</t>
  </si>
  <si>
    <t>ITP00123</t>
  </si>
  <si>
    <t>Monthly payment (Cambodia) - Rental Printer for July-2024</t>
  </si>
  <si>
    <t>ITP00124</t>
  </si>
  <si>
    <t>Clean up the air-condition (IT Server room)</t>
  </si>
  <si>
    <t>DG Care</t>
  </si>
  <si>
    <t>ITP00125</t>
  </si>
  <si>
    <t>POS - CROCS PP PRINCE MALL</t>
  </si>
  <si>
    <t>ITP00126</t>
  </si>
  <si>
    <t>FG - CROCS PP PRINCE MALL
Managed Service 2 Years, 1st Year Advance Payment</t>
  </si>
  <si>
    <t>ITP00127</t>
  </si>
  <si>
    <t>Fortinet SDWAN for Stores, Phase 3 (10 units)</t>
  </si>
  <si>
    <t>Phase 3 - Deposit</t>
  </si>
  <si>
    <t>Phase 3 (10 units)</t>
  </si>
  <si>
    <t>ITP00128</t>
  </si>
  <si>
    <t>Cambodia Internet for CROCS PP PRINCE MALL - K706 (12 months)</t>
  </si>
  <si>
    <t>WICAM CORPORATION Ltd</t>
  </si>
  <si>
    <t>L001-100066011</t>
  </si>
  <si>
    <t>17/07/2024</t>
  </si>
  <si>
    <t>ITP00129</t>
  </si>
  <si>
    <t xml:space="preserve">Renew SSL: Comodo Positivessl Wildcard (Converse.vn) 1 year </t>
  </si>
  <si>
    <t>ITP00130</t>
  </si>
  <si>
    <t>ITP00131</t>
  </si>
  <si>
    <t>Renew ILL at Office-RVC (June-2024)</t>
  </si>
  <si>
    <t>1C24TRV 655</t>
  </si>
  <si>
    <t>ITP00132</t>
  </si>
  <si>
    <t>internet payment for New Balance - Crescent mall from 07/2024 to 08/2025</t>
  </si>
  <si>
    <t>ITP00133</t>
  </si>
  <si>
    <t>1. Payment internet fee for Converse Crescent Mall (June-2024)
2. Monthly internet payment for Champion - Crescent Mall (May-2024)</t>
  </si>
  <si>
    <t>`</t>
  </si>
  <si>
    <t>ITP00134</t>
  </si>
  <si>
    <t>Monthly internet payment for Smiggle - Crescent Mall (June-2024)</t>
  </si>
  <si>
    <t>ITP00135</t>
  </si>
  <si>
    <t>Payment internet fee 06/2024 for VN01-Converse Aeon Long Bien</t>
  </si>
  <si>
    <t>ITP00136</t>
  </si>
  <si>
    <t>Renew internet service of VA03-New Balance Aeon mall Hai Phong - From 08/2024 to 09/2025</t>
  </si>
  <si>
    <t>ITP00137</t>
  </si>
  <si>
    <t>Renew ILL FL West Lake - 1 Year (VNPt</t>
  </si>
  <si>
    <t>ITP00138</t>
  </si>
  <si>
    <t>Monthly payment (Cambodia) - 4G SIM Card for August-2024</t>
  </si>
  <si>
    <t>ITP00139</t>
  </si>
  <si>
    <t>Monthly payment (Cambodia) - Internet 8 stores for August-2024</t>
  </si>
  <si>
    <t>ITP00140</t>
  </si>
  <si>
    <t>Monthly payment (Cambodia) - Rental Printer for August-2024</t>
  </si>
  <si>
    <t>ITP00141</t>
  </si>
  <si>
    <t>Payment Star Printer (Radiant) - Crocs U Mall (old name is Crocs PP Prince Mall) 
1. Star Printer SM-L200 (1 year warranty)
2. Star BSC10UD-24 Thermal printer black</t>
  </si>
  <si>
    <t>Radiant</t>
  </si>
  <si>
    <t>ITP00142</t>
  </si>
  <si>
    <t xml:space="preserve">Upgrade SSD for 11 stores (remark: chỉ triển khai 9 stores). </t>
  </si>
  <si>
    <t>ITP00143</t>
  </si>
  <si>
    <t>Renew ILL at Office-RVC (Agu-2024)</t>
  </si>
  <si>
    <t>1C24TRV 927</t>
  </si>
  <si>
    <t>ITP00144</t>
  </si>
  <si>
    <t>1.Payment internet fee July/2024, line Converse Crescent Mall (sgsfs-210413-782)		
2.Payment internet fee July/2024, line Smiggle Crescent Mall (sgsfs-200821-736)</t>
  </si>
  <si>
    <t>ITP00145</t>
  </si>
  <si>
    <t xml:space="preserve">1. Renew internet service of VN07 - Converse Nguyen Trai (asiamma6484098)
2. Renew internet service of VN01 - Converse Aeon Long Bien (asiamma-hanoi)		
3. Renew internet service of VE06 - New Era Diamond Plaza (mma_neweradiamond)		</t>
  </si>
  <si>
    <t>ITP00146</t>
  </si>
  <si>
    <t>1. Gia hạn tên miền ufo.net.vn
2. Gia hạn Email Pro v3 - Pro 2
3. Gia hạn bảo vệ chiều nhận Email - SAP 15</t>
  </si>
  <si>
    <t xml:space="preserve"> 1,917,600 
</t>
  </si>
  <si>
    <t>ITP00147</t>
  </si>
  <si>
    <t>Renew FG Managed Service (FG-40F) for Crocs Aeon Sen Sok (Aeon2)</t>
  </si>
  <si>
    <t>ITP00148</t>
  </si>
  <si>
    <t>Renew FG Managed Service (FG-40F) for NB</t>
  </si>
  <si>
    <t>ITP00149</t>
  </si>
  <si>
    <t>1. Payment refill printer inc for Bata Chip Mong
2.  Payment refill printer inc for Crocs Aeon Phnom Penh</t>
  </si>
  <si>
    <t>ITP00150</t>
  </si>
  <si>
    <t xml:space="preserve">O2O: New Balance Parc Mall, Lotte Q7 and SGC
1. Samsung Tab S6 lite P625 - 2024
2. SIM DATA		
3.Printer Postek iQ200 Bluetooth		</t>
  </si>
  <si>
    <t xml:space="preserve">54,890,000
</t>
  </si>
  <si>
    <t>ITP00151</t>
  </si>
  <si>
    <t>FG Managed Service (FG-40F) for Crocs U Mall (Prince Mall)</t>
  </si>
  <si>
    <t>16/08/2024</t>
  </si>
  <si>
    <t>ITP00152</t>
  </si>
  <si>
    <t>IT equipment for NB Sihanouk</t>
  </si>
  <si>
    <t>ITP00153</t>
  </si>
  <si>
    <t>IT equipment for Crocs Sihanouk</t>
  </si>
  <si>
    <t>ITP00154</t>
  </si>
  <si>
    <t>Monthly payment (Cambodia) - 4G SIM Card for Sep-2024</t>
  </si>
  <si>
    <t>ITP00155</t>
  </si>
  <si>
    <t>Monthly payment (Cambodia) - Internet 8 stores for Sep-2024</t>
  </si>
  <si>
    <t>ITP00156</t>
  </si>
  <si>
    <t>Monthly payment (Cambodia) - Rental Printer for Sep-2024</t>
  </si>
  <si>
    <t>ITP00157</t>
  </si>
  <si>
    <t>Star printer and Bill Printer for Crocs&amp;NB U Mall Sihanouk</t>
  </si>
  <si>
    <t>ITP00158</t>
  </si>
  <si>
    <t xml:space="preserve">Renewal payment request for FG-managed service for store NB Chip Mong 271 Mega Mall </t>
  </si>
  <si>
    <t>ITP00159</t>
  </si>
  <si>
    <t>Payment request for internet new connection NB Prince Mall Sihanouk.</t>
  </si>
  <si>
    <t>Angkor Data</t>
  </si>
  <si>
    <t>ITP00160</t>
  </si>
  <si>
    <t xml:space="preserve">Payment request FG Managed service for NB Prince Mall Sihanouk </t>
  </si>
  <si>
    <t>ITP00161</t>
  </si>
  <si>
    <t xml:space="preserve">Renew RVC internet: 
1. Renew internet service for office (09-Sep-2024)		
2. Pull fiber cable fee for New Balance Parc Mall 		
3. Payment internet fee for New Balacne Parc Mall - From 21-Aug-2024 to 31-Aug-2024		
4. Pull fiber cable fee for New Balance Outlet Quang Trung		
5. Payment internet fee for New Balacne Outlet Quang- From 05-Aug-2024 to 31-Aug-2024		
6. Pull fiber cable fee for New Balance Saigon Center 		
7. Payment internet fee for New Balacne Saigon Center- From 09-Aug-2024 to 31-Aug-2024		
8. Payment internet fee for New Balacne Parc Mall - From 01-Sep-2024 to 30-Sep-2024		
9. Payment internet fee for New Balacne Saigon Center - From 01-Sep-2024 to 30-Sep-2024		
10 .Payment internet fee for New Balacne Outlet Quang Trung - From 01-Sep-2024 to 30-Sep-2024		
</t>
  </si>
  <si>
    <t>ITP00162</t>
  </si>
  <si>
    <t>Renew internet VNPT (Sep-2024)</t>
  </si>
  <si>
    <t>ITP00163</t>
  </si>
  <si>
    <t>ITP00164</t>
  </si>
  <si>
    <t xml:space="preserve">Payment of daily allowance fee for HN business travel - Lean Firewall project (2 days)		
</t>
  </si>
  <si>
    <t>ITP00165</t>
  </si>
  <si>
    <t>Fortigate manage service for Crocs Prince Mall Sihanouk</t>
  </si>
  <si>
    <t>ITP00166</t>
  </si>
  <si>
    <t xml:space="preserve">1. Samsung Evo SSD 500Gb-VN01 (Converse Aeon Long Bien)		
3. Clone Data from HDD to SSD-VN01 (Converse Aeon Long Bien)		
4. Laptop latitude 5430-Repair		
5. Laptop latitude 3520-Repair Power adapter and purchase ram 4G 		</t>
  </si>
  <si>
    <t>ITP00167</t>
  </si>
  <si>
    <t>Refill toner for stores</t>
  </si>
  <si>
    <t>ITP00168</t>
  </si>
  <si>
    <t>1. Sim 4G - Z13 Event Lotte District 7
2. Mouse Logitech (Qty: 3) - Office
3. Keyboard K120 - PO03
4.Mouse B100 - VN12
5. Refill Toner - VN12</t>
  </si>
  <si>
    <t>ITP00169</t>
  </si>
  <si>
    <t>Payment request for internet new connection Crocs Prince Mall Sihanouk. (From 11-Sep to 10-Oct)</t>
  </si>
  <si>
    <t>ITP00170</t>
  </si>
  <si>
    <t>Monthly payment (Cambodia) - 4G SIM Card for Oct-2024</t>
  </si>
  <si>
    <t>ITP00171</t>
  </si>
  <si>
    <t>Monthly payment (Cambodia) - Internet 10 stores for Oct-2024</t>
  </si>
  <si>
    <t>ITP00172</t>
  </si>
  <si>
    <t>ITP00174</t>
  </si>
  <si>
    <t>Purchasing Thermal paper roll (Qty: 100Pcs)</t>
  </si>
  <si>
    <t>ITP00175</t>
  </si>
  <si>
    <t>Transportation to Sihanouk Setup new store Crocs for Sokim</t>
  </si>
  <si>
    <t>ITP00176</t>
  </si>
  <si>
    <t>Monthly payment for ACT (Sep-24): 
1. Monthly payment for Smiggle Crescent Mall (Sep-2024)
2. Monthly payment for Converse Crescent Mall (Sep-2024)</t>
  </si>
  <si>
    <t>ITP00177</t>
  </si>
  <si>
    <t>Monthly payment for VNPT (Sep-24)</t>
  </si>
  <si>
    <t>ITP00178</t>
  </si>
  <si>
    <t>Monthly payment for RVC (Oct-2024)</t>
  </si>
  <si>
    <t>ITP00179</t>
  </si>
  <si>
    <t xml:space="preserve">Yearly renew internet service for FL-West Lake Hn </t>
  </si>
  <si>
    <t>HTC</t>
  </si>
  <si>
    <t>ITP00180</t>
  </si>
  <si>
    <t>1. Renew license UTP for Fortinet 80E (S/n: FGT80ETK18003034) - From 17-Oct-24 to 17-Oct-24
2. Renew license UTP for Fortinet 80E (S/n: FGT80E4Q17014472) - From 15-Aug-24 to 15-Aug-24</t>
  </si>
  <si>
    <t>ITP00181</t>
  </si>
  <si>
    <t>Renew FG-40F For NB Sensok (Aeon 2)</t>
  </si>
  <si>
    <t>ITP00182</t>
  </si>
  <si>
    <t>Refill toner printer HP A4 laser jet - Service Charge</t>
  </si>
  <si>
    <t>ITP00183</t>
  </si>
  <si>
    <t>1.Replace the keyboard - Laptop 3520 (Quan.luonghuu)  ; 2. 
Clean and replace Lenovo 81FV - PF1MDA7C Laptop thermal paste ; 3. Replace the battery for Tansy'' s laptop</t>
  </si>
  <si>
    <t>ITP00184</t>
  </si>
  <si>
    <t xml:space="preserve">1. Buy KVM for VA20 (NB Lotte Q7) 
2. Refill tonner for VE03 </t>
  </si>
  <si>
    <t>ITP00185</t>
  </si>
  <si>
    <t>Monthly payment for ACT (Sep-24): 
1. Monthly payment for Smiggle Crescent Mall (Oct-2024)
2. Monthly payment for Converse Crescent Mall (Oct-2024)
3. Monthly payment for Bk Crescent Mall</t>
  </si>
  <si>
    <t>ITP00186</t>
  </si>
  <si>
    <t>Monthly payment for VNPT (Oct-24)</t>
  </si>
  <si>
    <t>ITP00187</t>
  </si>
  <si>
    <t>ITP00188</t>
  </si>
  <si>
    <t>Monthly payment (Cambodia) - 4G SIM Card for Dec-2024</t>
  </si>
  <si>
    <t>ITP00189</t>
  </si>
  <si>
    <t>Monthly payment (Cambodia) - Internet 10 stores for Dec-2024</t>
  </si>
  <si>
    <t>ITP00190</t>
  </si>
  <si>
    <t>Monthly payment (Cambodia) - Rental Printer for Dec-2024</t>
  </si>
  <si>
    <t>ITP00191</t>
  </si>
  <si>
    <t xml:space="preserve">1.RAM laptop KINGSTON  
     KVR48S40BS8-16 (1 x 16GB) DDR5 4800MHz (anh.nguyenngoclan)		
2.Disk SSD Kingmax  
     M.2 2280 PCIe 512GB PQ3480 (Zeus- Gen3x4)( linh.lengocmy)		</t>
  </si>
  <si>
    <t>ITP00192</t>
  </si>
  <si>
    <t>1. Replace Dell Latitude 3520 screen  for thang.nguyennam
2.Replace Lenovo ThinkPad X280 laptop screen for Foot Locker Suppervisior
3.Replace Lenovo ThinkPad X280 laptop battery for Foot Locker Suppervisior
4.Repair HP ProDesk 400 G3 DM PC power supply for Store VC03                                                          5.Repair HP ProDesk 400 G3 DM PC power supply  for Store VN17</t>
  </si>
  <si>
    <t xml:space="preserve"> VND 	7,448,000</t>
  </si>
  <si>
    <t>ITP00193</t>
  </si>
  <si>
    <t>RJ45 Network Connector</t>
  </si>
  <si>
    <t>ITP00194</t>
  </si>
  <si>
    <t>Monthly payment (Cambodia) - 4G SIM Card for Nov-2024</t>
  </si>
  <si>
    <t>ITP00195</t>
  </si>
  <si>
    <t>Monthly payment (Cambodia) - Internet 10 stores for Nov-2024</t>
  </si>
  <si>
    <t>ITP00196</t>
  </si>
  <si>
    <t>Monthly payment (Cambodia) - Rental Printer for Nov-2024</t>
  </si>
  <si>
    <t>ITP00197</t>
  </si>
  <si>
    <t>Renew FG manage service for Bata Chip Mong from Dec-2024 to Dec-2025</t>
  </si>
  <si>
    <t>ITP00198</t>
  </si>
  <si>
    <t>ITP00199</t>
  </si>
  <si>
    <t>ITP00200</t>
  </si>
  <si>
    <t>ITP00201</t>
  </si>
  <si>
    <t>ITP00202</t>
  </si>
  <si>
    <t>ITP00203</t>
  </si>
  <si>
    <t>ITP00204</t>
  </si>
  <si>
    <t>ITP00205</t>
  </si>
  <si>
    <t>Tranportation POS PC From Office to Bazaar C804</t>
  </si>
  <si>
    <t>ITP00206</t>
  </si>
  <si>
    <t>Grab travel payment at Sihanouk (02-Sep to 05-Sep)</t>
  </si>
  <si>
    <t>ITP00207</t>
  </si>
  <si>
    <t>Montly payment for Converse Crescent Mall (Dec-2024) - ACT</t>
  </si>
  <si>
    <t>ITP00208</t>
  </si>
  <si>
    <t>Monthly payment internet fee for RVC</t>
  </si>
  <si>
    <t>ITP00209</t>
  </si>
  <si>
    <t>Montly payment for Birken Stock Crescent Mall (Dec-2024) - ACT</t>
  </si>
  <si>
    <t>ITP00210</t>
  </si>
  <si>
    <t>Monthly payment for VNPT</t>
  </si>
  <si>
    <t>ITP00211</t>
  </si>
  <si>
    <t>SSD 1TB for thu.nguyenthanhanh</t>
  </si>
  <si>
    <t>ITP00212</t>
  </si>
  <si>
    <t>1 "Dell 3520 laptop repair cost
S.N: 8P9VKG3 and 4Q9VKG3"
right mouse click not working, machine has broken hinge
2 "Dell 3520 laptop repair cost
S.N: DP8VKG3"
missing A-side cap, LCD has vertical stripes on the left (still usable), machine has broken hinge
3 "Dell 3520 laptop repair cost
S.N: 99C2LG3"
machine has broken hinge</t>
  </si>
  <si>
    <t>ITP00213</t>
  </si>
  <si>
    <t>Monthly payment (Cambodia) - 4G SIM Card for Feb-2025</t>
  </si>
  <si>
    <t>ITP00214</t>
  </si>
  <si>
    <t>Monthly payment (Cambodia) - Internet 10 stores for Feb-2025</t>
  </si>
  <si>
    <t>ITP00215</t>
  </si>
  <si>
    <t>Monthly payment (Cambodia) - Rental Printer for Feb-2025</t>
  </si>
  <si>
    <t>ITP00216</t>
  </si>
  <si>
    <t>Fulfilling printing needs VN09</t>
  </si>
  <si>
    <t>13/01/2025</t>
  </si>
  <si>
    <t>ITP00217</t>
  </si>
  <si>
    <t>Sim 4g and Hub usb to lan</t>
  </si>
  <si>
    <t>ITP00218</t>
  </si>
  <si>
    <t>Fulfilling printing needs Vo02</t>
  </si>
  <si>
    <t>25/01/2025</t>
  </si>
  <si>
    <t>ITP00219</t>
  </si>
  <si>
    <t>Monthly payment (Cambodia) - 4G SIM Card for March-2025</t>
  </si>
  <si>
    <t>ITP00220</t>
  </si>
  <si>
    <t>Monthly payment (Cambodia) - Internet 10 stores for March-2025</t>
  </si>
  <si>
    <t>ITP00221</t>
  </si>
  <si>
    <t>Monthly payment (Cambodia) - Rental Printer for March-2025</t>
  </si>
  <si>
    <t>ITP00222</t>
  </si>
  <si>
    <t xml:space="preserve">Purchasing thermal paper </t>
  </si>
  <si>
    <t>ITP00223</t>
  </si>
  <si>
    <t xml:space="preserve">1. "	3 renewal All Apps license for Nov 2024 – Nov 2025  (Adobe)"		
2. Adobe Creative and Adobe Firefly Nov 2023 - Nov 2024 		</t>
  </si>
  <si>
    <t>PT. TEKNO LOGIKA UTAMA</t>
  </si>
  <si>
    <t>ITP00224</t>
  </si>
  <si>
    <t>Renew domain: 
1. Converse.com.vn
2. Converse.vn</t>
  </si>
  <si>
    <t>ITP00225</t>
  </si>
  <si>
    <t>Replace Tonner printer HP (DSV Cam)</t>
  </si>
  <si>
    <t>ITP00226</t>
  </si>
  <si>
    <t>Renew Internet Service for store (RVC) - Feb-2025</t>
  </si>
  <si>
    <t>ITP00227</t>
  </si>
  <si>
    <t>Renew Internet Service for store (ACT) - Feb-2025</t>
  </si>
  <si>
    <t>ITP00228</t>
  </si>
  <si>
    <t>Renew Internet Service for store (VNPT) - Feb-2025</t>
  </si>
  <si>
    <t>ITP00229</t>
  </si>
  <si>
    <t xml:space="preserve">Payment set up BMC for VN </t>
  </si>
  <si>
    <t>P.T. MITRA INTEGRASI INFORMATIKA</t>
  </si>
  <si>
    <t>ITP00230</t>
  </si>
  <si>
    <t>Monthly payment (Cambodia) - 4G SIM Card for Apr-2025</t>
  </si>
  <si>
    <t>ITP00231</t>
  </si>
  <si>
    <t>Monthly payment (Cambodia) - Internet 10 stores for Apr-2025</t>
  </si>
  <si>
    <t>ITP00232</t>
  </si>
  <si>
    <t>Monthly payment (Cambodia) - Rental Printer for Apr-2025</t>
  </si>
  <si>
    <t>ITP00233</t>
  </si>
  <si>
    <t xml:space="preserve">Renew FG manage service for Crocs Aeon Mean Chey </t>
  </si>
  <si>
    <t>ITP00234</t>
  </si>
  <si>
    <t>Renew FG manage service for Crocs Chip Mong</t>
  </si>
  <si>
    <t>ITP00235</t>
  </si>
  <si>
    <t>Monthly renew internet service - ACT</t>
  </si>
  <si>
    <t>ITP00236</t>
  </si>
  <si>
    <t>Renew Internet Service for store (RVC) - Apr-2025</t>
  </si>
  <si>
    <t>ITP00237</t>
  </si>
  <si>
    <t>Renew Internet Service for store (VNPT) - Mar-2025</t>
  </si>
  <si>
    <t>ITP00238</t>
  </si>
  <si>
    <t>Replace ink for VN03</t>
  </si>
  <si>
    <t>21/01/2025</t>
  </si>
  <si>
    <t>ITP00239</t>
  </si>
  <si>
    <t>Ugreenusb 3.0 to ethernet for VN04</t>
  </si>
  <si>
    <t>ITP00240</t>
  </si>
  <si>
    <t>Refill ink for VO02</t>
  </si>
  <si>
    <t>ITP00241</t>
  </si>
  <si>
    <t>Sim 4g</t>
  </si>
  <si>
    <t>ITP00242</t>
  </si>
  <si>
    <t>Logitech b175</t>
  </si>
  <si>
    <t>ITP00243</t>
  </si>
  <si>
    <t>Logitech b100</t>
  </si>
  <si>
    <t>ITP00244</t>
  </si>
  <si>
    <t xml:space="preserve">Upgrade SSD for DSV Cambodia </t>
  </si>
  <si>
    <t>ITP00245</t>
  </si>
  <si>
    <t>ITP00246</t>
  </si>
  <si>
    <t>ITP00247</t>
  </si>
  <si>
    <t>ITP00248</t>
  </si>
  <si>
    <t>ITP00249</t>
  </si>
  <si>
    <t>ITP00250</t>
  </si>
  <si>
    <t>ITP00251</t>
  </si>
  <si>
    <t xml:space="preserve">Renew domain for KH </t>
  </si>
  <si>
    <t>ITP00252</t>
  </si>
  <si>
    <t>New purchase 5 Mini PC &amp; 5 License Win 11 (3 for Sketcher, 1 for New Balance and 1 for Converse Hanoi Center)</t>
  </si>
  <si>
    <t>ITP00253</t>
  </si>
  <si>
    <t>Monthly renew internet service - ACT (May-2025)</t>
  </si>
  <si>
    <t>ITP00254</t>
  </si>
  <si>
    <t>Renew Internet Service for store (RVC) - (May-2025)</t>
  </si>
  <si>
    <t>ITP00255</t>
  </si>
  <si>
    <t>Renew Internet Service for store (VNPT) &amp; 4 Sim Ecom - May-2025</t>
  </si>
  <si>
    <t>ITP00256</t>
  </si>
  <si>
    <t>Replace the printer ink for VN22</t>
  </si>
  <si>
    <t>ITP00257</t>
  </si>
  <si>
    <t>Replace the printer inkf or VO02</t>
  </si>
  <si>
    <t>ITP00258</t>
  </si>
  <si>
    <t>Replace the printer ink for VN09</t>
  </si>
  <si>
    <t>ITP00259</t>
  </si>
  <si>
    <t>ITP00260</t>
  </si>
  <si>
    <t>ITP00261</t>
  </si>
  <si>
    <t xml:space="preserve">Renew License UTP for 19 Stores </t>
  </si>
  <si>
    <t>Aprroved</t>
  </si>
  <si>
    <t>ITP00262</t>
  </si>
  <si>
    <t>ITP00263</t>
  </si>
  <si>
    <t>ITP00264</t>
  </si>
  <si>
    <t>ITP00265</t>
  </si>
  <si>
    <t>Monthly renew internet service - ACT (June-2025)</t>
  </si>
  <si>
    <t>ITP00266</t>
  </si>
  <si>
    <t>Renew Internet Service for store (RVC) - (June-2025)</t>
  </si>
  <si>
    <t>ITP00267</t>
  </si>
  <si>
    <t>Renew Internet Service for store (VNPT) &amp; 4 Sim Ecom - June-2025</t>
  </si>
  <si>
    <t>ITP00268</t>
  </si>
  <si>
    <t>1. Change Tonner for printer K705
2. Repaire prinret for NH01</t>
  </si>
  <si>
    <t>ITP00269</t>
  </si>
  <si>
    <t>Fixxing UPS for K705</t>
  </si>
  <si>
    <t>ITP00270</t>
  </si>
  <si>
    <t>Refill tonner for NH04
Service charge</t>
  </si>
  <si>
    <t>ITP00271</t>
  </si>
  <si>
    <t>ITP00272</t>
  </si>
  <si>
    <t>ITP00273</t>
  </si>
  <si>
    <t>ITP00274</t>
  </si>
  <si>
    <t>New purchase 6 Mini PC &amp; 6 License Win 11 (5 For replacement project + 1 Asics Lotte West Lake )</t>
  </si>
  <si>
    <t>ITP00275</t>
  </si>
  <si>
    <t xml:space="preserve">Domain Renewal – ufo.net.vn (Expires on: 15/09/2025)		
Email Receiving Protection – SAP 15 Renewal – ufo.net.vn (Expires on: 15/09/2025)		
Email Pro v3 – Pro 2 Renewal – ufo.net.vn (Expires on: 15/09/2025)		</t>
  </si>
  <si>
    <t>ITP00276</t>
  </si>
  <si>
    <t xml:space="preserve">Replacement of keyboard for Laptop Dell Latitude 3520, S/N: DL0G7S3	
Replacement of keyboard for Laptop Dell Latitude 5420, S/N: 4DBCZH3	
Replacement of keyboard for Laptop Dell Latitude 5420, S/N: 1BXCZH3	
Replacement of keyboard for Laptop Dell Latitude 5420, S/N: C3KCZH3	
Hinge repair cost for Laptop Dell Latitude 5420, S/N: 1BXCZH3	
Hinge repair cost for Laptop Dell Latitude 5420, S/N: C3KCZH3	</t>
  </si>
  <si>
    <t>ITP00277</t>
  </si>
  <si>
    <t>Renew office internet (FDT) -1 year from 21/07/2025 to 20/08/2026 -Use for wifi guest</t>
  </si>
  <si>
    <t>ITP00278</t>
  </si>
  <si>
    <t>Grab delivery POS system and Peripheral from store closed to Office (K706)</t>
  </si>
  <si>
    <t>ITP00279</t>
  </si>
  <si>
    <t>Refill Toner HP M107A for NB Aeom Phnom Penh
Service Charge</t>
  </si>
  <si>
    <t>ITP00280</t>
  </si>
  <si>
    <t>Refill Toner HP M107A for Crocs Chip Mong 271
Service Charge</t>
  </si>
  <si>
    <t>ITP00281</t>
  </si>
  <si>
    <t>Monthly renew internet service - ACT (Jul-2025)</t>
  </si>
  <si>
    <t>ITP00282</t>
  </si>
  <si>
    <t>Renew Internet Service for store (RVC) - (Jul-2025)</t>
  </si>
  <si>
    <t>ITP00283</t>
  </si>
  <si>
    <t>Renew Internet Service for store (VNPT) &amp; 4 Sim Ecom - Jul-2025</t>
  </si>
  <si>
    <t>ITP00284</t>
  </si>
  <si>
    <t>3041158796
3041158797</t>
  </si>
  <si>
    <t>Purchase device for VO03, VH02, VA19, VN28 (Hanoi central)</t>
  </si>
  <si>
    <t>ITP00285</t>
  </si>
  <si>
    <t>Refill Toner HP M107A for NH01</t>
  </si>
  <si>
    <t>ITP00286</t>
  </si>
  <si>
    <t xml:space="preserve">Extend PositiveSSL Wildcard for converse.vn by 1 year		</t>
  </si>
  <si>
    <t>ITP00287</t>
  </si>
  <si>
    <t xml:space="preserve">New Purchase for new stores (VO03&amp;VH01): 
1. Switch Unifi (SL:1)
2. Unifi AP NANO HD (Pro 6) - SL 3 
3. Máy đọc Zebea (SL:2)
4. Display port to HDMI: 2 </t>
  </si>
  <si>
    <t>vn</t>
  </si>
  <si>
    <t>ITP00288</t>
  </si>
  <si>
    <t>Renew Fortigate Managed Service (FG-40F) for Cros Aeon Sen Sok</t>
  </si>
  <si>
    <t>ITP00289</t>
  </si>
  <si>
    <t>Fortigate Managed Service (FG-40F) for NB Prince Mall Sihanouk_Second year</t>
  </si>
  <si>
    <t>ITP00290</t>
  </si>
  <si>
    <t>Fortigate Managed Service (FG-40F) for Crocs Prince Mall Sihanouk, Second year</t>
  </si>
  <si>
    <t>ITP00291</t>
  </si>
  <si>
    <t>Renew 2 4G SIM cards using for internet backup store and event (01-Sep-25 - 30-Sep-25)</t>
  </si>
  <si>
    <t>ITP00292</t>
  </si>
  <si>
    <t>Office rental Service Printer Canion ir 4525 (01-Sep25 - 30-Sep-25</t>
  </si>
  <si>
    <t>ITP00293</t>
  </si>
  <si>
    <t>Renew Internet connection Crocs Chip Mong (01-Sep-25 - 30-Sep-25)
Renew Internet connection Crocs Aeon Mega Chey (01-Sep-25 - 30-Sep-25)
Renew Internet connection New Balance Aeon Phnom Penh (01-Sep-25 - 30-Sep-25)
Renew Internet connection New Balance Aeon Sok City (01-Sep-25 - 30-Sep-25)
Renew Internet connection New Balance Prince Mall SHV (01-Sep-25 - 30-Sep-25)</t>
  </si>
  <si>
    <t>ITP00294</t>
  </si>
  <si>
    <t xml:space="preserve">Office firewall replacement </t>
  </si>
  <si>
    <t>ITP00295</t>
  </si>
  <si>
    <t>AutoCAD LT commercial single 19/9/2025-20</t>
  </si>
  <si>
    <t>ITP00296</t>
  </si>
  <si>
    <t>Deposite 30% for Lantro - FL project</t>
  </si>
  <si>
    <t>Lantro</t>
  </si>
  <si>
    <t>ITP00297</t>
  </si>
  <si>
    <t>Refill tonner for DSV</t>
  </si>
  <si>
    <t>Kh</t>
  </si>
  <si>
    <t>ITP00298</t>
  </si>
  <si>
    <t>Refill tonner for NH02</t>
  </si>
  <si>
    <t>kh</t>
  </si>
  <si>
    <t>ITP00299</t>
  </si>
  <si>
    <t>Refill tonner for K705</t>
  </si>
  <si>
    <t>ITP00300</t>
  </si>
  <si>
    <t xml:space="preserve">Renew 16 FG UTP </t>
  </si>
  <si>
    <t>ITP00301</t>
  </si>
  <si>
    <t>1) Renew Internet connection Crocs Chip Mong (01-Oct-25 - 30-Oct-25)
2) Renew Internet connection Crocs Aeon Mean Chey (01-Oct-25 - 30-Oct-25)
3) Renew Internet connection New Balance Chip Mong (01-Oct-25 - 30-Oct-25)
4) Renew Internet connection New Balance Aeon Mean Chey (01-Oct-25 - 30-Oct-25)
5) Renew Internet connection New Balance Aeon Sen Sok City (01-Oct-25 - 30-Oct-25)
6) Renew Internet connection Crocs Aeon Sen Sok City (01-Oct-25 - 30-Oct-25)
7) Renew Internet connection Crocs Aeon Phnom Penh City (01-Oct-25 - 30-Oct-25)
8) Renew Internet connection  New Balance Aeon Phnom Penh (01-Oct-25 - 30-Oct-25)
9) Renew Internet connection New Balance Prince Mall SHV (01-Oct-25 - 30-Oct-25)
10) Renew Internet connection Crocs Prince Mall SHV (01-Oct-25 - 30-Oct-25)</t>
  </si>
  <si>
    <t>ITP00302</t>
  </si>
  <si>
    <t>Renew 2 4G SIM cards using for internet backup store and event (01-Oct-25 - 30-Oct-25)</t>
  </si>
  <si>
    <t>ITP00303</t>
  </si>
  <si>
    <t>Office retal service Printer Cannon ir 4525 (01-Oct-25 - 30-Oct-25)</t>
  </si>
  <si>
    <t>ITP00304</t>
  </si>
  <si>
    <t>Refill tonner for VO02</t>
  </si>
  <si>
    <t>ITP00305</t>
  </si>
  <si>
    <t>LiOA 6-outlet power strip with cover, 3m x2 cord – Model 6D32N for VA19, VN28, VH01, VO03</t>
  </si>
  <si>
    <t>ITP00306</t>
  </si>
  <si>
    <t>Replace Dell 3520 laptop battery for dien.tranduy</t>
  </si>
  <si>
    <t>ITP00307</t>
  </si>
  <si>
    <t>Printer System Installation Service for VH02</t>
  </si>
  <si>
    <t>ITP00308</t>
  </si>
  <si>
    <t>Sim 4g for ZV37, ZV34</t>
  </si>
  <si>
    <t>ITP00309</t>
  </si>
  <si>
    <t>UGREEN (20848) Mini DisplayPort to HDMI Cable with Chipset, Black, 1.5m for VO02</t>
  </si>
  <si>
    <t>ITP00310</t>
  </si>
  <si>
    <t>Mouse Ugreen 15063</t>
  </si>
  <si>
    <t>ITP00311</t>
  </si>
  <si>
    <t xml:space="preserve">"IPad Air 13 M3
(IPad Air 13-inch Wi-Fi 128GB - Space Grey)"	</t>
  </si>
  <si>
    <t>Digibox</t>
  </si>
  <si>
    <t>ITP00312</t>
  </si>
  <si>
    <t>Samsung Galaxy Tab S10 FE 5G 8GB 128GB</t>
  </si>
  <si>
    <t>ITP00313</t>
  </si>
  <si>
    <t>Renew Fotigate managed service for Crocs Aeon Pnom Penh &amp; New Balance Aeon Pnom Penh</t>
  </si>
  <si>
    <t>ITP00314</t>
  </si>
  <si>
    <t>Monthly renew internet service - ACT (Sep-2025)</t>
  </si>
  <si>
    <t>ITP00315</t>
  </si>
  <si>
    <t>Renew Internet Service for store (RVC) - (Oct-2025)</t>
  </si>
  <si>
    <t>ITP00316</t>
  </si>
  <si>
    <t>Renew Internet Service for store (VNPT) &amp; 4 Sim Ecom - Sep-2025</t>
  </si>
  <si>
    <t>ITP00317</t>
  </si>
  <si>
    <t xml:space="preserve">-Label TZE241 for IT
-Samsung SSD 1TB - 990 EVO Plus (M.2) for anh.nguyenngoclan
-Mouse Ugreen 15063 for danh.huynhmy, trang.taquynh, Trinh.Vanhuynhtu, Qui.Nguyenthi, Ngoc.nguyenduyen
-USB signal splitter (4–7 ports) Y-2140 UNITEK
HDMI signal cable with angled connector, 0.5m, Y-6333 UNITEK
</t>
  </si>
  <si>
    <t>ITP00318</t>
  </si>
  <si>
    <t>Payment internet fee for VO03 (1 years) - ILL&amp;FTTH</t>
  </si>
  <si>
    <t>ITP00319</t>
  </si>
  <si>
    <t>SATO-Sub label, size W45mm x P35mm
SATO-Sub label, size W106mm x P78mm
SATO-Sub label, size W76mm x P53mm
SATO-Ruy bang muc in TF104F 110mm x 300m</t>
  </si>
  <si>
    <t>Sato</t>
  </si>
  <si>
    <t>ITP00320</t>
  </si>
  <si>
    <t xml:space="preserve">Decal nhiet 100 x150
</t>
  </si>
  <si>
    <t>Nam Nguyen</t>
  </si>
  <si>
    <t>ITP00321</t>
  </si>
  <si>
    <t xml:space="preserve">Payment internet fee for VN06 (Oct-25)
Payment internet fee for VN19 (Oct-25)
Payment internet fee for VA04 (Oct-25)
Payment internet fee for VN10 (Oct-25)
Payment internet fee for VN07 (Oct-25)
Payment internet fee for VN09 (Oct-25)
Payment internet fee for VN16 (Oct-25)
Payment internet fee for VN27 (Oct-25)
Payment internet fee for ZV31 (Oct-25)
Payment internet fee for VA08 (Oct-25)
Payment internet fee for VA01 (Oct-25)
Payment internet fee for VN12 (Oct-25)
Payment internet fee for VA12 (Oct-25)
Payment internet fee for VN08 (Oct-25)
Payment internet fee for VA05 (Oct-25)
Payment internet fee for VO02 (Oct-25)
Payment internet fee for VA11 (Oct-25)
Payment monthly for Ecom’s sim card
</t>
  </si>
  <si>
    <t>ITP00322</t>
  </si>
  <si>
    <t xml:space="preserve">Payment internet fee for New Balance Parc Mall (Nov-25)
Payment internet fee for New Balance Outlet Quang (Nov-25)
Payment internet fee for New Balance Saigon Center (Nov-25)
Payment internet fee for New Balance Vincom Dong Khoi (Nov-25)
Payment internet fee for New Balance Lotte Nam Sai Gon (Nov-25)
Payment internet fee for New Balance Vincom Thao Dien (Nov-25)
Payment internet fee for Smiggle Estella (Nov-25)
Payment internet fee for New Balance Lotte Lieu Giai (Nov-25)
Payment internet fee for Skecher Lieu Giai (Nov-25)
</t>
  </si>
  <si>
    <t>ITP00323</t>
  </si>
  <si>
    <t xml:space="preserve">Monthly payment for Converse Crescent Mall (Oct-2025)
Monthly payment for New Balance Crescent Mall (Oct-2025)
</t>
  </si>
  <si>
    <t>ITP00324</t>
  </si>
  <si>
    <t>Office rental Service Printer Cannon ir 4525 (01 -Nov-25 - 30-Nov-25</t>
  </si>
  <si>
    <t>ITP00325</t>
  </si>
  <si>
    <t>enew 2 4G SIM cards using for internet backup store and event (01-Nov-25 - 30-Nov-25)</t>
  </si>
  <si>
    <t>ITP00326</t>
  </si>
  <si>
    <t>Renew Internet connection Crocs Chip Mong (01-Nov-25 - 30-Nov-25)
Renew Internet connection Crocs Aeon Mean Chey (01-Nov-25 - 30-Nov-25)
Renew Internet connection New Balance Chip Mong (01-Nov-25 - 30-Nov-25)
Renew Internet connection New Balance Aeon Cheey (01-Nov-25 - 30-Nov-25)
Renew Internet connection New Balance Aeon Sen Sok City (01-Nov-25 - 30-Nov-25)
Renew Internet connection Crocs Aeon Sen Sok City (01-Nov-25 - 30-Nov-25)
Renew Internet connection Crocs Aeon Phnom Penh City (01-Nov-25 - 30-Nov-25)
Renew Internet connection New Balance Aeon Phnom Penh (01-Nov-25 - 30-Nov-25)
Renew Internet connection New Balance Prince Mall SOV (01-Nov-25 - 30-Nov-25)
Renew Internet connection Crocs Prince Mall SHV (01-Nov-25 - 30-Nov-25)</t>
  </si>
  <si>
    <t>ITP00327</t>
  </si>
  <si>
    <t>AMDS towards ETP Software Pack
For the Period 22nd December 2025 to 21st December 2026</t>
  </si>
  <si>
    <t>ETP INTERNATIONAL PTE. LTD.</t>
  </si>
  <si>
    <t>ITP00328</t>
  </si>
  <si>
    <t>Monthly payment for New Balance Aeon Le Chan (Oct-2025)</t>
  </si>
  <si>
    <t>Viễn thông Hải Phòng</t>
  </si>
  <si>
    <t>ITP00329</t>
  </si>
  <si>
    <t>New Internet service for Office - Minh Tu</t>
  </si>
  <si>
    <t>Minh Tu</t>
  </si>
  <si>
    <t>ITP00330</t>
  </si>
  <si>
    <t>New Internet service for VO02-FL West Lake (Replace VNPT)</t>
  </si>
  <si>
    <t>ITP00331</t>
  </si>
  <si>
    <t xml:space="preserve">Keyboard Replacement Service for Dell 5420 Laptop	
Charging Port Replacement Service for Dell 5420 Laptop	
Touchpad Repair Service for Dell 5420 Laptop	
LCD Screen Replacement Service (AUO 15.6) for HP Laptop	
Mouse Ugreen 15063	
Computer System Installation Service for Store A001	
Refill tonner for VO02	
Refill tonner for VA04	</t>
  </si>
  <si>
    <t>ITP00332</t>
  </si>
  <si>
    <t xml:space="preserve">Samsung Galaxy Tab S10 FE 5G 8GB 128GB for Live Stream 
</t>
  </si>
  <si>
    <t>ITP00333</t>
  </si>
  <si>
    <t xml:space="preserve">Sim 4G (16GB/Day) for Live Stream </t>
  </si>
  <si>
    <t>ITP00334</t>
  </si>
  <si>
    <t>Refill tonner for VA12</t>
  </si>
  <si>
    <t>ITP00335</t>
  </si>
  <si>
    <t>Replace keyboard &amp; USB port for Nguyen Thi Minh Thu</t>
  </si>
  <si>
    <t>ITP00336</t>
  </si>
  <si>
    <t>Sim 4G for POS machine at VO02</t>
  </si>
  <si>
    <t>ITP00337</t>
  </si>
  <si>
    <t>Refill tonner for VA03</t>
  </si>
  <si>
    <t>ITP00338</t>
  </si>
  <si>
    <t xml:space="preserve">FMG-VM-100-UG  for VN </t>
  </si>
  <si>
    <t>ITP00339</t>
  </si>
  <si>
    <t>FMG-VM-100-UG  for KH</t>
  </si>
  <si>
    <t>ITP00340</t>
  </si>
  <si>
    <t xml:space="preserve">Channel implementation fee for New Balance – HaNoi Centre, according to Appendix PL07 of Contract No. 105/RVC23/MMA.		
Leased line rental fee for the New Balance HaNoi Centre line, according to Appendix PL07 of Contract No. 105/RVC23/MMA, from 24/11/2025 to 30/11/2025.		
"Channel implementation fee for Converse – HaNoi Centre, 
according to Appendix PL07 of Contract No. 105/RVC23/MMA."		
"Leased line rental fee for the Converse HaNoi Centre line, according to Appendix PL07 of 
Contract No. 105/RVC23/MMA, from 24/11/2025 to 30/11/2025."		
Channel implementation fee for Skechers – HaNoi Centre, according to Appendix PL07 of Contract No. 105/RVC23/MMA.		
Leased line rental fee for the Skechers HaNoi Centre line, according to Appendix PL07 of Contract No. 105/RVC23/MMA, from 24/11/2025 to 30/11/2025.		
</t>
  </si>
  <si>
    <t>ITP00341</t>
  </si>
  <si>
    <t xml:space="preserve">Leased line rental fee for the New Balance HaNoi Centre line, according to Appendix PL07 of Contract No. 105/RVC23/MMA, billing period: 12/2025.		
Leased line rental fee for the Converse HaNoi Centre line, according to Appendix PL07 of Contract No. 105/RVC23/MMA, billing period: 12/2025.		
Leased line rental fee for the Skechers HaNoi Centre line, according to Appendix PL07 of Contract No. 105/RVC23/MMA, billing period: 12/2025.		
</t>
  </si>
  <si>
    <t>ITP00342</t>
  </si>
  <si>
    <t xml:space="preserve">"FTTO leased line service fee from 22/12/2025 to 21/12/2026 
(promotion of 02 free months until 21/02/2027)  according to Contract No. 03006347"		
</t>
  </si>
  <si>
    <t>ITP00343</t>
  </si>
  <si>
    <t xml:space="preserve">Printer rental service		
Photocopier rental service		</t>
  </si>
  <si>
    <t>ITP00344</t>
  </si>
  <si>
    <t>Black-and-white printer toner powder – brand CMG, 4.130 g
Compatible with HP M402/M427 (ES-HP402) OEM printers
Ink cartridge compatible with CBCF-CE226A
Ink cartridge compatible with Canon IFC 283A / CRG 337
Ink cartridge compatible with HP Q2612A / Canon CRG303 / 703</t>
  </si>
  <si>
    <t>ITP00345</t>
  </si>
  <si>
    <t>Adobe Creative Cloud All Apps Pro for Enterprise + Adobe Firefly (3-Nov-25 to 2-Nov-26)
Adobe Creative Cloud All Apps Pro for Enterprise + Adobe Firefly (3-Nov-25 to 2-Nov-26)</t>
  </si>
  <si>
    <t>ID</t>
  </si>
  <si>
    <t>ITP00346</t>
  </si>
  <si>
    <t>Payment for 70% for Lantro - cabling setup for VO03 (Foot Locker Hanoi Center)</t>
  </si>
  <si>
    <t>ITP00347</t>
  </si>
  <si>
    <t>IPad Air 13inch  Wi-Fi 128GB - Space Grey</t>
  </si>
  <si>
    <t>ITP00348</t>
  </si>
  <si>
    <t xml:space="preserve">Payment internet fee for Popup Converse Saigon Centre (Jan-26)
Payment internet fee for New Balance Hanoi Centre(Jan-26)
Payment internet fee for Converse Hanoi Centre  (Jan-26)
Payment internet fee for Skechers Hanoi Centre (Jan-26)
</t>
  </si>
  <si>
    <t>ITP00349</t>
  </si>
  <si>
    <t>WIRELESS ACCESS POINT RUIJIE_RG-EW1200G PRO</t>
  </si>
  <si>
    <t>HDMI CABLE WITH RIGHT-ANGLE CONNECTOR 0.5M Y-6333 UNITEK for A002 and backup
USB SIGNAL SPLITTER (4-7 PORTS) 303 for A002 and backup</t>
  </si>
  <si>
    <t>Renew domain mapclub.vn	
Renew domain mapclub.com.vn</t>
  </si>
  <si>
    <t xml:space="preserve">Payment internet fee for New Balacne Parc Mall - (Feb-26)		
Payment internet fee for New Balacne Outlet Quang - (Feb-26)		
Payment internet fee for New Balacne Saigon Center - (Feb-26)		
Payment internet fee for New Balacne Vincom Dong Khoi - (Feb-26)		
Payment internet fee for New Balacne Lotte Nam Sai Gon - (Feb-26)		
Payment internet fee for New Balacne Vincom Thao Dien - (Feb-26)		
Payment internet fee for Smiggle Estella - (Feb-26)		
Payment internet fee for New Balacne Lotte Lieu Giai - (Feb-26)		
Payment internet fee for Skecher Lieu Giai - (Feb-26)		
Payment internet fee for Asics Lotte Tay Ho - (Feb-26)		
Payment internet fee for Popup Converse Saigon Centre - (Feb-26)		
Payment internet fee for New Balance Hanoi Centre - (Feb-26)		
Payment internet fee for Converse Hanoi Centre - (Feb-26)		
Payment internet fee for Skechers Hanoi Centre - (Feb-26)		
</t>
  </si>
  <si>
    <t xml:space="preserve">Payment internet fee for VN09 (Oct-25)		
Payment internet fee for VN16 (Oct-25)		
Payment internet fee for VN27 (Oct-25)		
Payment internet fee for ZV31 (Oct-25)		
Payment internet fee for VA08 (Oct-25)		
Payment internet fee for VA01 (Oct-25)		
Payment internet fee for VN12 (Oct-25)		
Payment internet fee for VA12 (Oct-25)		
Payment internet fee for VN08 (Oct-25)		
Payment internet fee for VA05 (Oct-25)		
Payment internet fee for VA11 (Oct-25)		
Payment internet fee for Office		
Payment internet fee for Office		
</t>
  </si>
  <si>
    <t xml:space="preserve"> VND 7,758,812 </t>
  </si>
  <si>
    <t>Payment request 4G Router for NH05
Payement hdmi cable for k707
Payment instalation fee</t>
  </si>
  <si>
    <t>Fortigate FG-40F (bundle UTP - 1 year)</t>
  </si>
  <si>
    <t>Printer Label Zebra ZQ210</t>
  </si>
  <si>
    <t>Payment internet fee for VN06 (Feb-26)
Payment internet fee for VN19 (Feb-26)
Payment internet fee for VA04 (Feb-26)
Payment internet fee for VN10 (Feb-26)
Payment internet fee for VN07 (Feb-26)
Payment internet fee for VN09 (Feb-26)
Payment internet fee for VN16 (Feb-26)
Payment internet fee for VN27 (Feb-26)
Payment internet fee for ZV31 (Feb-26)
Payment internet fee for VA08 (Feb-26)
Payment internet fee for VA01 (Feb-26)
Payment internet fee for VN12 (Feb-26)
Payment internet fee for VA12 (Feb-26)
Payment internet fee for VA05 (Feb-26)
Payment internet fee for VA11 (Feb-26)
Payment monthly for Ecom's sim card</t>
  </si>
  <si>
    <t xml:space="preserve">Payment internet fee for VA03 (Feb-26)
</t>
  </si>
  <si>
    <t>2:28 PMPayment internet fee for New Balacne Parc Mall - (Mar-26)
Payment internet fee for New Balacne Outlet Quang - (Mar-26)
Payment internet fee for New Balacne Saigon Center - (Mar-26)
Payment internet fee for New Balacne Vincom Dong Khoi - (Mar-26)
Payment internet fee for New Balacne Lotte Nam Sai Gon - (Mar-26)
Payment internet fee for New Balacne Vincom Thao Dien - (Mar-26)
Payment internet fee for Smiggle Estella - (Mar-26)
Payment internet fee for New Balacne Lotte Lieu Giai - (Mar-26)
Payment internet fee for Skecher Lieu Giai - (Mar-26)
Payment internet fee for Asics Lotte Tay Ho - (Mar-26)
Payment internet fee for Popup Converse Saigon Centre - (Mar-26)
Payment internet fee for New Balance Hanoi Centre - (Mar-26)
Payment internet fee for Converse Hanoi Centre - (Mar-26)
Payment internet fee for Skechers Hanoi Centre - (Mar-26)</t>
  </si>
  <si>
    <t xml:space="preserve">Renew internet service for office </t>
  </si>
  <si>
    <t>Monthly payment for Converse Crescent Mall (Feb-2026)
Monthly payment for New Balnce Crescent Mall (Feb-2026)</t>
  </si>
  <si>
    <t>Renew Internet connection Crocs Chip Mong (01-Mar-26 - 30-Mar-26)
Renew Internet connection Crocs Aeon Mean Chey (01-Mar-26 - 30-Mar-26)
Renew Internet connection New Balnce Chip Mong (01-Mar-26 - 30-Mar-26)
Renew Internet connection New Balnce Aeon Mean Chey (01-Mar-26 - 30-Mar-26)
Renew Internet connection New Balance Aeon Sen Sok City (01-Mar-26 - 30-Mar-26)
Renew Internet connection Crocs Aeon Sen Sok City (01-Mar-26 - 30-Mar-26)
Renew Internet connection Crocs Aeon Phnom Penh City (01-Mar-26 - 30-Mar-26)
Renew Internet connection New Balance Aeon Phnom Penh (01-Mar-26 - 30-Mar-26)
Renew Internet connection New Balance Prince Mall SHV (01-Mar-26 - 30-Mar-26)
Renew Internet connection Crocs Prince Mall SHV (01-Mar-26 - 30-Mar-26)</t>
  </si>
  <si>
    <t>Office rental Service Printer Cannon ir 4525 (01-Mar-26 - 30-Mar-26)</t>
  </si>
  <si>
    <t xml:space="preserve">"IPad Air 13 M3
(IPad Air 13-inch Wi-Fi 128GB - Blue)"	</t>
  </si>
  <si>
    <t>Renew Domain: converse.com.vn</t>
  </si>
  <si>
    <t xml:space="preserve">Mouse Ugreen 15063		
Cable ugreen micro usb		
ugreen cable ethernet cat 6		</t>
  </si>
  <si>
    <t>Refill tonner for A001		
Refill tonner for VO02		
Refill tonner for VA12		
Refill tonner for VA04</t>
  </si>
  <si>
    <t>Laptop Dell Latitude 3520 repair hinge (old of Le Hong Bao Chau)
Laptop Dell Latitude 3520 repair hinge (old of Ngo Anh Tuan) 
Laptop Dell Latitude 3520 repair hinge (old of ZV42)
Laptop Dell Latitude 3520 repair hinge (old of Nguyen Bao Du)</t>
  </si>
  <si>
    <t xml:space="preserve">11-inch iPad A16 Wi-Fi 128GB - Silver		</t>
  </si>
  <si>
    <t>Payment internet fee for VN06 (Mar-26)
Payment internet fee for VN19 (Mar-26)
Payment internet fee for VA04 (Mar-26)
Payment internet fee for VN10 (Mar-26)
Payment internet fee for VN07 (Mar-26)
Payment internet fee for VN09 (Mar-26)
Payment internet fee for VN16 (Mar-26)
Payment internet fee for VN27 (Mar-26)
Payment internet fee for ZV31 (Mar-26)
Payment internet fee for VA08 (Mar-26)
Payment internet fee for VA01 (Mar-26)
Payment internet fee for VN12 (Mar-26)
Payment internet fee for VA12 (Mar-26)
Payment internet fee for VA05 (Mar-26)
Payment internet fee for VA11 (Mar-26)
Payment monthly for Ecom's sim card</t>
  </si>
  <si>
    <t>Monthly payment for Converse Crescent Mall (Mar-2026)
Monthly payment for New Balance Crescent Mall (Mar-2026)</t>
  </si>
  <si>
    <t>Monthly payment for VA03(Mar-2026)</t>
  </si>
  <si>
    <t>Payment internet fee for New Balance Parc Mall - (Mar-26)
Payment internet fee for New Balance Outlet Quang - (Mar-26)
Payment internet fee for New Balance Saigon Center - (Mar-26)
Payment internet fee for New Balance Vincom Dong Khoi - (Mar-26)
Payment internet fee for Lotte Nam Sai Gon - (Mar-26)
Payment internet fee for New Balance Vincom Thao Dien - (Mar-26)
Payment internet fee for Smiggle Estella - (Mar-26)
Payment internet fee for New Balance Lotte Lieu Giai - (Mar-26)
Payment internet fee for Skecher Lieu Giai - (Mar-26)
Payment internet fee for Asics Lotte Tay Ho - (Mar-26)
Payment internet fee for Popup Converse Saigon Centre - (Mar-26)
Payment internet fee for New Balance Hanoi Centre - (Mar-26)
Payment internet fee for Converse Hanoi Centre - (Mar-26)
Payment internet fee for Skechers Hanoi Centre - (Mar-26)
Pull the fiber cable for Asics Vincom Thao Dien
Payment internet fee for Skechers Hanoi Centre - (from 10-Feb to 30-Anh)</t>
  </si>
  <si>
    <t>Office rental Service Printer Cannon ir 4525 (01-Apr-26 - 30-Apr-26)</t>
  </si>
  <si>
    <t>Renew Internet connection Crocs Chip Mong (01-Apr-26 - 30-Apr-26)
Renew Internet connection Crocs Aeon Mean Chey (01-Apr-26 - 30-Apr-26)
Renew Internet connection New Balance Chip Mong (01-Apr-26 - 30-Apr-26)
Renew Internet connection New Balance Aeon Mean Chey (01-Apr-26 - 30-Apr-26)
Renew Internet connection New Balance Aeon Sen Sok City (01-Apr-26 - 30-Apr-26)
Renew Internet connection Crocs Aeon Sen Sok City (01-Apr-26 - 30-Apr-26)
Renew Internet connection Crocs Aeon Phnom Penh City (01-Apr-26 - 30-Apr-26)
Renew Internet connection New Balance Aeon Phnom Penh (01-Apr-26 - 30-Apr-26)
Renew Internet connection New Balance Prince Mall SHV (01-Apr-26 - 30-Apr-26)
Renew Internet connection Crocs Prince Mall SHV (01-Apr-26 - 30-Apr-26)</t>
  </si>
  <si>
    <t xml:space="preserve">Sim 4g for pos of techcombank VN07, VN16, VN27, VA11, VA05, VA16, VA13, VA14 </t>
  </si>
  <si>
    <t xml:space="preserve">PDT for stores FOOTLOCKER AEON HA LONG		
PDT for stores FOOT LOCKER AEON MALL DA NANG		
PDT for stores FOOT LOCKER GOLD COAST NHA TRANG		
PDT for stores Asics Gold Coast Nha Trang		
PDT for stores New Balance Vincom Ba Trieu		
PDT for stores New Balance Crescent mall		
PDT for stores New Balance Aeon Ha Dong		</t>
  </si>
  <si>
    <t>1. Samsung Galaxy Tab S10 FE
2. Micro Saramonic Air 01 (2TX + RX)
3. Micro Saramonic Air 01 (2TX + RX)
4. Đèn Led Proton FD1000EB
5. Sim DATA</t>
  </si>
  <si>
    <t xml:space="preserve">Computer equipment installation services (PCs, printers, scanners, switches, Wi-Fi, and PDT printers; system setup, cable management, and cleaning)		
Computer equipment installation services (PCs, printers, scanners, switches, Wi-Fi, and PDT printers; system setup, cable management, and cleaning)		
Computer equipment installation services (PCs, printers, scanners, switches, Wi-Fi, and PDT printers; system setup, cable management, and cleaning)		
Computer RAM (8GB) installation services		</t>
  </si>
  <si>
    <t xml:space="preserve">Renew License MO365 &amp; MS Defender for KH </t>
  </si>
  <si>
    <t>Renew License MO365 &amp; MS Defender for KVN</t>
  </si>
  <si>
    <t>Renew License FG (SL:19)</t>
  </si>
  <si>
    <t xml:space="preserve">Booster pump for Sever air conditioning		
Replace pump for Sever air conditioning		</t>
  </si>
  <si>
    <t xml:space="preserve"> VND        1,850,040</t>
  </si>
  <si>
    <t>Mouse HYPERWORK SILENTIUM MINI
HPW-MS01M-BLK for Tuyet.Lethianh</t>
  </si>
  <si>
    <t xml:space="preserve"> VND        370,370</t>
  </si>
  <si>
    <t xml:space="preserve"> VND        400,000</t>
  </si>
  <si>
    <t>Router wifi ruijie rg ew1200g pro</t>
  </si>
  <si>
    <t xml:space="preserve"> VND        920,000</t>
  </si>
  <si>
    <t xml:space="preserve"> VND        993.600</t>
  </si>
  <si>
    <t xml:space="preserve">Dell Latitude 5430 Laptop Casing Replacement Service for Ngoc.nguyenduyen		
Dell Latitude 5420 Laptop Casing Replacement Service for huy.daoduc		</t>
  </si>
  <si>
    <t>Internet line for IP Phone (Office) - 1 Year (from 01/06/2026 to 30/08/2027)</t>
  </si>
  <si>
    <t>Internet fee VN06 Mar-26
Internet fee VN19 Mar-26
Internet fee VN06 Apr-26
Internet fee VN19 Apr-26
Internet fee VN06 May-26
Internet fee VN19 May-26
Internet fee VN06 Jun-26
Internet fee VN19 Jun-26
Internet fee VN06 Jul-26
Internet fee VN19 Jul-26
Internet fee VN06 Aug-26
Internet fee VN19 Aug-26
Internet fee VN06 Sep-26
Internet fee VN19 Sep-26
Internet fee VN06 Oct-26
Ecom's sim card payment (987654321)
Ecom's sim card payment (123456789)
Ecom's sim card payment (456789123)
Ecom's sim card payment (789123456)</t>
  </si>
  <si>
    <t>Payment internet fee for VA03 (May-2026)</t>
  </si>
  <si>
    <t>Monthly payment for Converse Crescent Mall (May-2026)  
Monthly payment for New Balnnce Crescent Mall (May-2026)</t>
  </si>
  <si>
    <t>Payment internet fee for New Balance Parc Mall - (June-26)
Payment internet fee for New Balance Outlet Quang- (June-26)
Payment internet fee for New Balance Saigon Center- (June-26)
Payment internet fee for New Balance Vincom Dong Khoi- (June-26)
Payment internet fee for New Balance Lotte Nam Sai Gon- (June-26)
Payment internet fee for New Balance Vincom Thao Dien- (June-26)
Payment internet fee for Smiggle Estella- (June-26)
Payment internet fee for New Balance Lotte Lieu Giai- (June-26)
Payment internet fee for Skecher Lieu Giai (June-26)
Payment internet fee for Asics Lotte West Lake (June-26)
Payment internet fee for Converse Hanoi Centre (June-26)
Payment internet fee for Skecher Hanoi Centre (June-26)
Payment internet fee for Converse Popup (June-26)
Payment internet fee for New Balance Hanoi Center (June-26)
Payment internet fee for New Balance Vincom Ba Trieu (From 12-May-26 to June-2026)
Payment internet fee for Pasteur Warehouse (From 02-Apr-26 to June 2026)
Payment internet fee for Asics Vincom Thao Dien- (June-26)
Pull optic fiber to rack (New Balance Vincom Ba Trieu)</t>
  </si>
  <si>
    <t>FORTINET FORTIGATE FIREWALL DEVICE FG-60F-BDL-950-12 BUNDLE (PART # FG-60F-BDL-950-12)		
FORTINET FORTIGATE FIREWALL DEVICE FG-60F-BDL-950-12 BUNDLE (PART # FG-60F-BDL-950-12)		
BARCODE SCANNER DS2278: 2D WITH CHARGING CRADLE, USB CABLE		
BARCODE SCANNER DS2278: 2D WITH CHARGING CRADLE, USB CABLE		
UNIFI U7-LITE WIRELESS ACCESS POINT DEVICE		
UNIFI U7-LITE WIRELESS ACCESS POINT DEVICE		
UNIFI U7-LITE WIRELESS ACCESS POINT DEVICE		
UBIQUITI USW-24-POE NETWORK SWITCH DEVICE		
UBIQUITI USW-24-POE NETWORK SWITCH DEVICE
CISCO CBS110 UNMANAGED 16-PORT GIGABIT ETHERNET SWITCH (CBS110-16T-EU)		
CISCO CBS110 UNMANAGED 16-PORT GIGABIT ETHERNET SWITCH (CBS110-16T-EU)</t>
  </si>
  <si>
    <t xml:space="preserve">Deposit 50% for Radiant (Thermal Star Printer MCP 31L (qty: 5) </t>
  </si>
  <si>
    <t>Renew FG of NH02, NH03 (Managed service)</t>
  </si>
  <si>
    <t>Legends</t>
  </si>
  <si>
    <t>Done payment</t>
  </si>
  <si>
    <t>Done paperwork, only wait for payment</t>
  </si>
  <si>
    <t>Need more checking</t>
  </si>
  <si>
    <t>Descriptions</t>
  </si>
  <si>
    <t>Contract No.</t>
  </si>
  <si>
    <t>Contract Date</t>
  </si>
  <si>
    <t>Notes</t>
  </si>
  <si>
    <t>POS for NB Chip Mong</t>
  </si>
  <si>
    <t>01/MAC-DVR/CT/2023</t>
  </si>
  <si>
    <t>POS for Crocs Aeon Mall Sen Sok City (Aeon 2)</t>
  </si>
  <si>
    <t>POS for Crocs Aeon Phnompenh (Aeon 1)</t>
  </si>
  <si>
    <t>Request</t>
  </si>
  <si>
    <t>Request Type</t>
  </si>
  <si>
    <t>Submitter</t>
  </si>
  <si>
    <t>Receiver</t>
  </si>
  <si>
    <t>Submit date
(dd/mm/yyy)</t>
  </si>
  <si>
    <t>Note</t>
  </si>
  <si>
    <t>Hoàn ứng chi phí công tác Indo cho anh Hiếu</t>
  </si>
  <si>
    <t>Quân</t>
  </si>
  <si>
    <t>Quỳnh (Kế toán)</t>
  </si>
  <si>
    <t>07/08/2023</t>
  </si>
  <si>
    <t>Dự kiến 18/08/2023 thanh toán</t>
  </si>
  <si>
    <t>Thanh toán chi phí internet 5 store tại Cambodia</t>
  </si>
  <si>
    <t>Thy (Kế toán)</t>
  </si>
  <si>
    <t>Dự kiến 11/08/2023 thanh toán</t>
  </si>
  <si>
    <t>Thanh toán IT Equipment cho New Balance Mean Chey &amp; Sen Sok</t>
  </si>
  <si>
    <t>Tạm ứng công tác của anh Hiếu (HN bussiness trip)</t>
  </si>
  <si>
    <t>08/08/2023</t>
  </si>
  <si>
    <t>18/08/2023 Thanh toán</t>
  </si>
  <si>
    <t>Tạm ứng công tác của anh Quân (HN bussiness trip)</t>
  </si>
  <si>
    <t>Thanh toán tiền thuê máy in Cambodia</t>
  </si>
  <si>
    <t>Waiting Payment</t>
  </si>
  <si>
    <t xml:space="preserve">Renew sim Cambodia </t>
  </si>
  <si>
    <t>Buy Laptop Latitude 3520 for VI04-VN19 Converse &amp; Smiggle Goldcoast Nha Trang. 
Phí cài đặt chuyển data từ máy cũ sang máy mới</t>
  </si>
  <si>
    <t>Ni (Procurement)</t>
  </si>
  <si>
    <t>09/08/2023</t>
  </si>
  <si>
    <t>Đang chờ vận chuyển máy cũ về</t>
  </si>
  <si>
    <t>Sim 4G Data (MobiFone) Used Samsung Tablet O2O Project</t>
  </si>
  <si>
    <t xml:space="preserve">Done </t>
  </si>
  <si>
    <t xml:space="preserve">Đã giao </t>
  </si>
  <si>
    <t>Payment for HTC ISP (Internet line 2) - Project Foot Locker</t>
  </si>
  <si>
    <t>14/08/2023</t>
  </si>
  <si>
    <t xml:space="preserve">Đang chờ hóa đơn </t>
  </si>
  <si>
    <t xml:space="preserve">Purchase Eletric socket for Foot Locker , Qty: 5 </t>
  </si>
  <si>
    <t>NI</t>
  </si>
  <si>
    <t>Đợi giao hàng vào (15/08)</t>
  </si>
  <si>
    <t xml:space="preserve">Purchase Decal for printer store Foot Locker </t>
  </si>
  <si>
    <t>Estimate date 24/08/2023</t>
  </si>
  <si>
    <t>Renew domain ufo.net.vn and  email service</t>
  </si>
  <si>
    <t>Tuyết (kế toán)</t>
  </si>
  <si>
    <t>17/08/2023</t>
  </si>
  <si>
    <t>Request TZE-241, Laptop dell 3520 . Unitek HDMI to VGA + Audio Converter Cable (Y6333)</t>
  </si>
  <si>
    <t xml:space="preserve">Mrs.Uyên </t>
  </si>
  <si>
    <t>Request 6 USB 32Gb for Foot Locker Lotte Mall</t>
  </si>
  <si>
    <t>Mr.Darryl</t>
  </si>
  <si>
    <t>Payment daily allowance Mr. Hiếu (Foot Locker)</t>
  </si>
  <si>
    <t>Payment daily allowance Mr. Quân (Foot Locker)</t>
  </si>
  <si>
    <t>Renew domain mapactive.vn 5 years</t>
  </si>
  <si>
    <t>08/09/2023</t>
  </si>
  <si>
    <t>payment label printer CAMBODIA 2023-09-08</t>
  </si>
  <si>
    <t>09/'09/2023</t>
  </si>
  <si>
    <t xml:space="preserve">Claim hotel fee - Quân - Bussiness trip HN (Foot Locker) </t>
  </si>
  <si>
    <t xml:space="preserve">Claim lunch fee with pak joko - Anh Hiếu - Bussiness trip HN (Foot Locker) </t>
  </si>
  <si>
    <t>Request sim data 4G for HP Engago Go 10 - Foot Locker Lotte Mall Tây Hồ</t>
  </si>
  <si>
    <t xml:space="preserve">Darryl </t>
  </si>
  <si>
    <t xml:space="preserve">Request reload ink fof printer Foot Locker Lotte Mall </t>
  </si>
  <si>
    <t xml:space="preserve">Quân </t>
  </si>
  <si>
    <t>Fortigate Managed Service (FG-40f) 1 year for New Balance Aeon Phnom Penh</t>
  </si>
  <si>
    <t>Monthly Payment Service Retail Printer (Cannon ir 4525 for 1-oct-23 to 31-oct-2023)</t>
  </si>
  <si>
    <t>Renew Internet Service ( Crocs Chip Mong, Crocs Aeon Mean Chey, New Balance Chip Mong, New Balance Aeon Mean Chey, New Balance Sensok , Crocs Aeon Sensok City) 01-oct-23 - 31-Oct-23</t>
  </si>
  <si>
    <t>Renew 2 4G Sim cards using for Internet backup at store, Renew Sim (Crocs Chip Mong, Crocs Aeon Mean Chey, New Balance Chip Mong, New Balance Aeon Mean Chey, New Balance Sensok , Crocs Aeon Sensok City) for Sep</t>
  </si>
  <si>
    <t>Payment request internet fee Converse Smart City</t>
  </si>
  <si>
    <t>Payment Clam for MR.Hieu (Lunch with IT team, Grab)</t>
  </si>
  <si>
    <t>Payment  Internet Fee Crocs Aeon Phnom Penh Start from (03-oct-2023 - 31-Oct-23)</t>
  </si>
  <si>
    <t>20/11/2023</t>
  </si>
  <si>
    <t>FG - Bata Aeon Mean Chey (Aeon 3)</t>
  </si>
  <si>
    <t>Vendor Name</t>
  </si>
  <si>
    <t>Products/
Services Offered</t>
  </si>
  <si>
    <t>Vendor Contact</t>
  </si>
  <si>
    <t>Phone Number</t>
  </si>
  <si>
    <t>Email Address</t>
  </si>
  <si>
    <t>Vendor Address</t>
  </si>
  <si>
    <t>Website</t>
  </si>
  <si>
    <t>Bank account</t>
  </si>
  <si>
    <t>Bank name</t>
  </si>
  <si>
    <t>Benificiary</t>
  </si>
  <si>
    <t>Swift code</t>
  </si>
  <si>
    <t>POS PC &amp; Peripherals, with transportation to store &amp; on-site setup</t>
  </si>
  <si>
    <t>016508060</t>
  </si>
  <si>
    <t>ABA BANK</t>
  </si>
  <si>
    <t>DRV CAMERA SECURITY Co.,LTD</t>
  </si>
  <si>
    <t>ABAAKHPP</t>
  </si>
  <si>
    <t>FG Managed Service</t>
  </si>
  <si>
    <t>Internet</t>
  </si>
  <si>
    <t>Online</t>
  </si>
  <si>
    <t>4G SIM Card</t>
  </si>
  <si>
    <t>Printer Rental for Office</t>
  </si>
  <si>
    <t>samolmeas55@gmail.com</t>
  </si>
  <si>
    <t>Label Roll</t>
  </si>
  <si>
    <t>Public Domain (mapactive.kh)</t>
  </si>
  <si>
    <t>Zafar Ali Jatoi</t>
  </si>
  <si>
    <t>(+855) 081 224 890</t>
  </si>
  <si>
    <t>#73, Phum Mok Khef, S/K Roka Thom, Khan Chbarmon, Kompong Speu Province</t>
  </si>
  <si>
    <t>05000361656969</t>
  </si>
  <si>
    <t>ALCEDA BANK</t>
  </si>
  <si>
    <t>Nafih Digital Marketing Agent Co., Ltd</t>
  </si>
  <si>
    <t>ACLBKHPP</t>
  </si>
  <si>
    <t xml:space="preserve">Star Printer </t>
  </si>
  <si>
    <t>Internet (Sihanouk Prince Mall)</t>
  </si>
  <si>
    <t>etp</t>
  </si>
  <si>
    <t>Sorn SOT (B2B MANAGER)</t>
  </si>
  <si>
    <t>(+855) 93966440</t>
  </si>
  <si>
    <t>ssorn@wicam.com.kh</t>
  </si>
  <si>
    <t>#47, Street 271, Sangkat Tuol Tompoung, Khan Chamkar mon , Phnom Penh, Cambodia</t>
  </si>
  <si>
    <t>https://wicam.com.kh/</t>
  </si>
  <si>
    <t>SATATECH</t>
  </si>
  <si>
    <t>POS PC &amp; Peripherals (Cambodia stores)</t>
  </si>
  <si>
    <t>Đỗ Hoàng Nam ( Mr NAM)</t>
  </si>
  <si>
    <t>(+84) 932 780 990</t>
  </si>
  <si>
    <t>nam.do@satatech.vn</t>
  </si>
  <si>
    <t>No.33, Tan Khai street, ward 4, Tan Binh district, HCMC</t>
  </si>
  <si>
    <t>https://satatech.vn</t>
  </si>
  <si>
    <t>POS PC &amp; Peripherals (VN normal stores)</t>
  </si>
  <si>
    <t>Trang Doan</t>
  </si>
  <si>
    <t>0903 499 411</t>
  </si>
  <si>
    <t>trangdoan@sws.com.vn</t>
  </si>
  <si>
    <t>32 Nguyễn Văn Mại, Phường 04, Quận Tân Bình, TP.Hồ Chí Minh</t>
  </si>
  <si>
    <t>https://fpt-fti.com/</t>
  </si>
  <si>
    <t>Accountant</t>
  </si>
  <si>
    <t>ketoan@sws.com.vn</t>
  </si>
  <si>
    <t>POS PC &amp; Peripherals (FL)</t>
  </si>
  <si>
    <t>Lê Tuấn Cường (Sales)</t>
  </si>
  <si>
    <t>0903 05 87 86</t>
  </si>
  <si>
    <t xml:space="preserve">CuongLT14@fpt.com </t>
  </si>
  <si>
    <t>FPT Building, L29B-31B-33B Tan Thuan str., Tan Thuan EPZ, District 7, HCMC</t>
  </si>
  <si>
    <t>Technical Center</t>
  </si>
  <si>
    <t>19006973</t>
  </si>
  <si>
    <t>FTI.Support@fpt.com</t>
  </si>
  <si>
    <t>Support Center</t>
  </si>
  <si>
    <t>ftel.fti.cs@fpt.com</t>
  </si>
  <si>
    <t>License AutoCAD</t>
  </si>
  <si>
    <t>Nguyễn Đăng Khoa(Sales Manager)</t>
  </si>
  <si>
    <t>0909.48.3637</t>
  </si>
  <si>
    <t>hoa.nguyen@suntelco.net</t>
  </si>
  <si>
    <t>304A Bach Dang Street, Ward 14, Binh Thanh District, HCMC</t>
  </si>
  <si>
    <t>http://www.suntelco.net</t>
  </si>
  <si>
    <t>Tpcoms</t>
  </si>
  <si>
    <t>SANG</t>
  </si>
  <si>
    <t>0902 818 828</t>
  </si>
  <si>
    <t>noc@tpcoms.vn</t>
  </si>
  <si>
    <t>Nhật</t>
  </si>
  <si>
    <t>0909016148</t>
  </si>
  <si>
    <t>nhat.it@netnam.vn</t>
  </si>
  <si>
    <t>Thủ</t>
  </si>
  <si>
    <t>0913133963</t>
  </si>
  <si>
    <t>thupv.hcm@vnpt.vn</t>
  </si>
  <si>
    <t>Hotline</t>
  </si>
  <si>
    <t>(28) 54 111 222</t>
  </si>
  <si>
    <t xml:space="preserve">info@vienthongact.vn </t>
  </si>
  <si>
    <t>Iconnect</t>
  </si>
  <si>
    <t>Print paper for Star-L200 and SATO-PB2-230</t>
  </si>
  <si>
    <t>Trung</t>
  </si>
  <si>
    <t>0985806911</t>
  </si>
  <si>
    <t>vuthanhtrungld@gmail.com</t>
  </si>
  <si>
    <t>Print paper for Postek IQ200</t>
  </si>
  <si>
    <t>Phong</t>
  </si>
  <si>
    <t>0909.455.411</t>
  </si>
  <si>
    <t>phong.nguyen@namnguyeninfotech.com</t>
  </si>
  <si>
    <t xml:space="preserve">Printer Rental for Office </t>
  </si>
  <si>
    <t>Duy</t>
  </si>
  <si>
    <t>0982733332</t>
  </si>
  <si>
    <t>nguyenlamquocduy@gmail.com</t>
  </si>
  <si>
    <t>Domain, SSL Service</t>
  </si>
  <si>
    <t xml:space="preserve">Anh </t>
  </si>
  <si>
    <t xml:space="preserve">0934 863 095 </t>
  </si>
  <si>
    <t>anhhnt@matbao.com</t>
  </si>
  <si>
    <t>Van</t>
  </si>
  <si>
    <t>098.1994.938 - 0376.777.865</t>
  </si>
  <si>
    <t>vanntt &lt;vanntt@rvc.net.vn&gt;</t>
  </si>
  <si>
    <t>Bình</t>
  </si>
  <si>
    <t>Quyền</t>
  </si>
  <si>
    <t>quyentb2@fpt.com</t>
  </si>
  <si>
    <t>Quang</t>
  </si>
  <si>
    <t>Quyết</t>
  </si>
  <si>
    <t>Apple</t>
  </si>
  <si>
    <t xml:space="preserve">Label </t>
  </si>
  <si>
    <t>Decal</t>
  </si>
  <si>
    <t>Clean up air conditioner</t>
  </si>
  <si>
    <t>Indo</t>
  </si>
  <si>
    <t>TrendMicro, FortiZTNA</t>
  </si>
  <si>
    <t>Temmy.Sugianto@mii.co.id</t>
  </si>
  <si>
    <t>Adobe</t>
  </si>
  <si>
    <t>BMC</t>
  </si>
  <si>
    <t>ISP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</si>
</sst>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0.00_);[Red]\(&quot;$&quot;#,##0.00\)"/>
    <numFmt numFmtId="43" formatCode="_(* #,##0.00_);_(* \(#,##0.00\);_(* &quot;-&quot;??_);_(@_)"/>
    <numFmt numFmtId="164" formatCode="&quot;$&quot;#,##0.00"/>
    <numFmt numFmtId="165" formatCode="[$-409]d\-mmm\-yyyy;@"/>
    <numFmt numFmtId="166" formatCode="_([$VND]\ * #,##0_);_([$VND]\ * \(#,##0\);_([$VND]\ * &quot;-&quot;??_);_(@_)"/>
    <numFmt numFmtId="167" formatCode="_([$VND]\ * #,##0.00_);_([$VND]\ * \(#,##0.00\);_([$VND]\ * &quot;-&quot;??_);_(@_)"/>
    <numFmt numFmtId="168" formatCode="&quot;$&quot;#,##0"/>
    <numFmt numFmtId="169" formatCode="[$VND]\ #,##0"/>
    <numFmt numFmtId="170" formatCode="_(* #,##0_);_(* \(#,##0\);_(* &quot;-&quot;??_);_(@_)"/>
    <numFmt numFmtId="171" formatCode="_(&quot;$&quot;* #,##0.00_);_(&quot;$&quot;* \(#,##0.00\);_(&quot;$&quot;* &quot;-&quot;_);_(@_)"/>
    <numFmt numFmtId="172" formatCode="_([$$-409]* #,##0.00_);_([$$-409]* \(#,##0.00\);_([$$-409]* &quot;-&quot;??_);_(@_)"/>
    <numFmt numFmtId="173" formatCode="_([$VND]\ * #,##0_);_([$VND]\ * \(#,##0\);_([$VND]\ * &quot;-&quot;_);_(@_)"/>
  </numFmts>
  <fonts count="12">
    <font>
      <sz val="11"/>
      <color theme="1"/>
      <name val="Calibri"/>
      <family val="2"/>
      <scheme val="minor"/>
    </font>
    <font>
      <sz val="8"/>
      <name val="Calibri"/>
      <family val="2"/>
      <scheme val="minor"/>
    </font>
    <font>
      <u/>
      <sz val="11"/>
      <color theme="10"/>
      <name val="Calibri"/>
      <family val="2"/>
      <scheme val="minor"/>
    </font>
    <font>
      <sz val="11"/>
      <color rgb="FF000000"/>
      <name val="Calibri"/>
      <family val="2"/>
    </font>
    <font>
      <sz val="11"/>
      <color rgb="FF444444"/>
      <name val="Calibri"/>
      <family val="2"/>
      <charset val="1"/>
    </font>
    <font>
      <sz val="11"/>
      <color rgb="FFFF0000"/>
      <name val="Calibri"/>
      <family val="2"/>
      <scheme val="minor"/>
    </font>
    <font>
      <sz val="11"/>
      <color theme="6"/>
      <name val="Calibri"/>
      <family val="2"/>
      <scheme val="minor"/>
    </font>
    <font>
      <b/>
      <sz val="11"/>
      <color theme="1"/>
      <name val="Calibri"/>
      <family val="2"/>
      <scheme val="minor"/>
    </font>
    <font>
      <sz val="11"/>
      <color rgb="FF000000"/>
      <name val="Calibri"/>
      <family val="2"/>
      <scheme val="minor"/>
    </font>
    <font>
      <sz val="11"/>
      <color indexed="8"/>
      <name val="Calibri"/>
      <family val="2"/>
    </font>
    <font>
      <sz val="11"/>
      <color rgb="FF000000"/>
      <name val="Calibri"/>
      <charset val="1"/>
    </font>
    <font>
      <sz val="12"/>
      <name val="VNI-Times"/>
    </font>
  </fonts>
  <fills count="18">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0"/>
        <bgColor indexed="64"/>
      </patternFill>
    </fill>
    <fill>
      <patternFill patternType="solid">
        <fgColor rgb="FF00B0F0"/>
        <bgColor rgb="FF000000"/>
      </patternFill>
    </fill>
    <fill>
      <patternFill patternType="solid">
        <fgColor rgb="FF00B050"/>
        <bgColor indexed="64"/>
      </patternFill>
    </fill>
    <fill>
      <patternFill patternType="solid">
        <fgColor theme="6"/>
        <bgColor indexed="64"/>
      </patternFill>
    </fill>
    <fill>
      <patternFill patternType="solid">
        <fgColor rgb="FF00B0F0"/>
        <bgColor indexed="64"/>
      </patternFill>
    </fill>
    <fill>
      <patternFill patternType="solid">
        <fgColor rgb="FF7030A0"/>
        <bgColor indexed="64"/>
      </patternFill>
    </fill>
    <fill>
      <patternFill patternType="solid">
        <fgColor rgb="FFFF0000"/>
        <bgColor indexed="64"/>
      </patternFill>
    </fill>
    <fill>
      <patternFill patternType="solid">
        <fgColor rgb="FFFFC000"/>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right/>
      <top style="thin">
        <color rgb="FF000000"/>
      </top>
      <bottom/>
      <diagonal/>
    </border>
    <border>
      <left style="thin">
        <color indexed="64"/>
      </left>
      <right/>
      <top style="thin">
        <color indexed="64"/>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43" fontId="9" fillId="0" borderId="0" applyFont="0" applyFill="0" applyBorder="0" applyAlignment="0" applyProtection="0"/>
    <xf numFmtId="0" fontId="11" fillId="0" borderId="0"/>
    <xf numFmtId="0" fontId="9" fillId="0" borderId="0"/>
  </cellStyleXfs>
  <cellXfs count="347">
    <xf numFmtId="0" fontId="0" fillId="0" borderId="0" xfId="0"/>
    <xf numFmtId="0" fontId="0" fillId="0" borderId="0" xfId="0" applyAlignment="1">
      <alignment vertical="center"/>
    </xf>
    <xf numFmtId="0" fontId="0" fillId="0" borderId="0" xfId="0" applyAlignment="1">
      <alignment horizontal="center" vertical="center"/>
    </xf>
    <xf numFmtId="0" fontId="0" fillId="0" borderId="2" xfId="0" applyBorder="1" applyAlignment="1">
      <alignment horizontal="center" vertical="center"/>
    </xf>
    <xf numFmtId="0" fontId="0" fillId="2" borderId="3" xfId="0" applyFill="1" applyBorder="1" applyAlignment="1">
      <alignment vertical="center"/>
    </xf>
    <xf numFmtId="0" fontId="0" fillId="2" borderId="1" xfId="0" applyFill="1" applyBorder="1" applyAlignment="1">
      <alignment vertical="center"/>
    </xf>
    <xf numFmtId="0" fontId="0" fillId="0" borderId="3" xfId="0" applyBorder="1" applyAlignment="1">
      <alignment vertical="center"/>
    </xf>
    <xf numFmtId="0" fontId="0" fillId="0" borderId="1" xfId="0" applyBorder="1" applyAlignment="1">
      <alignment vertical="center"/>
    </xf>
    <xf numFmtId="0" fontId="0" fillId="0" borderId="3" xfId="0" applyBorder="1" applyAlignment="1">
      <alignment vertical="center" wrapText="1"/>
    </xf>
    <xf numFmtId="0" fontId="0" fillId="2" borderId="1" xfId="0" applyFill="1" applyBorder="1" applyAlignment="1">
      <alignment horizontal="center" vertical="center"/>
    </xf>
    <xf numFmtId="0" fontId="0" fillId="0" borderId="1" xfId="0" quotePrefix="1" applyBorder="1" applyAlignment="1">
      <alignment horizontal="center" vertical="center"/>
    </xf>
    <xf numFmtId="0" fontId="0" fillId="0" borderId="1" xfId="0" applyBorder="1" applyAlignment="1">
      <alignment horizontal="center" vertical="center"/>
    </xf>
    <xf numFmtId="14" fontId="0" fillId="0" borderId="1" xfId="0" quotePrefix="1" applyNumberFormat="1" applyBorder="1" applyAlignment="1">
      <alignment horizontal="center" vertical="center"/>
    </xf>
    <xf numFmtId="0" fontId="0" fillId="2" borderId="1" xfId="0" applyFill="1" applyBorder="1" applyAlignment="1">
      <alignment horizontal="center" vertical="center" wrapText="1"/>
    </xf>
    <xf numFmtId="0" fontId="0" fillId="2" borderId="3" xfId="0" applyFill="1" applyBorder="1" applyAlignment="1">
      <alignment vertical="center" wrapText="1"/>
    </xf>
    <xf numFmtId="0" fontId="0" fillId="0" borderId="0" xfId="0" applyAlignment="1">
      <alignment vertical="center" wrapText="1"/>
    </xf>
    <xf numFmtId="0" fontId="0" fillId="2" borderId="3"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3" borderId="1" xfId="0" applyFill="1" applyBorder="1" applyAlignment="1">
      <alignment vertical="center"/>
    </xf>
    <xf numFmtId="14" fontId="0" fillId="0" borderId="1" xfId="0" applyNumberFormat="1" applyBorder="1" applyAlignment="1">
      <alignment horizontal="center" vertical="center"/>
    </xf>
    <xf numFmtId="15" fontId="0" fillId="0" borderId="1" xfId="0" applyNumberFormat="1" applyBorder="1" applyAlignment="1">
      <alignment vertical="center"/>
    </xf>
    <xf numFmtId="0" fontId="0" fillId="0" borderId="2" xfId="0" applyBorder="1" applyAlignment="1">
      <alignment vertical="center"/>
    </xf>
    <xf numFmtId="0" fontId="0" fillId="0" borderId="4" xfId="0" applyBorder="1" applyAlignment="1">
      <alignment horizontal="center" vertical="center"/>
    </xf>
    <xf numFmtId="0" fontId="0" fillId="0" borderId="2" xfId="0" applyBorder="1" applyAlignment="1">
      <alignment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4" xfId="0" applyBorder="1" applyAlignment="1">
      <alignment vertical="center" wrapText="1"/>
    </xf>
    <xf numFmtId="0" fontId="0" fillId="0" borderId="4" xfId="0" applyBorder="1" applyAlignment="1">
      <alignment horizontal="center" vertical="center" wrapText="1"/>
    </xf>
    <xf numFmtId="164" fontId="0" fillId="0" borderId="2" xfId="0" applyNumberFormat="1" applyBorder="1" applyAlignment="1">
      <alignment horizontal="center" vertical="center" wrapText="1"/>
    </xf>
    <xf numFmtId="164" fontId="0" fillId="0" borderId="0" xfId="0" applyNumberFormat="1" applyAlignment="1">
      <alignment horizontal="center"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165" fontId="0" fillId="0" borderId="2" xfId="0" applyNumberFormat="1" applyBorder="1" applyAlignment="1">
      <alignment horizontal="center" vertical="center" wrapText="1"/>
    </xf>
    <xf numFmtId="165" fontId="0" fillId="0" borderId="0" xfId="0" applyNumberFormat="1" applyAlignment="1">
      <alignment horizontal="center" vertical="center" wrapText="1"/>
    </xf>
    <xf numFmtId="0" fontId="0" fillId="4" borderId="2" xfId="0" applyFill="1" applyBorder="1" applyAlignment="1">
      <alignment horizontal="center" vertical="center" wrapText="1"/>
    </xf>
    <xf numFmtId="0" fontId="0" fillId="0" borderId="4" xfId="0" applyBorder="1" applyAlignment="1">
      <alignment vertical="center"/>
    </xf>
    <xf numFmtId="0" fontId="0" fillId="0" borderId="8" xfId="0" applyBorder="1" applyAlignment="1">
      <alignment vertical="center" wrapText="1"/>
    </xf>
    <xf numFmtId="0" fontId="0" fillId="0" borderId="6" xfId="0" applyBorder="1" applyAlignment="1">
      <alignment vertical="center" wrapText="1"/>
    </xf>
    <xf numFmtId="0" fontId="0" fillId="7" borderId="2" xfId="0" applyFill="1" applyBorder="1" applyAlignment="1">
      <alignment horizontal="center" vertical="center" wrapText="1"/>
    </xf>
    <xf numFmtId="0" fontId="0" fillId="7" borderId="4" xfId="0" applyFill="1" applyBorder="1" applyAlignment="1">
      <alignment horizontal="center" vertical="center" wrapText="1"/>
    </xf>
    <xf numFmtId="165" fontId="0" fillId="7" borderId="4" xfId="0" applyNumberFormat="1" applyFill="1" applyBorder="1" applyAlignment="1">
      <alignment horizontal="center" vertical="center" wrapText="1"/>
    </xf>
    <xf numFmtId="0" fontId="0" fillId="7" borderId="7" xfId="0" applyFill="1" applyBorder="1" applyAlignment="1">
      <alignment horizontal="center" vertical="center" wrapText="1"/>
    </xf>
    <xf numFmtId="165" fontId="0" fillId="7" borderId="2" xfId="0" applyNumberForma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vertical="center" wrapText="1"/>
    </xf>
    <xf numFmtId="0" fontId="0" fillId="0" borderId="9" xfId="0" applyBorder="1" applyAlignment="1">
      <alignment vertical="center" wrapText="1"/>
    </xf>
    <xf numFmtId="0" fontId="3" fillId="0" borderId="9" xfId="0" applyFont="1" applyBorder="1" applyAlignment="1">
      <alignment vertical="center" wrapText="1"/>
    </xf>
    <xf numFmtId="0" fontId="0" fillId="0" borderId="5" xfId="0" applyBorder="1" applyAlignment="1">
      <alignment vertical="center" wrapText="1"/>
    </xf>
    <xf numFmtId="0" fontId="3" fillId="0" borderId="9" xfId="0" applyFont="1" applyBorder="1" applyAlignment="1">
      <alignment horizontal="center" vertical="center" wrapText="1"/>
    </xf>
    <xf numFmtId="0" fontId="3" fillId="10" borderId="2" xfId="0" applyFont="1" applyFill="1" applyBorder="1" applyAlignment="1">
      <alignment horizontal="center" vertical="center" wrapText="1"/>
    </xf>
    <xf numFmtId="166" fontId="0" fillId="0" borderId="2" xfId="0" applyNumberFormat="1" applyBorder="1" applyAlignment="1">
      <alignment horizontal="center" vertical="center" wrapText="1"/>
    </xf>
    <xf numFmtId="167" fontId="0" fillId="0" borderId="2" xfId="0" applyNumberFormat="1"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wrapText="1"/>
    </xf>
    <xf numFmtId="165" fontId="0" fillId="0" borderId="4" xfId="0" applyNumberFormat="1" applyBorder="1" applyAlignment="1">
      <alignment horizontal="center" vertical="center" wrapText="1"/>
    </xf>
    <xf numFmtId="0" fontId="2" fillId="0" borderId="2" xfId="1" applyBorder="1" applyAlignment="1">
      <alignment horizontal="center" vertical="center"/>
    </xf>
    <xf numFmtId="166" fontId="0" fillId="0" borderId="6" xfId="0" applyNumberFormat="1" applyBorder="1" applyAlignment="1">
      <alignment horizontal="center" vertical="center" wrapText="1"/>
    </xf>
    <xf numFmtId="166" fontId="0" fillId="0" borderId="4" xfId="0" applyNumberFormat="1" applyBorder="1" applyAlignment="1">
      <alignment horizontal="center" vertical="center" wrapText="1"/>
    </xf>
    <xf numFmtId="168" fontId="0" fillId="0" borderId="2" xfId="0" applyNumberFormat="1" applyBorder="1" applyAlignment="1">
      <alignment horizontal="center" vertical="center" wrapText="1"/>
    </xf>
    <xf numFmtId="0" fontId="0" fillId="3" borderId="2" xfId="0" applyFill="1" applyBorder="1" applyAlignment="1">
      <alignment vertical="center" wrapText="1"/>
    </xf>
    <xf numFmtId="165" fontId="0" fillId="4" borderId="2" xfId="0" applyNumberFormat="1" applyFill="1" applyBorder="1" applyAlignment="1">
      <alignment horizontal="center" vertical="center" wrapText="1"/>
    </xf>
    <xf numFmtId="0" fontId="0" fillId="3" borderId="4" xfId="0" applyFill="1" applyBorder="1" applyAlignment="1">
      <alignment vertical="center" wrapText="1"/>
    </xf>
    <xf numFmtId="166" fontId="0" fillId="0" borderId="5" xfId="0" applyNumberFormat="1" applyBorder="1" applyAlignment="1">
      <alignment horizontal="center" vertical="center" wrapText="1"/>
    </xf>
    <xf numFmtId="0" fontId="0" fillId="12" borderId="4" xfId="0" applyFill="1" applyBorder="1" applyAlignment="1">
      <alignment horizontal="center" vertical="center" wrapText="1"/>
    </xf>
    <xf numFmtId="0" fontId="4" fillId="0" borderId="0" xfId="0" applyFont="1"/>
    <xf numFmtId="164" fontId="0" fillId="9" borderId="4" xfId="0" applyNumberFormat="1" applyFill="1" applyBorder="1" applyAlignment="1">
      <alignment horizontal="center" vertical="center" wrapText="1"/>
    </xf>
    <xf numFmtId="164" fontId="0" fillId="0" borderId="4" xfId="0" applyNumberFormat="1" applyBorder="1" applyAlignment="1">
      <alignment horizontal="center" vertical="center" wrapText="1"/>
    </xf>
    <xf numFmtId="164" fontId="0" fillId="0" borderId="6" xfId="0" applyNumberFormat="1" applyBorder="1" applyAlignment="1">
      <alignment horizontal="center" vertical="center" wrapText="1"/>
    </xf>
    <xf numFmtId="164" fontId="0" fillId="0" borderId="7" xfId="0" applyNumberFormat="1" applyBorder="1" applyAlignment="1">
      <alignment horizontal="center" vertical="center" wrapText="1"/>
    </xf>
    <xf numFmtId="0" fontId="0" fillId="0" borderId="4" xfId="0" applyBorder="1" applyAlignment="1">
      <alignment horizontal="left" vertical="center"/>
    </xf>
    <xf numFmtId="0" fontId="0" fillId="0" borderId="2" xfId="0" applyBorder="1" applyAlignment="1">
      <alignment horizontal="left" vertical="center"/>
    </xf>
    <xf numFmtId="0" fontId="0" fillId="0" borderId="0" xfId="0" applyAlignment="1">
      <alignment horizontal="left" vertical="center"/>
    </xf>
    <xf numFmtId="164" fontId="0" fillId="4" borderId="2" xfId="0" applyNumberFormat="1" applyFill="1" applyBorder="1" applyAlignment="1">
      <alignment horizontal="center" vertical="center" wrapText="1"/>
    </xf>
    <xf numFmtId="0" fontId="0" fillId="4" borderId="9" xfId="0" applyFill="1" applyBorder="1" applyAlignment="1">
      <alignment horizontal="center" vertical="center" wrapText="1"/>
    </xf>
    <xf numFmtId="164" fontId="0" fillId="4" borderId="4" xfId="0" applyNumberFormat="1" applyFill="1" applyBorder="1" applyAlignment="1">
      <alignment horizontal="center" vertical="center" wrapText="1"/>
    </xf>
    <xf numFmtId="164" fontId="6" fillId="4" borderId="4" xfId="0" applyNumberFormat="1" applyFont="1" applyFill="1" applyBorder="1" applyAlignment="1">
      <alignment horizontal="center" vertical="center" wrapText="1"/>
    </xf>
    <xf numFmtId="164" fontId="6" fillId="4" borderId="7" xfId="0" applyNumberFormat="1" applyFont="1" applyFill="1" applyBorder="1" applyAlignment="1">
      <alignment horizontal="center" vertical="center" wrapText="1"/>
    </xf>
    <xf numFmtId="0" fontId="0" fillId="4" borderId="6" xfId="0" applyFill="1" applyBorder="1" applyAlignment="1">
      <alignment horizontal="center" vertical="center" wrapText="1"/>
    </xf>
    <xf numFmtId="165" fontId="0" fillId="4" borderId="4" xfId="0" applyNumberFormat="1" applyFill="1" applyBorder="1" applyAlignment="1">
      <alignment horizontal="center" vertical="center" wrapText="1"/>
    </xf>
    <xf numFmtId="0" fontId="0" fillId="4" borderId="4" xfId="0" applyFill="1" applyBorder="1" applyAlignment="1">
      <alignment horizontal="center" vertical="center" wrapText="1"/>
    </xf>
    <xf numFmtId="0" fontId="0" fillId="4" borderId="5" xfId="0"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0" fillId="4" borderId="7" xfId="0" applyFill="1" applyBorder="1" applyAlignment="1">
      <alignment horizontal="center" vertical="center" wrapText="1"/>
    </xf>
    <xf numFmtId="0" fontId="0" fillId="4" borderId="8" xfId="0" applyFill="1" applyBorder="1" applyAlignment="1">
      <alignment horizontal="center" vertical="center" wrapText="1"/>
    </xf>
    <xf numFmtId="0" fontId="0" fillId="4" borderId="13" xfId="0" applyFill="1" applyBorder="1" applyAlignment="1">
      <alignment horizontal="center" vertical="center" wrapText="1"/>
    </xf>
    <xf numFmtId="0" fontId="0" fillId="6" borderId="2" xfId="0" applyFill="1" applyBorder="1" applyAlignment="1">
      <alignment horizontal="center" vertical="center" wrapText="1"/>
    </xf>
    <xf numFmtId="0" fontId="3" fillId="4" borderId="2" xfId="0" applyFont="1" applyFill="1" applyBorder="1" applyAlignment="1">
      <alignment horizontal="center" vertical="center" wrapText="1"/>
    </xf>
    <xf numFmtId="15" fontId="0" fillId="0" borderId="2" xfId="0" applyNumberFormat="1" applyBorder="1" applyAlignment="1">
      <alignment horizontal="center" vertical="center" wrapText="1"/>
    </xf>
    <xf numFmtId="0" fontId="0" fillId="6" borderId="4" xfId="0" applyFill="1" applyBorder="1" applyAlignment="1">
      <alignment horizontal="center" vertical="center" wrapText="1"/>
    </xf>
    <xf numFmtId="0" fontId="0" fillId="6" borderId="7" xfId="0" applyFill="1" applyBorder="1" applyAlignment="1">
      <alignment horizontal="center" vertical="center" wrapText="1"/>
    </xf>
    <xf numFmtId="0" fontId="0" fillId="4" borderId="11" xfId="0" applyFill="1" applyBorder="1" applyAlignment="1">
      <alignment horizontal="center" vertical="center" wrapText="1"/>
    </xf>
    <xf numFmtId="165" fontId="0" fillId="4" borderId="11" xfId="0" applyNumberFormat="1" applyFill="1" applyBorder="1" applyAlignment="1">
      <alignment horizontal="center" vertical="center" wrapText="1"/>
    </xf>
    <xf numFmtId="0" fontId="0" fillId="4" borderId="14" xfId="0" applyFill="1" applyBorder="1" applyAlignment="1">
      <alignment horizontal="center" vertical="center" wrapText="1"/>
    </xf>
    <xf numFmtId="164" fontId="0" fillId="4" borderId="6" xfId="0" applyNumberFormat="1" applyFill="1" applyBorder="1" applyAlignment="1">
      <alignment horizontal="center" vertical="center" wrapText="1"/>
    </xf>
    <xf numFmtId="0" fontId="3" fillId="4" borderId="6" xfId="0" applyFont="1"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164" fontId="0" fillId="0" borderId="11" xfId="0" applyNumberFormat="1" applyBorder="1" applyAlignment="1">
      <alignment horizontal="center" vertical="center" wrapText="1"/>
    </xf>
    <xf numFmtId="165" fontId="0" fillId="0" borderId="11" xfId="0" applyNumberFormat="1" applyBorder="1" applyAlignment="1">
      <alignment horizontal="center" vertical="center" wrapText="1"/>
    </xf>
    <xf numFmtId="0" fontId="0" fillId="8" borderId="11" xfId="0" applyFill="1" applyBorder="1" applyAlignment="1">
      <alignment horizontal="center" vertical="center" wrapText="1"/>
    </xf>
    <xf numFmtId="165" fontId="0" fillId="8" borderId="11" xfId="0" applyNumberFormat="1" applyFill="1" applyBorder="1" applyAlignment="1">
      <alignment horizontal="center" vertical="center" wrapText="1"/>
    </xf>
    <xf numFmtId="164" fontId="0" fillId="8" borderId="11" xfId="0" applyNumberFormat="1" applyFill="1" applyBorder="1" applyAlignment="1">
      <alignment horizontal="center" vertical="center" wrapText="1"/>
    </xf>
    <xf numFmtId="0" fontId="0" fillId="0" borderId="12" xfId="0" applyBorder="1" applyAlignment="1">
      <alignment horizontal="center" vertical="center" wrapText="1"/>
    </xf>
    <xf numFmtId="15" fontId="3"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15" fontId="3" fillId="0" borderId="9" xfId="0" applyNumberFormat="1" applyFont="1" applyBorder="1" applyAlignment="1">
      <alignment horizontal="center" vertical="center" wrapText="1"/>
    </xf>
    <xf numFmtId="0" fontId="3" fillId="4" borderId="12" xfId="0" applyFont="1" applyFill="1" applyBorder="1" applyAlignment="1">
      <alignment horizontal="center" vertical="center" wrapText="1"/>
    </xf>
    <xf numFmtId="166" fontId="0" fillId="0" borderId="7" xfId="0" applyNumberFormat="1" applyBorder="1" applyAlignment="1">
      <alignment horizontal="center" vertical="center" wrapText="1"/>
    </xf>
    <xf numFmtId="0" fontId="0" fillId="11" borderId="2" xfId="0" applyFill="1" applyBorder="1" applyAlignment="1">
      <alignment horizontal="center" vertical="center" wrapText="1"/>
    </xf>
    <xf numFmtId="0" fontId="0" fillId="11" borderId="4" xfId="0" applyFill="1" applyBorder="1" applyAlignment="1">
      <alignment horizontal="center" vertical="center" wrapText="1"/>
    </xf>
    <xf numFmtId="164" fontId="0" fillId="12" borderId="4" xfId="0" applyNumberFormat="1" applyFill="1" applyBorder="1" applyAlignment="1">
      <alignment horizontal="center" vertical="center" wrapText="1"/>
    </xf>
    <xf numFmtId="49" fontId="0" fillId="7" borderId="2" xfId="0" applyNumberFormat="1" applyFill="1" applyBorder="1" applyAlignment="1">
      <alignment horizontal="center" vertical="center" wrapText="1"/>
    </xf>
    <xf numFmtId="49" fontId="0" fillId="0" borderId="2" xfId="0" applyNumberFormat="1" applyBorder="1" applyAlignment="1">
      <alignment horizontal="center" vertical="center" wrapText="1"/>
    </xf>
    <xf numFmtId="49" fontId="0" fillId="6" borderId="2" xfId="0" applyNumberFormat="1" applyFill="1" applyBorder="1" applyAlignment="1">
      <alignment horizontal="center" vertical="center" wrapText="1"/>
    </xf>
    <xf numFmtId="49" fontId="0" fillId="4" borderId="2" xfId="0" applyNumberFormat="1" applyFill="1" applyBorder="1" applyAlignment="1">
      <alignment horizontal="center" vertical="center" wrapText="1"/>
    </xf>
    <xf numFmtId="49" fontId="3" fillId="4" borderId="2" xfId="0" applyNumberFormat="1" applyFont="1" applyFill="1" applyBorder="1" applyAlignment="1">
      <alignment horizontal="center" vertical="center" wrapText="1"/>
    </xf>
    <xf numFmtId="49" fontId="0" fillId="0" borderId="2" xfId="0" quotePrefix="1" applyNumberFormat="1" applyBorder="1" applyAlignment="1">
      <alignment horizontal="left" vertical="center" wrapText="1"/>
    </xf>
    <xf numFmtId="49" fontId="0" fillId="0" borderId="0" xfId="0" applyNumberFormat="1" applyAlignment="1">
      <alignment horizontal="center" vertical="center" wrapText="1"/>
    </xf>
    <xf numFmtId="0" fontId="0" fillId="0" borderId="10" xfId="0" applyBorder="1" applyAlignment="1">
      <alignment horizontal="center" vertical="center" wrapText="1"/>
    </xf>
    <xf numFmtId="165" fontId="0" fillId="0" borderId="10" xfId="0" applyNumberFormat="1" applyBorder="1" applyAlignment="1">
      <alignment horizontal="center" vertical="center" wrapText="1"/>
    </xf>
    <xf numFmtId="0" fontId="3" fillId="13" borderId="2" xfId="0" applyFont="1" applyFill="1" applyBorder="1" applyAlignment="1">
      <alignment horizontal="center" vertical="center" wrapText="1"/>
    </xf>
    <xf numFmtId="0" fontId="0" fillId="0" borderId="15" xfId="0" applyBorder="1" applyAlignment="1">
      <alignment horizontal="center" vertical="center" wrapText="1"/>
    </xf>
    <xf numFmtId="165" fontId="0" fillId="0" borderId="2" xfId="0" applyNumberFormat="1" applyBorder="1" applyAlignment="1">
      <alignment vertical="center" wrapText="1"/>
    </xf>
    <xf numFmtId="165" fontId="0" fillId="4" borderId="9" xfId="0" applyNumberFormat="1" applyFill="1" applyBorder="1" applyAlignment="1">
      <alignment horizontal="center" vertical="center" wrapText="1"/>
    </xf>
    <xf numFmtId="49" fontId="0" fillId="0" borderId="4" xfId="0" applyNumberFormat="1" applyBorder="1" applyAlignment="1">
      <alignment horizontal="center" vertical="center" wrapText="1"/>
    </xf>
    <xf numFmtId="0" fontId="0" fillId="9" borderId="2" xfId="0" applyFill="1" applyBorder="1" applyAlignment="1">
      <alignment horizontal="center" vertical="center" wrapText="1"/>
    </xf>
    <xf numFmtId="0" fontId="0" fillId="9" borderId="2" xfId="0" applyFill="1" applyBorder="1" applyAlignment="1">
      <alignment vertical="center" wrapText="1"/>
    </xf>
    <xf numFmtId="166" fontId="0" fillId="9" borderId="2" xfId="0" applyNumberFormat="1" applyFill="1" applyBorder="1" applyAlignment="1">
      <alignment horizontal="center" vertical="center" wrapText="1"/>
    </xf>
    <xf numFmtId="165" fontId="0" fillId="9" borderId="2" xfId="0" applyNumberFormat="1" applyFill="1" applyBorder="1" applyAlignment="1">
      <alignment horizontal="center" vertical="center" wrapText="1"/>
    </xf>
    <xf numFmtId="49" fontId="0" fillId="9" borderId="2" xfId="0" applyNumberFormat="1" applyFill="1" applyBorder="1" applyAlignment="1">
      <alignment horizontal="center" vertical="center" wrapText="1"/>
    </xf>
    <xf numFmtId="0" fontId="3" fillId="11" borderId="9" xfId="0" applyFont="1" applyFill="1" applyBorder="1" applyAlignment="1">
      <alignment horizontal="center" vertical="center" wrapText="1"/>
    </xf>
    <xf numFmtId="0" fontId="3" fillId="11" borderId="13" xfId="0" applyFont="1" applyFill="1" applyBorder="1" applyAlignment="1">
      <alignment horizontal="center" vertical="center" wrapText="1"/>
    </xf>
    <xf numFmtId="164" fontId="0" fillId="12" borderId="2" xfId="0" applyNumberFormat="1" applyFill="1" applyBorder="1" applyAlignment="1">
      <alignment horizontal="center" vertical="center" wrapText="1"/>
    </xf>
    <xf numFmtId="0" fontId="0" fillId="11" borderId="7" xfId="0" applyFill="1" applyBorder="1" applyAlignment="1">
      <alignment horizontal="center" vertical="center" wrapText="1"/>
    </xf>
    <xf numFmtId="0" fontId="0" fillId="9" borderId="4" xfId="0" applyFill="1" applyBorder="1" applyAlignment="1">
      <alignment horizontal="center" vertical="center" wrapText="1"/>
    </xf>
    <xf numFmtId="0" fontId="0" fillId="9" borderId="4" xfId="0" applyFill="1" applyBorder="1" applyAlignment="1">
      <alignment vertical="center" wrapText="1"/>
    </xf>
    <xf numFmtId="166" fontId="0" fillId="9" borderId="4" xfId="0" applyNumberFormat="1" applyFill="1" applyBorder="1" applyAlignment="1">
      <alignment horizontal="center" vertical="center" wrapText="1"/>
    </xf>
    <xf numFmtId="165" fontId="0" fillId="9" borderId="4" xfId="0" applyNumberFormat="1" applyFill="1" applyBorder="1" applyAlignment="1">
      <alignment horizontal="center" vertical="center" wrapText="1"/>
    </xf>
    <xf numFmtId="49" fontId="0" fillId="9" borderId="4" xfId="0" applyNumberFormat="1" applyFill="1" applyBorder="1" applyAlignment="1">
      <alignment horizontal="center" vertical="center" wrapText="1"/>
    </xf>
    <xf numFmtId="165" fontId="0" fillId="6" borderId="4" xfId="0" applyNumberFormat="1" applyFill="1" applyBorder="1" applyAlignment="1">
      <alignment horizontal="center" vertical="center" wrapText="1"/>
    </xf>
    <xf numFmtId="165" fontId="0" fillId="6" borderId="11" xfId="0" applyNumberFormat="1" applyFill="1" applyBorder="1" applyAlignment="1">
      <alignment horizontal="center" vertical="center" wrapText="1"/>
    </xf>
    <xf numFmtId="0" fontId="0" fillId="6" borderId="8" xfId="0" applyFill="1" applyBorder="1" applyAlignment="1">
      <alignment horizontal="center" vertical="center" wrapText="1"/>
    </xf>
    <xf numFmtId="165" fontId="0" fillId="6" borderId="2" xfId="0" applyNumberFormat="1" applyFill="1" applyBorder="1" applyAlignment="1">
      <alignment horizontal="center" vertical="center" wrapText="1"/>
    </xf>
    <xf numFmtId="0" fontId="0" fillId="0" borderId="2" xfId="0" applyBorder="1" applyAlignment="1">
      <alignment horizontal="left" vertical="center" wrapText="1"/>
    </xf>
    <xf numFmtId="0" fontId="0" fillId="0" borderId="5" xfId="0" applyBorder="1" applyAlignment="1">
      <alignment horizontal="left" vertical="center"/>
    </xf>
    <xf numFmtId="49" fontId="0" fillId="0" borderId="2" xfId="0" applyNumberFormat="1" applyBorder="1" applyAlignment="1">
      <alignment vertical="center"/>
    </xf>
    <xf numFmtId="49" fontId="0" fillId="0" borderId="4" xfId="0" applyNumberFormat="1" applyBorder="1" applyAlignment="1">
      <alignment vertical="center"/>
    </xf>
    <xf numFmtId="49" fontId="0" fillId="0" borderId="2" xfId="0" quotePrefix="1" applyNumberFormat="1" applyBorder="1" applyAlignment="1">
      <alignment horizontal="center" vertical="center"/>
    </xf>
    <xf numFmtId="49" fontId="0" fillId="0" borderId="2" xfId="0" applyNumberFormat="1" applyBorder="1" applyAlignment="1">
      <alignment horizontal="center" vertical="center"/>
    </xf>
    <xf numFmtId="49" fontId="0" fillId="0" borderId="0" xfId="0" applyNumberFormat="1" applyAlignment="1">
      <alignment vertical="center"/>
    </xf>
    <xf numFmtId="0" fontId="2" fillId="0" borderId="2" xfId="1" applyBorder="1" applyAlignment="1">
      <alignment horizontal="center" vertical="center" wrapText="1"/>
    </xf>
    <xf numFmtId="0" fontId="0" fillId="0" borderId="6" xfId="0" applyBorder="1" applyAlignment="1">
      <alignment horizontal="left" vertical="center"/>
    </xf>
    <xf numFmtId="0" fontId="0" fillId="0" borderId="7" xfId="0" applyBorder="1" applyAlignment="1">
      <alignment horizontal="left" vertical="center"/>
    </xf>
    <xf numFmtId="0" fontId="0" fillId="0" borderId="5" xfId="0" applyBorder="1" applyAlignment="1">
      <alignment horizontal="center" vertical="center"/>
    </xf>
    <xf numFmtId="0" fontId="0" fillId="0" borderId="16" xfId="0" applyBorder="1" applyAlignment="1">
      <alignment horizontal="left" vertical="center" wrapText="1"/>
    </xf>
    <xf numFmtId="0" fontId="0" fillId="0" borderId="5" xfId="0" applyBorder="1" applyAlignment="1">
      <alignment vertical="center"/>
    </xf>
    <xf numFmtId="49" fontId="0" fillId="0" borderId="5" xfId="0" applyNumberFormat="1" applyBorder="1" applyAlignment="1">
      <alignment vertical="center"/>
    </xf>
    <xf numFmtId="0" fontId="0" fillId="4" borderId="2" xfId="0" applyFill="1" applyBorder="1" applyAlignment="1">
      <alignment horizontal="center" vertical="center"/>
    </xf>
    <xf numFmtId="49" fontId="0" fillId="4" borderId="2" xfId="0" applyNumberFormat="1" applyFill="1" applyBorder="1" applyAlignment="1">
      <alignment horizontal="center" vertical="center"/>
    </xf>
    <xf numFmtId="0" fontId="0" fillId="0" borderId="17" xfId="0" applyBorder="1" applyAlignment="1">
      <alignment horizontal="left" vertical="center"/>
    </xf>
    <xf numFmtId="0" fontId="0" fillId="0" borderId="9" xfId="0" applyBorder="1" applyAlignment="1">
      <alignment horizontal="left" vertical="center"/>
    </xf>
    <xf numFmtId="0" fontId="0" fillId="0" borderId="8" xfId="0" applyBorder="1" applyAlignment="1">
      <alignment horizontal="left" vertical="center"/>
    </xf>
    <xf numFmtId="166" fontId="0" fillId="6" borderId="4" xfId="0" applyNumberFormat="1" applyFill="1" applyBorder="1" applyAlignment="1">
      <alignment horizontal="center" vertical="center" wrapText="1"/>
    </xf>
    <xf numFmtId="167" fontId="0" fillId="0" borderId="4" xfId="0" applyNumberFormat="1" applyBorder="1" applyAlignment="1">
      <alignment horizontal="center" vertical="center" wrapText="1"/>
    </xf>
    <xf numFmtId="0" fontId="0" fillId="12" borderId="2" xfId="0" applyFill="1" applyBorder="1" applyAlignment="1">
      <alignment horizontal="center" vertical="center" wrapText="1"/>
    </xf>
    <xf numFmtId="165" fontId="0" fillId="12" borderId="2" xfId="0" applyNumberFormat="1" applyFill="1" applyBorder="1" applyAlignment="1">
      <alignment horizontal="center" vertical="center" wrapText="1"/>
    </xf>
    <xf numFmtId="165" fontId="0" fillId="12" borderId="4" xfId="0" applyNumberFormat="1" applyFill="1" applyBorder="1" applyAlignment="1">
      <alignment horizontal="center" vertical="center" wrapText="1"/>
    </xf>
    <xf numFmtId="49" fontId="0" fillId="7" borderId="4" xfId="0" applyNumberFormat="1" applyFill="1" applyBorder="1" applyAlignment="1">
      <alignment horizontal="center" vertical="center" wrapText="1"/>
    </xf>
    <xf numFmtId="49" fontId="0" fillId="9" borderId="2" xfId="0" applyNumberFormat="1" applyFill="1" applyBorder="1" applyAlignment="1">
      <alignment horizontal="left" vertical="center" wrapText="1"/>
    </xf>
    <xf numFmtId="0" fontId="0" fillId="11" borderId="8" xfId="0" applyFill="1" applyBorder="1" applyAlignment="1">
      <alignment horizontal="center" vertical="center" wrapText="1"/>
    </xf>
    <xf numFmtId="0" fontId="0" fillId="12" borderId="7" xfId="0" applyFill="1" applyBorder="1" applyAlignment="1">
      <alignment horizontal="center" vertical="center" wrapText="1"/>
    </xf>
    <xf numFmtId="0" fontId="0" fillId="12" borderId="8" xfId="0" applyFill="1" applyBorder="1" applyAlignment="1">
      <alignment horizontal="center" vertical="center" wrapText="1"/>
    </xf>
    <xf numFmtId="49" fontId="0" fillId="12" borderId="4" xfId="0" applyNumberFormat="1" applyFill="1" applyBorder="1" applyAlignment="1">
      <alignment horizontal="center" vertical="center" wrapText="1"/>
    </xf>
    <xf numFmtId="164" fontId="5" fillId="12" borderId="2" xfId="0" applyNumberFormat="1"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8" xfId="0" applyFont="1" applyBorder="1" applyAlignment="1">
      <alignment horizontal="center" vertical="center" wrapText="1"/>
    </xf>
    <xf numFmtId="165" fontId="6" fillId="0" borderId="4" xfId="0" applyNumberFormat="1" applyFont="1" applyBorder="1" applyAlignment="1">
      <alignment horizontal="center" vertical="center" wrapText="1"/>
    </xf>
    <xf numFmtId="164" fontId="6" fillId="0" borderId="4" xfId="0" applyNumberFormat="1" applyFont="1" applyBorder="1" applyAlignment="1">
      <alignment horizontal="center" vertical="center" wrapText="1"/>
    </xf>
    <xf numFmtId="0" fontId="6" fillId="0" borderId="7" xfId="0" applyFont="1" applyBorder="1" applyAlignment="1">
      <alignment horizontal="center" vertical="center" wrapText="1"/>
    </xf>
    <xf numFmtId="49" fontId="6" fillId="0" borderId="4" xfId="0" applyNumberFormat="1" applyFont="1" applyBorder="1" applyAlignment="1">
      <alignment horizontal="center" vertical="center" wrapText="1"/>
    </xf>
    <xf numFmtId="164" fontId="0" fillId="7" borderId="4" xfId="0" applyNumberFormat="1" applyFill="1" applyBorder="1" applyAlignment="1">
      <alignment horizontal="center" vertical="center" wrapText="1"/>
    </xf>
    <xf numFmtId="165" fontId="0" fillId="4" borderId="2" xfId="0" applyNumberFormat="1" applyFill="1" applyBorder="1" applyAlignment="1">
      <alignment vertical="center" wrapText="1"/>
    </xf>
    <xf numFmtId="165" fontId="0" fillId="0" borderId="4" xfId="0" applyNumberFormat="1" applyBorder="1" applyAlignment="1">
      <alignment vertical="center" wrapText="1"/>
    </xf>
    <xf numFmtId="14" fontId="0" fillId="0" borderId="2" xfId="0" applyNumberFormat="1" applyBorder="1" applyAlignment="1">
      <alignment horizontal="center" vertical="center" wrapText="1"/>
    </xf>
    <xf numFmtId="169" fontId="0" fillId="0" borderId="1" xfId="0" applyNumberFormat="1" applyBorder="1" applyAlignment="1">
      <alignment horizontal="center" vertical="center" wrapText="1"/>
    </xf>
    <xf numFmtId="0" fontId="0" fillId="12" borderId="1" xfId="0" applyFill="1" applyBorder="1" applyAlignment="1">
      <alignment horizontal="center" vertical="center" wrapText="1"/>
    </xf>
    <xf numFmtId="165" fontId="0" fillId="12" borderId="1" xfId="0" applyNumberFormat="1" applyFill="1" applyBorder="1" applyAlignment="1">
      <alignment horizontal="center" vertical="center" wrapText="1"/>
    </xf>
    <xf numFmtId="165" fontId="0" fillId="0" borderId="1" xfId="0" applyNumberFormat="1" applyBorder="1" applyAlignment="1">
      <alignment horizontal="center" vertical="center" wrapText="1"/>
    </xf>
    <xf numFmtId="169" fontId="0" fillId="0" borderId="11" xfId="0" applyNumberFormat="1" applyBorder="1" applyAlignment="1">
      <alignment horizontal="center" vertical="center" wrapText="1"/>
    </xf>
    <xf numFmtId="0" fontId="0" fillId="12" borderId="11" xfId="0" applyFill="1" applyBorder="1" applyAlignment="1">
      <alignment horizontal="center" vertical="center" wrapText="1"/>
    </xf>
    <xf numFmtId="49" fontId="0" fillId="12" borderId="2" xfId="0" applyNumberFormat="1" applyFill="1" applyBorder="1" applyAlignment="1">
      <alignment horizontal="center" vertical="center" wrapText="1"/>
    </xf>
    <xf numFmtId="49" fontId="0" fillId="0" borderId="4" xfId="0" applyNumberFormat="1" applyBorder="1" applyAlignment="1">
      <alignment horizontal="left" vertical="center" wrapText="1"/>
    </xf>
    <xf numFmtId="0" fontId="0" fillId="13" borderId="6" xfId="0" applyFill="1" applyBorder="1" applyAlignment="1">
      <alignment horizontal="center" vertical="center" wrapText="1"/>
    </xf>
    <xf numFmtId="0" fontId="0" fillId="13" borderId="7" xfId="0" applyFill="1" applyBorder="1" applyAlignment="1">
      <alignment horizontal="center" vertical="center" wrapText="1"/>
    </xf>
    <xf numFmtId="0" fontId="0" fillId="12" borderId="6" xfId="0" applyFill="1" applyBorder="1" applyAlignment="1">
      <alignment horizontal="center" vertical="center" wrapText="1"/>
    </xf>
    <xf numFmtId="0" fontId="0" fillId="0" borderId="14" xfId="0" applyBorder="1" applyAlignment="1">
      <alignment vertical="center" wrapText="1"/>
    </xf>
    <xf numFmtId="0" fontId="0" fillId="0" borderId="18" xfId="0" applyBorder="1" applyAlignment="1">
      <alignment horizontal="center" vertical="center" wrapText="1"/>
    </xf>
    <xf numFmtId="165" fontId="0" fillId="12" borderId="11" xfId="0" applyNumberFormat="1" applyFill="1" applyBorder="1" applyAlignment="1">
      <alignment horizontal="center" vertical="center" wrapText="1"/>
    </xf>
    <xf numFmtId="165" fontId="0" fillId="12" borderId="9" xfId="0" applyNumberFormat="1" applyFill="1" applyBorder="1" applyAlignment="1">
      <alignment horizontal="center" vertical="center" wrapText="1"/>
    </xf>
    <xf numFmtId="0" fontId="2" fillId="0" borderId="4" xfId="1" applyBorder="1" applyAlignment="1">
      <alignment vertical="center"/>
    </xf>
    <xf numFmtId="164" fontId="0" fillId="9" borderId="2" xfId="0" applyNumberFormat="1" applyFill="1" applyBorder="1" applyAlignment="1">
      <alignment horizontal="center" vertical="center" wrapText="1"/>
    </xf>
    <xf numFmtId="0" fontId="0" fillId="7" borderId="11" xfId="0" applyFill="1" applyBorder="1" applyAlignment="1">
      <alignment horizontal="center" vertical="center" wrapText="1"/>
    </xf>
    <xf numFmtId="165" fontId="0" fillId="7" borderId="11" xfId="0" applyNumberFormat="1" applyFill="1" applyBorder="1" applyAlignment="1">
      <alignment horizontal="center" vertical="center" wrapText="1"/>
    </xf>
    <xf numFmtId="169" fontId="0" fillId="7" borderId="11" xfId="0" applyNumberFormat="1" applyFill="1" applyBorder="1" applyAlignment="1">
      <alignment horizontal="center" vertical="center" wrapText="1"/>
    </xf>
    <xf numFmtId="0" fontId="0" fillId="7" borderId="14" xfId="0" applyFill="1" applyBorder="1" applyAlignment="1">
      <alignment horizontal="center" vertical="center" wrapText="1"/>
    </xf>
    <xf numFmtId="0" fontId="0" fillId="7" borderId="18" xfId="0" applyFill="1" applyBorder="1" applyAlignment="1">
      <alignment horizontal="center" vertical="center" wrapText="1"/>
    </xf>
    <xf numFmtId="166" fontId="0" fillId="4" borderId="2" xfId="0" applyNumberFormat="1" applyFill="1" applyBorder="1" applyAlignment="1">
      <alignment horizontal="center" vertical="center" wrapText="1"/>
    </xf>
    <xf numFmtId="0" fontId="0" fillId="12" borderId="9" xfId="0" applyFill="1" applyBorder="1" applyAlignment="1">
      <alignment horizontal="center" vertical="center" wrapText="1"/>
    </xf>
    <xf numFmtId="166" fontId="0" fillId="0" borderId="0" xfId="0" applyNumberFormat="1" applyAlignment="1">
      <alignment horizontal="center" vertical="center" wrapText="1"/>
    </xf>
    <xf numFmtId="0" fontId="0" fillId="0" borderId="19" xfId="0" applyBorder="1" applyAlignment="1">
      <alignment horizontal="center" vertical="center" wrapText="1"/>
    </xf>
    <xf numFmtId="49" fontId="0" fillId="0" borderId="0" xfId="0" applyNumberFormat="1" applyAlignment="1">
      <alignment horizontal="center" vertical="center"/>
    </xf>
    <xf numFmtId="49" fontId="0" fillId="0" borderId="4" xfId="0" applyNumberFormat="1" applyBorder="1" applyAlignment="1">
      <alignment horizontal="center" vertical="center"/>
    </xf>
    <xf numFmtId="165" fontId="0" fillId="0" borderId="9" xfId="0" applyNumberFormat="1" applyBorder="1" applyAlignment="1">
      <alignment horizontal="center" vertical="center" wrapText="1"/>
    </xf>
    <xf numFmtId="0" fontId="0" fillId="11" borderId="2" xfId="0" applyFill="1" applyBorder="1" applyAlignment="1">
      <alignment vertical="center" wrapText="1"/>
    </xf>
    <xf numFmtId="164" fontId="0" fillId="0" borderId="9" xfId="0" applyNumberFormat="1" applyBorder="1" applyAlignment="1">
      <alignment horizontal="center" vertical="center" wrapText="1"/>
    </xf>
    <xf numFmtId="0" fontId="0" fillId="7" borderId="4" xfId="0" applyFill="1" applyBorder="1" applyAlignment="1">
      <alignment vertical="center" wrapText="1"/>
    </xf>
    <xf numFmtId="164" fontId="0" fillId="7" borderId="4" xfId="0" applyNumberFormat="1" applyFill="1" applyBorder="1" applyAlignment="1">
      <alignment vertical="center" wrapText="1"/>
    </xf>
    <xf numFmtId="0" fontId="0" fillId="7" borderId="2" xfId="0" applyFill="1" applyBorder="1" applyAlignment="1">
      <alignment vertical="center" wrapText="1"/>
    </xf>
    <xf numFmtId="0" fontId="0" fillId="0" borderId="20" xfId="0" applyBorder="1" applyAlignment="1">
      <alignment horizontal="left" vertical="center"/>
    </xf>
    <xf numFmtId="0" fontId="0" fillId="0" borderId="9" xfId="0" applyBorder="1" applyAlignment="1">
      <alignment horizontal="left" vertical="center" wrapText="1"/>
    </xf>
    <xf numFmtId="0" fontId="0" fillId="14" borderId="2" xfId="0" applyFill="1" applyBorder="1" applyAlignment="1">
      <alignment horizontal="center" vertical="center" wrapText="1"/>
    </xf>
    <xf numFmtId="0" fontId="0" fillId="14" borderId="4" xfId="0" applyFill="1" applyBorder="1" applyAlignment="1">
      <alignment horizontal="center" vertical="center" wrapText="1"/>
    </xf>
    <xf numFmtId="0" fontId="0" fillId="15" borderId="2" xfId="0" applyFill="1" applyBorder="1" applyAlignment="1">
      <alignment horizontal="center" vertical="center" wrapText="1"/>
    </xf>
    <xf numFmtId="0" fontId="0" fillId="15" borderId="4" xfId="0" applyFill="1" applyBorder="1" applyAlignment="1">
      <alignment horizontal="center" vertical="center" wrapText="1"/>
    </xf>
    <xf numFmtId="0" fontId="0" fillId="14" borderId="9" xfId="0" applyFill="1" applyBorder="1" applyAlignment="1">
      <alignment horizontal="center" vertical="center" wrapText="1"/>
    </xf>
    <xf numFmtId="0" fontId="0" fillId="13" borderId="4" xfId="0" applyFill="1" applyBorder="1" applyAlignment="1">
      <alignment horizontal="center" vertical="center" wrapText="1"/>
    </xf>
    <xf numFmtId="165" fontId="0" fillId="4" borderId="8" xfId="0" applyNumberFormat="1" applyFill="1" applyBorder="1" applyAlignment="1">
      <alignment horizontal="center" vertical="center" wrapText="1"/>
    </xf>
    <xf numFmtId="165" fontId="0" fillId="0" borderId="8" xfId="0" applyNumberFormat="1" applyBorder="1" applyAlignment="1">
      <alignment horizontal="center" vertical="center" wrapText="1"/>
    </xf>
    <xf numFmtId="165" fontId="0" fillId="9" borderId="6" xfId="0" applyNumberFormat="1" applyFill="1" applyBorder="1" applyAlignment="1">
      <alignment horizontal="center" vertical="center" wrapText="1"/>
    </xf>
    <xf numFmtId="0" fontId="0" fillId="11" borderId="4" xfId="0" applyFill="1" applyBorder="1" applyAlignment="1">
      <alignment vertical="center" wrapText="1"/>
    </xf>
    <xf numFmtId="0" fontId="0" fillId="13" borderId="2" xfId="0" applyFill="1" applyBorder="1" applyAlignment="1">
      <alignment vertical="center" wrapText="1"/>
    </xf>
    <xf numFmtId="0" fontId="0" fillId="16" borderId="2" xfId="0" applyFill="1" applyBorder="1" applyAlignment="1">
      <alignment horizontal="left" vertical="center" wrapText="1"/>
    </xf>
    <xf numFmtId="43" fontId="0" fillId="0" borderId="9" xfId="0" applyNumberFormat="1" applyBorder="1" applyAlignment="1">
      <alignment horizontal="center" vertical="center" wrapText="1"/>
    </xf>
    <xf numFmtId="170" fontId="0" fillId="0" borderId="9" xfId="0" applyNumberFormat="1" applyBorder="1" applyAlignment="1">
      <alignment horizontal="center" vertical="center" wrapText="1"/>
    </xf>
    <xf numFmtId="0" fontId="0" fillId="14" borderId="11" xfId="0" applyFill="1" applyBorder="1" applyAlignment="1">
      <alignment horizontal="center" vertical="center" wrapText="1"/>
    </xf>
    <xf numFmtId="0" fontId="0" fillId="14" borderId="1" xfId="0" applyFill="1" applyBorder="1" applyAlignment="1">
      <alignment horizontal="center" vertical="center" wrapText="1"/>
    </xf>
    <xf numFmtId="170" fontId="0" fillId="16" borderId="9" xfId="0" applyNumberFormat="1" applyFill="1" applyBorder="1" applyAlignment="1">
      <alignment horizontal="center" vertical="center" wrapText="1"/>
    </xf>
    <xf numFmtId="165" fontId="0" fillId="16" borderId="2" xfId="0" applyNumberFormat="1" applyFill="1" applyBorder="1" applyAlignment="1">
      <alignment horizontal="center" vertical="center" wrapText="1"/>
    </xf>
    <xf numFmtId="0" fontId="0" fillId="4" borderId="2" xfId="0" applyFill="1" applyBorder="1" applyAlignment="1">
      <alignment horizontal="left" vertical="center" wrapText="1"/>
    </xf>
    <xf numFmtId="170" fontId="0" fillId="4" borderId="9" xfId="0" applyNumberFormat="1" applyFill="1" applyBorder="1" applyAlignment="1">
      <alignment horizontal="center" vertical="center" wrapText="1"/>
    </xf>
    <xf numFmtId="43" fontId="0" fillId="4" borderId="9" xfId="0" applyNumberFormat="1" applyFill="1" applyBorder="1" applyAlignment="1">
      <alignment horizontal="center" vertical="center" wrapText="1"/>
    </xf>
    <xf numFmtId="49" fontId="0" fillId="4" borderId="4" xfId="0" applyNumberFormat="1" applyFill="1" applyBorder="1" applyAlignment="1">
      <alignment horizontal="center" vertical="center" wrapText="1"/>
    </xf>
    <xf numFmtId="0" fontId="0" fillId="11" borderId="1" xfId="0" applyFill="1" applyBorder="1" applyAlignment="1">
      <alignment vertical="center" wrapText="1"/>
    </xf>
    <xf numFmtId="0" fontId="0" fillId="11" borderId="11" xfId="0" applyFill="1" applyBorder="1" applyAlignment="1">
      <alignment vertical="center" wrapText="1"/>
    </xf>
    <xf numFmtId="166" fontId="8" fillId="0" borderId="1" xfId="0" applyNumberFormat="1" applyFont="1" applyBorder="1" applyAlignment="1">
      <alignment horizontal="center" vertical="center" wrapText="1"/>
    </xf>
    <xf numFmtId="0" fontId="3" fillId="4" borderId="4"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4" borderId="7"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3" fillId="14" borderId="4" xfId="0" applyFont="1" applyFill="1" applyBorder="1" applyAlignment="1">
      <alignment horizontal="center" vertical="center" wrapText="1"/>
    </xf>
    <xf numFmtId="0" fontId="8" fillId="14" borderId="2" xfId="0" applyFont="1" applyFill="1" applyBorder="1" applyAlignment="1">
      <alignment horizontal="center" vertical="center" wrapText="1"/>
    </xf>
    <xf numFmtId="0" fontId="0" fillId="11" borderId="0" xfId="0" applyFill="1" applyAlignment="1">
      <alignment vertical="center" wrapText="1"/>
    </xf>
    <xf numFmtId="165" fontId="0" fillId="16" borderId="4" xfId="0" applyNumberFormat="1" applyFill="1" applyBorder="1" applyAlignment="1">
      <alignment horizontal="center" vertical="center" wrapText="1"/>
    </xf>
    <xf numFmtId="169" fontId="0" fillId="0" borderId="9" xfId="0" applyNumberFormat="1" applyBorder="1" applyAlignment="1">
      <alignment horizontal="center" vertical="center" wrapText="1"/>
    </xf>
    <xf numFmtId="0" fontId="0" fillId="0" borderId="13" xfId="0" applyBorder="1" applyAlignment="1">
      <alignment horizontal="left" vertical="center"/>
    </xf>
    <xf numFmtId="49" fontId="0" fillId="0" borderId="4" xfId="0" quotePrefix="1" applyNumberFormat="1" applyBorder="1" applyAlignment="1">
      <alignment horizontal="center" vertical="center"/>
    </xf>
    <xf numFmtId="0" fontId="2" fillId="0" borderId="4" xfId="1" applyBorder="1" applyAlignment="1">
      <alignment horizontal="left" vertical="center"/>
    </xf>
    <xf numFmtId="43" fontId="0" fillId="0" borderId="2" xfId="0" applyNumberFormat="1" applyBorder="1" applyAlignment="1">
      <alignment horizontal="center" vertical="center" wrapText="1"/>
    </xf>
    <xf numFmtId="165" fontId="0" fillId="0" borderId="5" xfId="0" applyNumberFormat="1" applyBorder="1" applyAlignment="1">
      <alignment horizontal="center" vertical="center" wrapText="1"/>
    </xf>
    <xf numFmtId="0" fontId="0" fillId="0" borderId="5" xfId="0" applyBorder="1" applyAlignment="1">
      <alignment horizontal="center" vertical="center" wrapText="1"/>
    </xf>
    <xf numFmtId="169" fontId="0" fillId="0" borderId="2" xfId="0" applyNumberFormat="1" applyBorder="1" applyAlignment="1">
      <alignment horizontal="center" vertical="center" wrapText="1"/>
    </xf>
    <xf numFmtId="0" fontId="5" fillId="9" borderId="2" xfId="0" applyFont="1" applyFill="1" applyBorder="1" applyAlignment="1">
      <alignment horizontal="center" vertical="center" wrapText="1"/>
    </xf>
    <xf numFmtId="0" fontId="0" fillId="11" borderId="7" xfId="0" applyFill="1" applyBorder="1" applyAlignment="1">
      <alignment vertical="center" wrapText="1"/>
    </xf>
    <xf numFmtId="0" fontId="0" fillId="0" borderId="13" xfId="0" applyBorder="1" applyAlignment="1">
      <alignment vertical="center" wrapText="1"/>
    </xf>
    <xf numFmtId="0" fontId="0" fillId="9" borderId="5" xfId="0" applyFill="1" applyBorder="1" applyAlignment="1">
      <alignment horizontal="center" vertical="center" wrapText="1"/>
    </xf>
    <xf numFmtId="0" fontId="0" fillId="9" borderId="5" xfId="0" applyFill="1" applyBorder="1" applyAlignment="1">
      <alignment vertical="center" wrapText="1"/>
    </xf>
    <xf numFmtId="165" fontId="0" fillId="9" borderId="5" xfId="0" applyNumberFormat="1" applyFill="1" applyBorder="1" applyAlignment="1">
      <alignment horizontal="center" vertical="center" wrapText="1"/>
    </xf>
    <xf numFmtId="49" fontId="0" fillId="0" borderId="5" xfId="0" applyNumberFormat="1" applyBorder="1" applyAlignment="1">
      <alignment horizontal="center" vertical="center" wrapText="1"/>
    </xf>
    <xf numFmtId="43" fontId="0" fillId="0" borderId="4" xfId="0" applyNumberFormat="1" applyBorder="1" applyAlignment="1">
      <alignment horizontal="center"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9" borderId="6" xfId="0" applyFill="1" applyBorder="1" applyAlignment="1">
      <alignment horizontal="center" vertical="center" wrapText="1"/>
    </xf>
    <xf numFmtId="0" fontId="0" fillId="9" borderId="7" xfId="0" applyFill="1" applyBorder="1" applyAlignment="1">
      <alignment horizontal="center" vertical="center" wrapText="1"/>
    </xf>
    <xf numFmtId="0" fontId="5" fillId="9" borderId="4" xfId="0" applyFont="1" applyFill="1" applyBorder="1" applyAlignment="1">
      <alignment horizontal="center" vertical="center" wrapText="1"/>
    </xf>
    <xf numFmtId="0" fontId="0" fillId="9" borderId="0" xfId="0" applyFill="1" applyAlignment="1">
      <alignment horizontal="center" vertical="center" wrapText="1"/>
    </xf>
    <xf numFmtId="164" fontId="0" fillId="9" borderId="0" xfId="0" applyNumberFormat="1" applyFill="1" applyAlignment="1">
      <alignment horizontal="center" vertical="center" wrapText="1"/>
    </xf>
    <xf numFmtId="0" fontId="5" fillId="4" borderId="0" xfId="0" applyFont="1" applyFill="1" applyAlignment="1">
      <alignment horizontal="center" vertical="center" wrapText="1"/>
    </xf>
    <xf numFmtId="0" fontId="0" fillId="4" borderId="0" xfId="0" applyFill="1" applyAlignment="1">
      <alignment horizontal="center" vertical="center" wrapText="1"/>
    </xf>
    <xf numFmtId="165" fontId="0" fillId="4" borderId="0" xfId="0" applyNumberFormat="1" applyFill="1" applyAlignment="1">
      <alignment horizontal="center" vertical="center" wrapText="1"/>
    </xf>
    <xf numFmtId="165" fontId="0" fillId="9" borderId="0" xfId="0" applyNumberFormat="1" applyFill="1" applyAlignment="1">
      <alignment horizontal="center" vertical="center" wrapText="1"/>
    </xf>
    <xf numFmtId="43" fontId="0" fillId="0" borderId="0" xfId="0" applyNumberFormat="1" applyAlignment="1">
      <alignment horizontal="center" vertical="center" wrapText="1"/>
    </xf>
    <xf numFmtId="0" fontId="10" fillId="0" borderId="0" xfId="0" applyFont="1"/>
    <xf numFmtId="0" fontId="7" fillId="0" borderId="0" xfId="0" applyFont="1" applyAlignment="1">
      <alignment horizontal="left" vertical="center" wrapText="1"/>
    </xf>
    <xf numFmtId="0" fontId="3" fillId="11" borderId="8" xfId="0" applyFont="1" applyFill="1" applyBorder="1" applyAlignment="1">
      <alignment horizontal="center" vertical="center" wrapText="1"/>
    </xf>
    <xf numFmtId="0" fontId="8" fillId="14" borderId="4" xfId="0" applyFont="1" applyFill="1" applyBorder="1" applyAlignment="1">
      <alignment horizontal="center" vertical="center" wrapText="1"/>
    </xf>
    <xf numFmtId="0" fontId="0" fillId="13" borderId="0" xfId="0" applyFill="1" applyAlignment="1">
      <alignment vertical="center" wrapText="1"/>
    </xf>
    <xf numFmtId="0" fontId="0" fillId="16" borderId="0" xfId="0" applyFill="1" applyAlignment="1">
      <alignment horizontal="left" vertical="center" wrapText="1"/>
    </xf>
    <xf numFmtId="0" fontId="10" fillId="17" borderId="2" xfId="0" applyFont="1" applyFill="1" applyBorder="1"/>
    <xf numFmtId="0" fontId="10" fillId="0" borderId="2" xfId="0" applyFont="1" applyBorder="1"/>
    <xf numFmtId="8" fontId="0" fillId="0" borderId="0" xfId="0" applyNumberFormat="1" applyAlignment="1">
      <alignment horizontal="center" vertical="center" wrapText="1"/>
    </xf>
    <xf numFmtId="49" fontId="0" fillId="0" borderId="7" xfId="0" applyNumberFormat="1" applyBorder="1" applyAlignment="1">
      <alignment horizontal="center" vertical="center" wrapText="1"/>
    </xf>
    <xf numFmtId="171" fontId="0" fillId="0" borderId="4" xfId="0" applyNumberFormat="1" applyBorder="1" applyAlignment="1">
      <alignment horizontal="center" vertical="center" wrapText="1"/>
    </xf>
    <xf numFmtId="49" fontId="0" fillId="0" borderId="6" xfId="0" applyNumberFormat="1" applyBorder="1" applyAlignment="1">
      <alignment horizontal="center" vertical="center" wrapText="1"/>
    </xf>
    <xf numFmtId="172" fontId="0" fillId="0" borderId="2" xfId="0" applyNumberFormat="1" applyBorder="1" applyAlignment="1">
      <alignment horizontal="center" vertical="center" wrapText="1"/>
    </xf>
    <xf numFmtId="0" fontId="0" fillId="3" borderId="4" xfId="0" applyFill="1" applyBorder="1" applyAlignment="1">
      <alignment horizontal="center" vertical="center" wrapText="1"/>
    </xf>
    <xf numFmtId="0" fontId="0" fillId="3" borderId="8" xfId="0" applyFill="1" applyBorder="1" applyAlignment="1">
      <alignment horizontal="center" vertical="center" wrapText="1"/>
    </xf>
    <xf numFmtId="0" fontId="0" fillId="3" borderId="7" xfId="0" applyFill="1" applyBorder="1" applyAlignment="1">
      <alignment vertical="center" wrapText="1"/>
    </xf>
    <xf numFmtId="166" fontId="0" fillId="3" borderId="4" xfId="0" applyNumberFormat="1" applyFill="1" applyBorder="1" applyAlignment="1">
      <alignment horizontal="center" vertical="center" wrapText="1"/>
    </xf>
    <xf numFmtId="172" fontId="0" fillId="0" borderId="4" xfId="0" applyNumberFormat="1" applyBorder="1" applyAlignment="1">
      <alignment horizontal="center" vertical="center" wrapText="1"/>
    </xf>
    <xf numFmtId="173" fontId="0" fillId="0" borderId="2" xfId="0" applyNumberFormat="1" applyBorder="1" applyAlignment="1">
      <alignment horizontal="center" vertical="center" wrapText="1"/>
    </xf>
    <xf numFmtId="173" fontId="0" fillId="0" borderId="4" xfId="0" applyNumberFormat="1" applyBorder="1" applyAlignment="1">
      <alignment horizontal="center" vertical="center" wrapText="1"/>
    </xf>
    <xf numFmtId="0" fontId="0" fillId="0" borderId="7" xfId="0" applyBorder="1" applyAlignment="1">
      <alignment vertical="center" wrapText="1"/>
    </xf>
    <xf numFmtId="0" fontId="0" fillId="0" borderId="13" xfId="0" applyBorder="1" applyAlignment="1">
      <alignment horizontal="center" vertical="center" wrapText="1"/>
    </xf>
    <xf numFmtId="173" fontId="0" fillId="0" borderId="0" xfId="0" applyNumberFormat="1" applyAlignment="1">
      <alignment horizontal="center" vertical="center" wrapText="1"/>
    </xf>
    <xf numFmtId="165" fontId="0" fillId="0" borderId="4" xfId="0" applyNumberFormat="1" applyBorder="1" applyAlignment="1">
      <alignment horizontal="center" vertical="center" wrapText="1"/>
    </xf>
    <xf numFmtId="165" fontId="0" fillId="0" borderId="10" xfId="0" applyNumberFormat="1" applyBorder="1" applyAlignment="1">
      <alignment horizontal="center" vertical="center" wrapText="1"/>
    </xf>
    <xf numFmtId="165" fontId="0" fillId="0" borderId="5" xfId="0" applyNumberFormat="1" applyBorder="1" applyAlignment="1">
      <alignment horizontal="center" vertical="center" wrapText="1"/>
    </xf>
    <xf numFmtId="0" fontId="0" fillId="0" borderId="4" xfId="0" applyBorder="1" applyAlignment="1">
      <alignment horizontal="center" vertical="center" wrapText="1"/>
    </xf>
    <xf numFmtId="0" fontId="0" fillId="0" borderId="10" xfId="0" applyBorder="1" applyAlignment="1">
      <alignment horizontal="center" vertical="center" wrapText="1"/>
    </xf>
    <xf numFmtId="0" fontId="0" fillId="0" borderId="5" xfId="0" applyBorder="1" applyAlignment="1">
      <alignment horizontal="center" vertical="center" wrapText="1"/>
    </xf>
    <xf numFmtId="0" fontId="7" fillId="0" borderId="0" xfId="0" applyFont="1" applyAlignment="1">
      <alignment horizontal="left" vertical="center" wrapText="1"/>
    </xf>
    <xf numFmtId="0" fontId="0" fillId="0" borderId="7"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9" borderId="2" xfId="0" applyFill="1"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0" fillId="7" borderId="2" xfId="0" applyFill="1" applyBorder="1" applyAlignment="1">
      <alignment horizontal="center" vertical="center" wrapText="1"/>
    </xf>
    <xf numFmtId="0" fontId="0" fillId="5" borderId="2" xfId="0" applyFill="1" applyBorder="1" applyAlignment="1">
      <alignment horizontal="center" vertical="center" wrapText="1"/>
    </xf>
    <xf numFmtId="0" fontId="0" fillId="5" borderId="6" xfId="0" applyFill="1" applyBorder="1" applyAlignment="1">
      <alignment horizontal="center" vertical="center" wrapText="1"/>
    </xf>
    <xf numFmtId="164" fontId="0" fillId="0" borderId="4" xfId="0" applyNumberFormat="1" applyBorder="1" applyAlignment="1">
      <alignment horizontal="center" vertical="center" wrapText="1"/>
    </xf>
    <xf numFmtId="164" fontId="0" fillId="0" borderId="10" xfId="0" applyNumberFormat="1" applyBorder="1" applyAlignment="1">
      <alignment horizontal="center" vertical="center" wrapText="1"/>
    </xf>
    <xf numFmtId="164" fontId="0" fillId="0" borderId="5" xfId="0" applyNumberFormat="1" applyBorder="1" applyAlignment="1">
      <alignment horizontal="center" vertical="center" wrapText="1"/>
    </xf>
    <xf numFmtId="0" fontId="0" fillId="7" borderId="6" xfId="0" applyFill="1" applyBorder="1" applyAlignment="1">
      <alignment horizontal="center" vertical="center" wrapText="1"/>
    </xf>
    <xf numFmtId="49" fontId="0" fillId="0" borderId="4" xfId="0" quotePrefix="1" applyNumberFormat="1" applyBorder="1" applyAlignment="1">
      <alignment horizontal="left" vertical="center" wrapText="1"/>
    </xf>
    <xf numFmtId="49" fontId="0" fillId="0" borderId="10" xfId="0" applyNumberFormat="1" applyBorder="1" applyAlignment="1">
      <alignment horizontal="left" vertical="center" wrapText="1"/>
    </xf>
    <xf numFmtId="49" fontId="0" fillId="0" borderId="5" xfId="0" applyNumberFormat="1" applyBorder="1" applyAlignment="1">
      <alignment horizontal="left" vertical="center" wrapText="1"/>
    </xf>
    <xf numFmtId="0" fontId="0" fillId="9" borderId="4" xfId="0" applyFill="1" applyBorder="1" applyAlignment="1">
      <alignment horizontal="center" vertical="center" wrapText="1"/>
    </xf>
    <xf numFmtId="0" fontId="0" fillId="0" borderId="4" xfId="0" applyBorder="1" applyAlignment="1">
      <alignment vertical="center" wrapText="1"/>
    </xf>
    <xf numFmtId="0" fontId="3" fillId="11" borderId="2" xfId="0" applyFont="1" applyFill="1" applyBorder="1" applyAlignment="1">
      <alignment horizontal="center" vertical="center" wrapText="1"/>
    </xf>
    <xf numFmtId="0" fontId="0" fillId="0" borderId="13"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0" fillId="0" borderId="4" xfId="0" applyBorder="1" applyAlignment="1">
      <alignment horizontal="left" vertical="center" wrapText="1"/>
    </xf>
    <xf numFmtId="0" fontId="0" fillId="0" borderId="10" xfId="0" applyBorder="1" applyAlignment="1">
      <alignment horizontal="left" vertical="center" wrapText="1"/>
    </xf>
    <xf numFmtId="0" fontId="0" fillId="0" borderId="5" xfId="0" applyBorder="1" applyAlignment="1">
      <alignment horizontal="left" vertical="center" wrapText="1"/>
    </xf>
  </cellXfs>
  <cellStyles count="5">
    <cellStyle name="Comma 2" xfId="2" xr:uid="{7CDC1FB4-B6BA-4564-9D03-B5962488B6AB}"/>
    <cellStyle name="Hyperlink" xfId="1" builtinId="8"/>
    <cellStyle name="Normal" xfId="0" builtinId="0"/>
    <cellStyle name="Normal 2" xfId="4" xr:uid="{43ED161E-EC58-4683-922F-CA47EAA12C95}"/>
    <cellStyle name="Normal_Form Request Nga (2)" xfId="3" xr:uid="{27B0F849-F8D8-4C1F-87BC-D7D863D8A85C}"/>
  </cellStyles>
  <dxfs count="1420">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solid">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Luong Huu Quan" id="{FE834BBA-0A41-4EC0-9673-38C805DACF75}" userId="S::quan.luonghuu@map.co.id::594a10be-db63-4ad7-a336-5789f7d4099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97" dT="2024-06-15T09:42:53.16" personId="{FE834BBA-0A41-4EC0-9673-38C805DACF75}" id="{0AB446F2-9C68-45A8-8FA2-7EDC0CCE5F2C}">
    <text xml:space="preserve">Em chưa scan request, thứ 2 em scan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hyperlink" Target="mailto:nhat.it@netnam.vn" TargetMode="External"/><Relationship Id="rId13" Type="http://schemas.openxmlformats.org/officeDocument/2006/relationships/hyperlink" Target="mailto:Temmy.Sugianto@mii.co.id" TargetMode="External"/><Relationship Id="rId18" Type="http://schemas.openxmlformats.org/officeDocument/2006/relationships/hyperlink" Target="mailto:anhhnt@matbao.com" TargetMode="External"/><Relationship Id="rId3" Type="http://schemas.openxmlformats.org/officeDocument/2006/relationships/hyperlink" Target="https://fpt-fti.com/" TargetMode="External"/><Relationship Id="rId21" Type="http://schemas.openxmlformats.org/officeDocument/2006/relationships/hyperlink" Target="mailto:quyentb2@fpt.com" TargetMode="External"/><Relationship Id="rId7" Type="http://schemas.openxmlformats.org/officeDocument/2006/relationships/hyperlink" Target="mailto:noc@tpcoms.vn" TargetMode="External"/><Relationship Id="rId12" Type="http://schemas.openxmlformats.org/officeDocument/2006/relationships/hyperlink" Target="mailto:phong.nguyen@namnguyeninfotech.com" TargetMode="External"/><Relationship Id="rId17" Type="http://schemas.openxmlformats.org/officeDocument/2006/relationships/hyperlink" Target="mailto:ketoan@sws.com.vn" TargetMode="External"/><Relationship Id="rId2" Type="http://schemas.openxmlformats.org/officeDocument/2006/relationships/hyperlink" Target="https://satatech.vn/" TargetMode="External"/><Relationship Id="rId16" Type="http://schemas.openxmlformats.org/officeDocument/2006/relationships/hyperlink" Target="mailto:trangdoan@sws.com.vn" TargetMode="External"/><Relationship Id="rId20" Type="http://schemas.openxmlformats.org/officeDocument/2006/relationships/hyperlink" Target="mailto:samolmeas55@gmail.com" TargetMode="External"/><Relationship Id="rId1" Type="http://schemas.openxmlformats.org/officeDocument/2006/relationships/hyperlink" Target="http://www.suntelco.net/" TargetMode="External"/><Relationship Id="rId6" Type="http://schemas.openxmlformats.org/officeDocument/2006/relationships/hyperlink" Target="mailto:nam.do@satatech.vn" TargetMode="External"/><Relationship Id="rId11" Type="http://schemas.openxmlformats.org/officeDocument/2006/relationships/hyperlink" Target="mailto:vuthanhtrungld@gmail.com" TargetMode="External"/><Relationship Id="rId5" Type="http://schemas.openxmlformats.org/officeDocument/2006/relationships/hyperlink" Target="mailto:CuongLT14@fpt.com" TargetMode="External"/><Relationship Id="rId15" Type="http://schemas.openxmlformats.org/officeDocument/2006/relationships/hyperlink" Target="mailto:ftel.fti.cs@fpt.com" TargetMode="External"/><Relationship Id="rId23" Type="http://schemas.openxmlformats.org/officeDocument/2006/relationships/hyperlink" Target="https://wicam.com.kh/" TargetMode="External"/><Relationship Id="rId10" Type="http://schemas.openxmlformats.org/officeDocument/2006/relationships/hyperlink" Target="mailto:info@vienthongact.vn" TargetMode="External"/><Relationship Id="rId19" Type="http://schemas.openxmlformats.org/officeDocument/2006/relationships/hyperlink" Target="mailto:nguyenlamquocduy@gmail.com" TargetMode="External"/><Relationship Id="rId4" Type="http://schemas.openxmlformats.org/officeDocument/2006/relationships/hyperlink" Target="mailto:hoa.nguyen@suntelco.net" TargetMode="External"/><Relationship Id="rId9" Type="http://schemas.openxmlformats.org/officeDocument/2006/relationships/hyperlink" Target="mailto:thupv.hcm@vnpt.vn" TargetMode="External"/><Relationship Id="rId14" Type="http://schemas.openxmlformats.org/officeDocument/2006/relationships/hyperlink" Target="mailto:FTI.Support@fpt.com" TargetMode="External"/><Relationship Id="rId22" Type="http://schemas.openxmlformats.org/officeDocument/2006/relationships/hyperlink" Target="mailto:ssorn@wicam.com.k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927C6-9CAB-4A96-805A-C50FCD592367}">
  <sheetPr filterMode="1"/>
  <dimension ref="A1:AK416"/>
  <sheetViews>
    <sheetView tabSelected="1" zoomScale="70" zoomScaleNormal="70" workbookViewId="0">
      <pane ySplit="1" topLeftCell="A9" activePane="bottomLeft" state="frozen"/>
      <selection pane="bottomLeft" sqref="A1:XFD1"/>
    </sheetView>
  </sheetViews>
  <sheetFormatPr defaultColWidth="9.140625" defaultRowHeight="15" customHeight="1"/>
  <cols>
    <col min="1" max="1" width="4.5703125" style="26" customWidth="1"/>
    <col min="2" max="3" width="17.140625" style="26" customWidth="1"/>
    <col min="4" max="4" width="48.5703125" style="15" customWidth="1"/>
    <col min="5" max="5" width="8.140625" style="26" bestFit="1" customWidth="1"/>
    <col min="6" max="6" width="17.5703125" style="26" customWidth="1"/>
    <col min="7" max="7" width="20.5703125" style="30" customWidth="1"/>
    <col min="8" max="8" width="20" style="30" customWidth="1"/>
    <col min="9" max="9" width="12.28515625" style="26" customWidth="1"/>
    <col min="10" max="12" width="10.42578125" style="26" customWidth="1"/>
    <col min="13" max="13" width="13.85546875" style="34" bestFit="1" customWidth="1"/>
    <col min="14" max="14" width="10.42578125" style="26" customWidth="1"/>
    <col min="15" max="15" width="11.5703125" style="26" customWidth="1"/>
    <col min="16" max="16" width="13.5703125" style="34" bestFit="1" customWidth="1"/>
    <col min="17" max="17" width="10.42578125" style="26" customWidth="1"/>
    <col min="18" max="18" width="15.140625" style="34" bestFit="1" customWidth="1"/>
    <col min="19" max="20" width="10.42578125" style="26" customWidth="1"/>
    <col min="21" max="21" width="13.85546875" style="26" bestFit="1" customWidth="1"/>
    <col min="22" max="23" width="10.42578125" style="26" customWidth="1"/>
    <col min="24" max="24" width="19.140625" style="34" customWidth="1"/>
    <col min="25" max="25" width="25.140625" style="34" customWidth="1"/>
    <col min="26" max="26" width="25.42578125" style="34" customWidth="1"/>
    <col min="27" max="27" width="24" style="26" customWidth="1"/>
    <col min="28" max="28" width="22.42578125" style="26" customWidth="1"/>
    <col min="29" max="29" width="14" style="26" customWidth="1"/>
    <col min="30" max="30" width="20" style="26" customWidth="1"/>
    <col min="31" max="32" width="10.42578125" style="26" customWidth="1"/>
    <col min="33" max="33" width="18" style="26" bestFit="1" customWidth="1"/>
    <col min="34" max="34" width="10.42578125" style="26" customWidth="1"/>
    <col min="35" max="35" width="12.5703125" style="26" customWidth="1"/>
    <col min="36" max="36" width="29.7109375" style="121" customWidth="1"/>
    <col min="37" max="37" width="25.42578125" style="15" customWidth="1"/>
    <col min="38" max="16384" width="9.140625" style="15"/>
  </cols>
  <sheetData>
    <row r="1" spans="1:37" s="26" customFormat="1" ht="34.5" customHeight="1">
      <c r="A1" s="221"/>
      <c r="B1" s="221"/>
      <c r="C1" s="221"/>
      <c r="D1" s="221"/>
      <c r="E1" s="219"/>
      <c r="F1" s="219"/>
      <c r="G1" s="220"/>
      <c r="H1" s="220"/>
      <c r="I1" s="219"/>
      <c r="J1" s="323" t="s">
        <v>0</v>
      </c>
      <c r="K1" s="323"/>
      <c r="L1" s="323" t="s">
        <v>1</v>
      </c>
      <c r="M1" s="323"/>
      <c r="N1" s="323"/>
      <c r="O1" s="323" t="s">
        <v>2</v>
      </c>
      <c r="P1" s="323"/>
      <c r="Q1" s="323"/>
      <c r="R1" s="325" t="s">
        <v>3</v>
      </c>
      <c r="S1" s="325"/>
      <c r="T1" s="324" t="s">
        <v>4</v>
      </c>
      <c r="U1" s="324"/>
      <c r="V1" s="324"/>
      <c r="W1" s="323" t="s">
        <v>5</v>
      </c>
      <c r="X1" s="323"/>
      <c r="Y1" s="323"/>
      <c r="Z1" s="323"/>
      <c r="AA1" s="323"/>
      <c r="AB1" s="329" t="s">
        <v>6</v>
      </c>
      <c r="AC1" s="329"/>
      <c r="AD1" s="329"/>
      <c r="AE1" s="329"/>
      <c r="AF1" s="323" t="s">
        <v>7</v>
      </c>
      <c r="AG1" s="323"/>
      <c r="AH1" s="329"/>
      <c r="AI1" s="323" t="s">
        <v>8</v>
      </c>
      <c r="AJ1" s="323"/>
      <c r="AK1" s="25" t="s">
        <v>9</v>
      </c>
    </row>
    <row r="2" spans="1:37" s="26" customFormat="1" ht="60.75" hidden="1">
      <c r="A2" s="221" t="s">
        <v>10</v>
      </c>
      <c r="B2" s="221" t="s">
        <v>11</v>
      </c>
      <c r="C2" s="221" t="s">
        <v>12</v>
      </c>
      <c r="D2" s="221" t="s">
        <v>13</v>
      </c>
      <c r="E2" s="219" t="s">
        <v>14</v>
      </c>
      <c r="F2" s="219" t="s">
        <v>15</v>
      </c>
      <c r="G2" s="220" t="s">
        <v>16</v>
      </c>
      <c r="H2" s="220" t="s">
        <v>17</v>
      </c>
      <c r="I2" s="219" t="s">
        <v>18</v>
      </c>
      <c r="J2" s="40" t="s">
        <v>19</v>
      </c>
      <c r="K2" s="40" t="s">
        <v>20</v>
      </c>
      <c r="L2" s="40" t="s">
        <v>19</v>
      </c>
      <c r="M2" s="41" t="s">
        <v>21</v>
      </c>
      <c r="N2" s="40" t="s">
        <v>20</v>
      </c>
      <c r="O2" s="42" t="s">
        <v>19</v>
      </c>
      <c r="P2" s="43" t="s">
        <v>21</v>
      </c>
      <c r="Q2" s="39" t="s">
        <v>20</v>
      </c>
      <c r="R2" s="41" t="s">
        <v>22</v>
      </c>
      <c r="S2" s="40" t="s">
        <v>19</v>
      </c>
      <c r="T2" s="40" t="s">
        <v>19</v>
      </c>
      <c r="U2" s="41" t="s">
        <v>21</v>
      </c>
      <c r="V2" s="40" t="s">
        <v>20</v>
      </c>
      <c r="W2" s="42" t="s">
        <v>19</v>
      </c>
      <c r="X2" s="41" t="s">
        <v>21</v>
      </c>
      <c r="Y2" s="41" t="s">
        <v>23</v>
      </c>
      <c r="Z2" s="41" t="s">
        <v>24</v>
      </c>
      <c r="AA2" s="40" t="s">
        <v>20</v>
      </c>
      <c r="AB2" s="40" t="s">
        <v>25</v>
      </c>
      <c r="AC2" s="40" t="s">
        <v>19</v>
      </c>
      <c r="AD2" s="40" t="s">
        <v>21</v>
      </c>
      <c r="AE2" s="42" t="s">
        <v>20</v>
      </c>
      <c r="AF2" s="40" t="s">
        <v>19</v>
      </c>
      <c r="AG2" s="40" t="s">
        <v>26</v>
      </c>
      <c r="AH2" s="42" t="s">
        <v>20</v>
      </c>
      <c r="AI2" s="39" t="s">
        <v>19</v>
      </c>
      <c r="AJ2" s="115" t="s">
        <v>27</v>
      </c>
      <c r="AK2" s="25"/>
    </row>
    <row r="3" spans="1:37" s="26" customFormat="1" hidden="1">
      <c r="A3" s="28"/>
      <c r="B3" s="25"/>
      <c r="C3" s="25"/>
      <c r="D3" s="24" t="s">
        <v>28</v>
      </c>
      <c r="E3" s="25"/>
      <c r="F3" s="24"/>
      <c r="G3" s="29"/>
      <c r="H3" s="212"/>
      <c r="I3" s="25"/>
      <c r="J3" s="25"/>
      <c r="K3" s="25"/>
      <c r="L3" s="31"/>
      <c r="M3" s="33"/>
      <c r="N3" s="32"/>
      <c r="O3" s="31"/>
      <c r="P3" s="33"/>
      <c r="Q3" s="25"/>
      <c r="R3" s="33"/>
      <c r="S3" s="25"/>
      <c r="T3" s="25"/>
      <c r="U3" s="25"/>
      <c r="V3" s="25"/>
      <c r="W3" s="32"/>
      <c r="X3" s="33"/>
      <c r="Y3" s="216"/>
      <c r="Z3" s="216"/>
      <c r="AA3" s="32"/>
      <c r="AB3" s="29"/>
      <c r="AC3" s="31"/>
      <c r="AD3" s="33"/>
      <c r="AE3" s="25"/>
      <c r="AF3" s="25"/>
      <c r="AG3" s="25"/>
      <c r="AH3" s="31"/>
      <c r="AI3" s="25"/>
      <c r="AJ3" s="116"/>
      <c r="AK3" s="25"/>
    </row>
    <row r="4" spans="1:37" s="26" customFormat="1" ht="45.75" hidden="1">
      <c r="A4" s="25">
        <v>1</v>
      </c>
      <c r="B4" s="112" t="s">
        <v>29</v>
      </c>
      <c r="C4" s="112"/>
      <c r="D4" s="24" t="s">
        <v>30</v>
      </c>
      <c r="E4" s="25" t="s">
        <v>31</v>
      </c>
      <c r="F4" s="24" t="s">
        <v>32</v>
      </c>
      <c r="G4" s="29">
        <v>3773</v>
      </c>
      <c r="H4" s="29">
        <v>4150.3</v>
      </c>
      <c r="I4" s="25" t="s">
        <v>33</v>
      </c>
      <c r="J4" s="25" t="s">
        <v>34</v>
      </c>
      <c r="K4" s="25" t="s">
        <v>33</v>
      </c>
      <c r="L4" s="31" t="s">
        <v>34</v>
      </c>
      <c r="M4" s="33">
        <v>45147</v>
      </c>
      <c r="N4" s="32" t="s">
        <v>33</v>
      </c>
      <c r="O4" s="31" t="s">
        <v>34</v>
      </c>
      <c r="P4" s="33">
        <v>45149</v>
      </c>
      <c r="Q4" s="25" t="s">
        <v>33</v>
      </c>
      <c r="R4" s="61"/>
      <c r="S4" s="25" t="s">
        <v>33</v>
      </c>
      <c r="T4" s="25"/>
      <c r="U4" s="25"/>
      <c r="V4" s="25"/>
      <c r="W4" s="32" t="s">
        <v>33</v>
      </c>
      <c r="X4" s="33">
        <v>45204</v>
      </c>
      <c r="Y4" s="216"/>
      <c r="Z4" s="216"/>
      <c r="AA4" s="32" t="s">
        <v>33</v>
      </c>
      <c r="AB4" s="29">
        <v>4150.3</v>
      </c>
      <c r="AC4" s="31" t="s">
        <v>34</v>
      </c>
      <c r="AD4" s="33">
        <v>45204</v>
      </c>
      <c r="AE4" s="25" t="s">
        <v>33</v>
      </c>
      <c r="AF4" s="25" t="s">
        <v>33</v>
      </c>
      <c r="AG4" s="91">
        <v>45232</v>
      </c>
      <c r="AH4" s="31" t="s">
        <v>33</v>
      </c>
      <c r="AI4" s="25" t="s">
        <v>33</v>
      </c>
      <c r="AJ4" s="116"/>
      <c r="AK4" s="25"/>
    </row>
    <row r="5" spans="1:37" s="26" customFormat="1" ht="45.75" hidden="1">
      <c r="A5" s="25">
        <v>2</v>
      </c>
      <c r="B5" s="112" t="s">
        <v>35</v>
      </c>
      <c r="C5" s="112"/>
      <c r="D5" s="24" t="s">
        <v>36</v>
      </c>
      <c r="E5" s="25" t="s">
        <v>31</v>
      </c>
      <c r="F5" s="24" t="s">
        <v>32</v>
      </c>
      <c r="G5" s="29">
        <v>3773</v>
      </c>
      <c r="H5" s="29">
        <v>4150.3</v>
      </c>
      <c r="I5" s="25" t="s">
        <v>33</v>
      </c>
      <c r="J5" s="25" t="s">
        <v>34</v>
      </c>
      <c r="K5" s="25" t="s">
        <v>33</v>
      </c>
      <c r="L5" s="31" t="s">
        <v>34</v>
      </c>
      <c r="M5" s="33">
        <v>45154</v>
      </c>
      <c r="N5" s="32" t="s">
        <v>33</v>
      </c>
      <c r="O5" s="31" t="s">
        <v>34</v>
      </c>
      <c r="P5" s="33">
        <v>45149</v>
      </c>
      <c r="Q5" s="25" t="s">
        <v>33</v>
      </c>
      <c r="R5" s="61"/>
      <c r="S5" s="25" t="s">
        <v>33</v>
      </c>
      <c r="T5" s="25"/>
      <c r="U5" s="25"/>
      <c r="V5" s="25"/>
      <c r="W5" s="32" t="s">
        <v>33</v>
      </c>
      <c r="X5" s="33">
        <v>45204</v>
      </c>
      <c r="Y5" s="216"/>
      <c r="Z5" s="216"/>
      <c r="AA5" s="32" t="s">
        <v>33</v>
      </c>
      <c r="AB5" s="29">
        <v>4150.3</v>
      </c>
      <c r="AC5" s="31" t="s">
        <v>34</v>
      </c>
      <c r="AD5" s="33">
        <v>45204</v>
      </c>
      <c r="AE5" s="25" t="s">
        <v>33</v>
      </c>
      <c r="AF5" s="25" t="s">
        <v>33</v>
      </c>
      <c r="AG5" s="91">
        <v>45232</v>
      </c>
      <c r="AH5" s="31" t="s">
        <v>33</v>
      </c>
      <c r="AI5" s="25" t="s">
        <v>33</v>
      </c>
      <c r="AJ5" s="116"/>
      <c r="AK5" s="25"/>
    </row>
    <row r="6" spans="1:37" s="26" customFormat="1" ht="45.75" hidden="1">
      <c r="A6" s="25">
        <f t="shared" ref="A6:A69" si="0">A5+1</f>
        <v>3</v>
      </c>
      <c r="B6" s="112" t="s">
        <v>37</v>
      </c>
      <c r="C6" s="112"/>
      <c r="D6" s="24" t="s">
        <v>38</v>
      </c>
      <c r="E6" s="25" t="s">
        <v>31</v>
      </c>
      <c r="F6" s="24" t="s">
        <v>32</v>
      </c>
      <c r="G6" s="29">
        <v>3773</v>
      </c>
      <c r="H6" s="29">
        <v>4150.3</v>
      </c>
      <c r="I6" s="25" t="s">
        <v>33</v>
      </c>
      <c r="J6" s="25" t="s">
        <v>34</v>
      </c>
      <c r="K6" s="25" t="s">
        <v>33</v>
      </c>
      <c r="L6" s="31" t="s">
        <v>34</v>
      </c>
      <c r="M6" s="33">
        <v>45208</v>
      </c>
      <c r="N6" s="32" t="s">
        <v>33</v>
      </c>
      <c r="O6" s="31" t="s">
        <v>34</v>
      </c>
      <c r="P6" s="33">
        <v>45113</v>
      </c>
      <c r="Q6" s="25" t="s">
        <v>33</v>
      </c>
      <c r="R6" s="61"/>
      <c r="S6" s="25" t="s">
        <v>33</v>
      </c>
      <c r="T6" s="25"/>
      <c r="U6" s="25"/>
      <c r="V6" s="25"/>
      <c r="W6" s="32" t="s">
        <v>33</v>
      </c>
      <c r="X6" s="33">
        <v>45204</v>
      </c>
      <c r="Y6" s="216"/>
      <c r="Z6" s="216"/>
      <c r="AA6" s="32" t="s">
        <v>33</v>
      </c>
      <c r="AB6" s="29">
        <v>4150.3</v>
      </c>
      <c r="AC6" s="31" t="s">
        <v>34</v>
      </c>
      <c r="AD6" s="33">
        <v>45204</v>
      </c>
      <c r="AE6" s="25" t="s">
        <v>33</v>
      </c>
      <c r="AF6" s="25" t="s">
        <v>33</v>
      </c>
      <c r="AG6" s="91">
        <v>45232</v>
      </c>
      <c r="AH6" s="31" t="s">
        <v>33</v>
      </c>
      <c r="AI6" s="25" t="s">
        <v>33</v>
      </c>
      <c r="AJ6" s="116"/>
      <c r="AK6" s="25"/>
    </row>
    <row r="7" spans="1:37" ht="45.75" hidden="1">
      <c r="A7" s="25">
        <f t="shared" si="0"/>
        <v>4</v>
      </c>
      <c r="B7" s="112" t="s">
        <v>39</v>
      </c>
      <c r="C7" s="112"/>
      <c r="D7" s="60" t="s">
        <v>40</v>
      </c>
      <c r="E7" s="25" t="s">
        <v>31</v>
      </c>
      <c r="F7" s="24" t="s">
        <v>32</v>
      </c>
      <c r="G7" s="29">
        <v>3790</v>
      </c>
      <c r="H7" s="29">
        <v>4169</v>
      </c>
      <c r="I7" s="25" t="s">
        <v>33</v>
      </c>
      <c r="J7" s="25" t="s">
        <v>34</v>
      </c>
      <c r="K7" s="25" t="s">
        <v>33</v>
      </c>
      <c r="L7" s="99" t="s">
        <v>34</v>
      </c>
      <c r="M7" s="33">
        <v>45208</v>
      </c>
      <c r="N7" s="32" t="s">
        <v>33</v>
      </c>
      <c r="O7" s="31" t="s">
        <v>34</v>
      </c>
      <c r="P7" s="33">
        <v>45210</v>
      </c>
      <c r="Q7" s="25" t="s">
        <v>33</v>
      </c>
      <c r="R7" s="33">
        <v>45217</v>
      </c>
      <c r="S7" s="25" t="s">
        <v>33</v>
      </c>
      <c r="T7" s="25" t="s">
        <v>33</v>
      </c>
      <c r="U7" s="33">
        <v>45224</v>
      </c>
      <c r="V7" s="25" t="s">
        <v>33</v>
      </c>
      <c r="W7" s="32" t="s">
        <v>33</v>
      </c>
      <c r="X7" s="33">
        <v>45231</v>
      </c>
      <c r="Y7" s="216"/>
      <c r="Z7" s="216"/>
      <c r="AA7" s="32" t="s">
        <v>33</v>
      </c>
      <c r="AB7" s="29">
        <v>4169</v>
      </c>
      <c r="AC7" s="31" t="s">
        <v>34</v>
      </c>
      <c r="AD7" s="33">
        <v>45240</v>
      </c>
      <c r="AE7" s="25" t="s">
        <v>33</v>
      </c>
      <c r="AF7" s="25" t="s">
        <v>33</v>
      </c>
      <c r="AG7" s="91">
        <v>45254</v>
      </c>
      <c r="AH7" s="31"/>
      <c r="AI7" s="25" t="s">
        <v>33</v>
      </c>
      <c r="AJ7" s="116"/>
      <c r="AK7" s="24"/>
    </row>
    <row r="8" spans="1:37" ht="91.5" hidden="1">
      <c r="A8" s="25">
        <f t="shared" si="0"/>
        <v>5</v>
      </c>
      <c r="B8" s="112" t="s">
        <v>41</v>
      </c>
      <c r="C8" s="113"/>
      <c r="D8" s="62" t="s">
        <v>42</v>
      </c>
      <c r="E8" s="28" t="s">
        <v>31</v>
      </c>
      <c r="F8" s="27" t="s">
        <v>32</v>
      </c>
      <c r="G8" s="29">
        <v>3790</v>
      </c>
      <c r="H8" s="29">
        <v>4169</v>
      </c>
      <c r="I8" s="28" t="s">
        <v>33</v>
      </c>
      <c r="J8" s="25" t="s">
        <v>34</v>
      </c>
      <c r="K8" s="25" t="s">
        <v>33</v>
      </c>
      <c r="L8" s="31" t="s">
        <v>34</v>
      </c>
      <c r="M8" s="33">
        <v>45208</v>
      </c>
      <c r="N8" s="32" t="s">
        <v>33</v>
      </c>
      <c r="O8" s="31" t="s">
        <v>34</v>
      </c>
      <c r="P8" s="33">
        <v>45210</v>
      </c>
      <c r="Q8" s="25" t="s">
        <v>33</v>
      </c>
      <c r="R8" s="61"/>
      <c r="S8" s="25" t="s">
        <v>33</v>
      </c>
      <c r="T8" s="25" t="s">
        <v>33</v>
      </c>
      <c r="U8" s="33">
        <v>45267</v>
      </c>
      <c r="V8" s="25" t="s">
        <v>33</v>
      </c>
      <c r="W8" s="32" t="s">
        <v>33</v>
      </c>
      <c r="X8" s="33">
        <v>45267</v>
      </c>
      <c r="Y8" s="216"/>
      <c r="Z8" s="216"/>
      <c r="AA8" s="32" t="s">
        <v>33</v>
      </c>
      <c r="AB8" s="29">
        <v>4169</v>
      </c>
      <c r="AC8" s="31" t="s">
        <v>34</v>
      </c>
      <c r="AD8" s="33">
        <v>45244</v>
      </c>
      <c r="AE8" s="25" t="s">
        <v>33</v>
      </c>
      <c r="AF8" s="25" t="s">
        <v>33</v>
      </c>
      <c r="AG8" s="91">
        <v>45271</v>
      </c>
      <c r="AH8" s="31" t="s">
        <v>33</v>
      </c>
      <c r="AI8" s="25" t="s">
        <v>33</v>
      </c>
      <c r="AJ8" s="120" t="s">
        <v>43</v>
      </c>
      <c r="AK8" s="24" t="s">
        <v>44</v>
      </c>
    </row>
    <row r="9" spans="1:37" ht="91.5" hidden="1">
      <c r="A9" s="25">
        <f t="shared" si="0"/>
        <v>6</v>
      </c>
      <c r="B9" s="137" t="s">
        <v>45</v>
      </c>
      <c r="C9" s="137"/>
      <c r="D9" s="62" t="s">
        <v>46</v>
      </c>
      <c r="E9" s="28" t="s">
        <v>31</v>
      </c>
      <c r="F9" s="27" t="s">
        <v>47</v>
      </c>
      <c r="G9" s="67">
        <v>2750</v>
      </c>
      <c r="H9" s="67">
        <v>3025</v>
      </c>
      <c r="I9" s="28" t="s">
        <v>33</v>
      </c>
      <c r="J9" s="28" t="s">
        <v>34</v>
      </c>
      <c r="K9" s="28" t="s">
        <v>33</v>
      </c>
      <c r="L9" s="31" t="s">
        <v>34</v>
      </c>
      <c r="M9" s="33">
        <v>45258</v>
      </c>
      <c r="N9" s="32" t="s">
        <v>33</v>
      </c>
      <c r="O9" s="31" t="s">
        <v>34</v>
      </c>
      <c r="P9" s="33">
        <v>45205</v>
      </c>
      <c r="Q9" s="28" t="s">
        <v>33</v>
      </c>
      <c r="R9" s="55"/>
      <c r="S9" s="28"/>
      <c r="T9" s="28"/>
      <c r="U9" s="28"/>
      <c r="V9" s="28"/>
      <c r="W9" s="32" t="s">
        <v>33</v>
      </c>
      <c r="X9" s="33">
        <v>45261</v>
      </c>
      <c r="Y9" s="216"/>
      <c r="Z9" s="216"/>
      <c r="AA9" s="32" t="s">
        <v>33</v>
      </c>
      <c r="AB9" s="67">
        <v>1512.5</v>
      </c>
      <c r="AC9" s="31" t="s">
        <v>34</v>
      </c>
      <c r="AD9" s="33">
        <v>45244</v>
      </c>
      <c r="AE9" s="25" t="s">
        <v>33</v>
      </c>
      <c r="AF9" s="28" t="s">
        <v>48</v>
      </c>
      <c r="AG9" s="28"/>
      <c r="AH9" s="54"/>
      <c r="AI9" s="25" t="s">
        <v>33</v>
      </c>
      <c r="AJ9" s="120" t="s">
        <v>49</v>
      </c>
      <c r="AK9" s="24" t="s">
        <v>50</v>
      </c>
    </row>
    <row r="10" spans="1:37" ht="30.75" hidden="1">
      <c r="A10" s="25">
        <f t="shared" si="0"/>
        <v>7</v>
      </c>
      <c r="B10" s="113" t="s">
        <v>51</v>
      </c>
      <c r="C10" s="173"/>
      <c r="D10" s="37" t="s">
        <v>52</v>
      </c>
      <c r="E10" s="28" t="s">
        <v>53</v>
      </c>
      <c r="F10" s="27" t="s">
        <v>54</v>
      </c>
      <c r="G10" s="67"/>
      <c r="H10" s="58">
        <v>18380000</v>
      </c>
      <c r="I10" s="28" t="s">
        <v>33</v>
      </c>
      <c r="J10" s="28" t="s">
        <v>34</v>
      </c>
      <c r="K10" s="28" t="s">
        <v>33</v>
      </c>
      <c r="L10" s="100" t="s">
        <v>34</v>
      </c>
      <c r="M10" s="55">
        <v>45215</v>
      </c>
      <c r="N10" s="28"/>
      <c r="O10" s="31"/>
      <c r="P10" s="79"/>
      <c r="Q10" s="80"/>
      <c r="R10" s="55">
        <v>45215</v>
      </c>
      <c r="S10" s="28" t="s">
        <v>33</v>
      </c>
      <c r="T10" s="28" t="s">
        <v>33</v>
      </c>
      <c r="U10" s="28"/>
      <c r="V10" s="28" t="s">
        <v>33</v>
      </c>
      <c r="W10" s="28" t="s">
        <v>33</v>
      </c>
      <c r="X10" s="55">
        <v>45217</v>
      </c>
      <c r="Y10" s="55"/>
      <c r="Z10" s="55"/>
      <c r="AA10" s="28" t="s">
        <v>33</v>
      </c>
      <c r="AB10" s="28" t="s">
        <v>55</v>
      </c>
      <c r="AC10" s="92"/>
      <c r="AD10" s="92"/>
      <c r="AE10" s="92"/>
      <c r="AF10" s="92"/>
      <c r="AG10" s="92"/>
      <c r="AH10" s="93"/>
      <c r="AI10" s="89"/>
      <c r="AJ10" s="117"/>
      <c r="AK10" s="24"/>
    </row>
    <row r="11" spans="1:37" ht="30.75" hidden="1">
      <c r="A11" s="25">
        <f t="shared" si="0"/>
        <v>8</v>
      </c>
      <c r="B11" s="28" t="s">
        <v>56</v>
      </c>
      <c r="C11" s="28"/>
      <c r="D11" s="27" t="s">
        <v>57</v>
      </c>
      <c r="E11" s="28" t="s">
        <v>53</v>
      </c>
      <c r="F11" s="27" t="s">
        <v>58</v>
      </c>
      <c r="G11" s="67"/>
      <c r="H11" s="58">
        <v>1922400</v>
      </c>
      <c r="I11" s="28" t="s">
        <v>33</v>
      </c>
      <c r="J11" s="28" t="s">
        <v>34</v>
      </c>
      <c r="K11" s="28"/>
      <c r="L11" s="28" t="s">
        <v>34</v>
      </c>
      <c r="M11" s="55">
        <v>45217</v>
      </c>
      <c r="N11" s="28"/>
      <c r="O11" s="31"/>
      <c r="P11" s="55"/>
      <c r="Q11" s="28"/>
      <c r="R11" s="55"/>
      <c r="S11" s="28"/>
      <c r="T11" s="28"/>
      <c r="U11" s="28"/>
      <c r="V11" s="28"/>
      <c r="W11" s="28"/>
      <c r="X11" s="55"/>
      <c r="Y11" s="55"/>
      <c r="Z11" s="55"/>
      <c r="AA11" s="28"/>
      <c r="AB11" s="28"/>
      <c r="AC11" s="28"/>
      <c r="AD11" s="28"/>
      <c r="AE11" s="28"/>
      <c r="AF11" s="28"/>
      <c r="AG11" s="28"/>
      <c r="AH11" s="54"/>
      <c r="AI11" s="25"/>
      <c r="AJ11" s="116"/>
      <c r="AK11" s="24"/>
    </row>
    <row r="12" spans="1:37" ht="30.75" hidden="1">
      <c r="A12" s="25">
        <f t="shared" si="0"/>
        <v>9</v>
      </c>
      <c r="B12" s="113" t="s">
        <v>59</v>
      </c>
      <c r="C12" s="113"/>
      <c r="D12" s="24" t="s">
        <v>60</v>
      </c>
      <c r="E12" s="25" t="s">
        <v>31</v>
      </c>
      <c r="F12" s="24" t="s">
        <v>61</v>
      </c>
      <c r="G12" s="29">
        <v>2240</v>
      </c>
      <c r="H12" s="29">
        <v>2464</v>
      </c>
      <c r="I12" s="35"/>
      <c r="J12" s="35"/>
      <c r="K12" s="35"/>
      <c r="L12" s="35"/>
      <c r="M12" s="61"/>
      <c r="N12" s="35"/>
      <c r="O12" s="35"/>
      <c r="P12" s="61"/>
      <c r="Q12" s="35"/>
      <c r="R12" s="61"/>
      <c r="S12" s="35"/>
      <c r="T12" s="35"/>
      <c r="U12" s="35"/>
      <c r="V12" s="35"/>
      <c r="W12" s="25" t="s">
        <v>33</v>
      </c>
      <c r="X12" s="33">
        <v>45231</v>
      </c>
      <c r="Y12" s="33"/>
      <c r="Z12" s="33"/>
      <c r="AA12" s="25" t="s">
        <v>33</v>
      </c>
      <c r="AB12" s="29">
        <v>2464</v>
      </c>
      <c r="AC12" s="31" t="s">
        <v>34</v>
      </c>
      <c r="AD12" s="33">
        <v>45217</v>
      </c>
      <c r="AE12" s="25"/>
      <c r="AF12" s="25"/>
      <c r="AG12" s="25"/>
      <c r="AH12" s="31"/>
      <c r="AI12" s="25"/>
      <c r="AJ12" s="116"/>
      <c r="AK12" s="24"/>
    </row>
    <row r="13" spans="1:37" ht="30.75" hidden="1">
      <c r="A13" s="25">
        <f t="shared" si="0"/>
        <v>10</v>
      </c>
      <c r="B13" s="25" t="s">
        <v>62</v>
      </c>
      <c r="C13" s="25"/>
      <c r="D13" s="24" t="s">
        <v>63</v>
      </c>
      <c r="E13" s="25" t="s">
        <v>31</v>
      </c>
      <c r="F13" s="24" t="s">
        <v>64</v>
      </c>
      <c r="G13" s="29">
        <v>70</v>
      </c>
      <c r="H13" s="29">
        <v>77</v>
      </c>
      <c r="I13" s="35"/>
      <c r="J13" s="35"/>
      <c r="K13" s="35"/>
      <c r="L13" s="35"/>
      <c r="M13" s="61"/>
      <c r="N13" s="35"/>
      <c r="O13" s="35"/>
      <c r="P13" s="61"/>
      <c r="Q13" s="35"/>
      <c r="R13" s="61"/>
      <c r="S13" s="35"/>
      <c r="T13" s="35"/>
      <c r="U13" s="35"/>
      <c r="V13" s="35"/>
      <c r="W13" s="25" t="s">
        <v>33</v>
      </c>
      <c r="X13" s="33">
        <v>45231</v>
      </c>
      <c r="Y13" s="33"/>
      <c r="Z13" s="33"/>
      <c r="AA13" s="25" t="s">
        <v>33</v>
      </c>
      <c r="AB13" s="29">
        <v>77</v>
      </c>
      <c r="AC13" s="31" t="s">
        <v>34</v>
      </c>
      <c r="AD13" s="33">
        <v>45217</v>
      </c>
      <c r="AE13" s="25" t="s">
        <v>33</v>
      </c>
      <c r="AF13" s="25"/>
      <c r="AG13" s="25"/>
      <c r="AH13" s="31"/>
      <c r="AI13" s="25"/>
      <c r="AJ13" s="116"/>
      <c r="AK13" s="24"/>
    </row>
    <row r="14" spans="1:37" ht="30.75" hidden="1">
      <c r="A14" s="25">
        <f t="shared" si="0"/>
        <v>11</v>
      </c>
      <c r="B14" s="28" t="s">
        <v>65</v>
      </c>
      <c r="C14" s="28"/>
      <c r="D14" s="27" t="s">
        <v>66</v>
      </c>
      <c r="E14" s="28" t="s">
        <v>31</v>
      </c>
      <c r="F14" s="27" t="s">
        <v>67</v>
      </c>
      <c r="G14" s="29">
        <v>45.45</v>
      </c>
      <c r="H14" s="67">
        <v>50</v>
      </c>
      <c r="I14" s="80"/>
      <c r="J14" s="80"/>
      <c r="K14" s="80"/>
      <c r="L14" s="80"/>
      <c r="M14" s="79"/>
      <c r="N14" s="80"/>
      <c r="O14" s="80"/>
      <c r="P14" s="79"/>
      <c r="Q14" s="80"/>
      <c r="R14" s="79"/>
      <c r="S14" s="80"/>
      <c r="T14" s="80"/>
      <c r="U14" s="80"/>
      <c r="V14" s="80"/>
      <c r="W14" s="28" t="s">
        <v>33</v>
      </c>
      <c r="X14" s="33">
        <v>45231</v>
      </c>
      <c r="Y14" s="33"/>
      <c r="Z14" s="33"/>
      <c r="AA14" s="25" t="s">
        <v>33</v>
      </c>
      <c r="AB14" s="67">
        <v>50</v>
      </c>
      <c r="AC14" s="54" t="s">
        <v>34</v>
      </c>
      <c r="AD14" s="55">
        <v>45217</v>
      </c>
      <c r="AE14" s="28"/>
      <c r="AF14" s="28"/>
      <c r="AG14" s="28"/>
      <c r="AH14" s="54"/>
      <c r="AI14" s="25"/>
      <c r="AJ14" s="116"/>
      <c r="AK14" s="24"/>
    </row>
    <row r="15" spans="1:37" ht="76.5" hidden="1">
      <c r="A15" s="25">
        <f t="shared" si="0"/>
        <v>12</v>
      </c>
      <c r="B15" s="113" t="s">
        <v>68</v>
      </c>
      <c r="C15" s="113"/>
      <c r="D15" s="62" t="s">
        <v>69</v>
      </c>
      <c r="E15" s="28" t="s">
        <v>31</v>
      </c>
      <c r="F15" s="27" t="s">
        <v>32</v>
      </c>
      <c r="G15" s="67">
        <v>6792</v>
      </c>
      <c r="H15" s="67">
        <v>7471.2</v>
      </c>
      <c r="I15" s="28" t="s">
        <v>33</v>
      </c>
      <c r="J15" s="28" t="s">
        <v>34</v>
      </c>
      <c r="K15" s="28" t="s">
        <v>33</v>
      </c>
      <c r="L15" s="31" t="s">
        <v>34</v>
      </c>
      <c r="M15" s="33">
        <v>45258</v>
      </c>
      <c r="N15" s="103" t="s">
        <v>33</v>
      </c>
      <c r="O15" s="31" t="s">
        <v>70</v>
      </c>
      <c r="P15" s="55"/>
      <c r="Q15" s="28"/>
      <c r="R15" s="79"/>
      <c r="S15" s="80"/>
      <c r="T15" s="28" t="s">
        <v>33</v>
      </c>
      <c r="U15" s="33">
        <v>45267</v>
      </c>
      <c r="V15" s="25" t="s">
        <v>33</v>
      </c>
      <c r="W15" s="32" t="s">
        <v>33</v>
      </c>
      <c r="X15" s="33">
        <v>45267</v>
      </c>
      <c r="Y15" s="216"/>
      <c r="Z15" s="216"/>
      <c r="AA15" s="32" t="s">
        <v>33</v>
      </c>
      <c r="AB15" s="67">
        <v>7471.2</v>
      </c>
      <c r="AC15" s="31" t="s">
        <v>34</v>
      </c>
      <c r="AD15" s="33">
        <v>45244</v>
      </c>
      <c r="AE15" s="25" t="s">
        <v>33</v>
      </c>
      <c r="AF15" s="28" t="s">
        <v>48</v>
      </c>
      <c r="AG15" s="28"/>
      <c r="AH15" s="54"/>
      <c r="AI15" s="25" t="s">
        <v>71</v>
      </c>
      <c r="AJ15" s="120" t="s">
        <v>72</v>
      </c>
      <c r="AK15" s="24"/>
    </row>
    <row r="16" spans="1:37" ht="30.75" hidden="1">
      <c r="A16" s="25">
        <f t="shared" si="0"/>
        <v>13</v>
      </c>
      <c r="B16" s="44" t="s">
        <v>73</v>
      </c>
      <c r="C16" s="44"/>
      <c r="D16" s="45" t="s">
        <v>74</v>
      </c>
      <c r="E16" s="44" t="s">
        <v>53</v>
      </c>
      <c r="F16" s="45" t="s">
        <v>58</v>
      </c>
      <c r="G16" s="101"/>
      <c r="H16" s="101"/>
      <c r="I16" s="44" t="s">
        <v>33</v>
      </c>
      <c r="J16" s="44" t="s">
        <v>34</v>
      </c>
      <c r="K16" s="44"/>
      <c r="L16" s="44" t="s">
        <v>34</v>
      </c>
      <c r="M16" s="102">
        <v>45218</v>
      </c>
      <c r="N16" s="103" t="s">
        <v>33</v>
      </c>
      <c r="O16" s="31"/>
      <c r="P16" s="104"/>
      <c r="Q16" s="103"/>
      <c r="R16" s="104"/>
      <c r="S16" s="103"/>
      <c r="T16" s="105" t="s">
        <v>75</v>
      </c>
      <c r="U16" s="105"/>
      <c r="V16" s="105" t="s">
        <v>75</v>
      </c>
      <c r="W16" s="44"/>
      <c r="X16" s="104"/>
      <c r="Y16" s="104"/>
      <c r="Z16" s="104"/>
      <c r="AA16" s="44"/>
      <c r="AB16" s="28" t="s">
        <v>55</v>
      </c>
      <c r="AC16" s="94"/>
      <c r="AD16" s="94"/>
      <c r="AE16" s="28" t="s">
        <v>33</v>
      </c>
      <c r="AF16" s="94"/>
      <c r="AG16" s="95"/>
      <c r="AH16" s="96"/>
      <c r="AI16" s="35"/>
      <c r="AJ16" s="118"/>
      <c r="AK16" s="24"/>
    </row>
    <row r="17" spans="1:37" ht="30.75" hidden="1">
      <c r="A17" s="25">
        <f t="shared" si="0"/>
        <v>14</v>
      </c>
      <c r="B17" s="25" t="s">
        <v>76</v>
      </c>
      <c r="C17" s="31"/>
      <c r="D17" s="38" t="s">
        <v>77</v>
      </c>
      <c r="E17" s="25" t="s">
        <v>31</v>
      </c>
      <c r="F17" s="46" t="s">
        <v>61</v>
      </c>
      <c r="G17" s="73"/>
      <c r="H17" s="29">
        <v>204.03</v>
      </c>
      <c r="I17" s="35" t="s">
        <v>33</v>
      </c>
      <c r="J17" s="80"/>
      <c r="K17" s="80"/>
      <c r="L17" s="80"/>
      <c r="M17" s="79"/>
      <c r="N17" s="80"/>
      <c r="O17" s="80"/>
      <c r="P17" s="79"/>
      <c r="Q17" s="80"/>
      <c r="R17" s="79"/>
      <c r="S17" s="80"/>
      <c r="T17" s="80"/>
      <c r="U17" s="80"/>
      <c r="V17" s="80"/>
      <c r="W17" s="31" t="s">
        <v>33</v>
      </c>
      <c r="X17" s="33">
        <v>45216</v>
      </c>
      <c r="Y17" s="216"/>
      <c r="Z17" s="216"/>
      <c r="AA17" s="32" t="s">
        <v>33</v>
      </c>
      <c r="AB17" s="31">
        <v>204.03</v>
      </c>
      <c r="AC17" s="31" t="s">
        <v>34</v>
      </c>
      <c r="AD17" s="33">
        <v>45217</v>
      </c>
      <c r="AE17" s="32" t="s">
        <v>33</v>
      </c>
      <c r="AF17" s="25"/>
      <c r="AG17" s="25"/>
      <c r="AH17" s="31"/>
      <c r="AI17" s="25"/>
      <c r="AJ17" s="116"/>
      <c r="AK17" s="24"/>
    </row>
    <row r="18" spans="1:37" ht="45.75" hidden="1">
      <c r="A18" s="25">
        <f t="shared" si="0"/>
        <v>15</v>
      </c>
      <c r="B18" s="28" t="s">
        <v>78</v>
      </c>
      <c r="C18" s="28"/>
      <c r="D18" s="27" t="s">
        <v>79</v>
      </c>
      <c r="E18" s="28" t="s">
        <v>53</v>
      </c>
      <c r="F18" s="27" t="s">
        <v>58</v>
      </c>
      <c r="G18" s="75"/>
      <c r="H18" s="75"/>
      <c r="I18" s="28" t="s">
        <v>33</v>
      </c>
      <c r="J18" s="40" t="s">
        <v>34</v>
      </c>
      <c r="K18" s="80"/>
      <c r="L18" s="54" t="s">
        <v>80</v>
      </c>
      <c r="M18" s="102">
        <v>45218</v>
      </c>
      <c r="N18" s="53"/>
      <c r="O18" s="31"/>
      <c r="P18" s="79"/>
      <c r="Q18" s="80"/>
      <c r="R18" s="79"/>
      <c r="S18" s="80"/>
      <c r="T18" s="80"/>
      <c r="U18" s="80"/>
      <c r="V18" s="80"/>
      <c r="W18" s="87"/>
      <c r="X18" s="79"/>
      <c r="Y18" s="230"/>
      <c r="Z18" s="230"/>
      <c r="AA18" s="87"/>
      <c r="AB18" s="75"/>
      <c r="AC18" s="86"/>
      <c r="AD18" s="79"/>
      <c r="AE18" s="80"/>
      <c r="AF18" s="80"/>
      <c r="AG18" s="80"/>
      <c r="AH18" s="86"/>
      <c r="AI18" s="35"/>
      <c r="AJ18" s="118"/>
      <c r="AK18" s="24"/>
    </row>
    <row r="19" spans="1:37" s="26" customFormat="1" ht="30.75" hidden="1">
      <c r="A19" s="25">
        <f t="shared" si="0"/>
        <v>16</v>
      </c>
      <c r="B19" s="25" t="s">
        <v>81</v>
      </c>
      <c r="C19" s="25"/>
      <c r="D19" s="24" t="s">
        <v>82</v>
      </c>
      <c r="E19" s="25" t="s">
        <v>53</v>
      </c>
      <c r="F19" s="24" t="s">
        <v>58</v>
      </c>
      <c r="G19" s="73"/>
      <c r="H19" s="75"/>
      <c r="I19" s="25" t="s">
        <v>33</v>
      </c>
      <c r="J19" s="25" t="s">
        <v>34</v>
      </c>
      <c r="K19" s="25"/>
      <c r="L19" s="25" t="s">
        <v>34</v>
      </c>
      <c r="M19" s="102">
        <v>45222</v>
      </c>
      <c r="N19" s="25"/>
      <c r="O19" s="31"/>
      <c r="P19" s="61"/>
      <c r="Q19" s="35"/>
      <c r="R19" s="61"/>
      <c r="S19" s="35"/>
      <c r="T19" s="35"/>
      <c r="U19" s="35"/>
      <c r="V19" s="35"/>
      <c r="W19" s="73" t="s">
        <v>83</v>
      </c>
      <c r="X19" s="73" t="s">
        <v>83</v>
      </c>
      <c r="Y19" s="73"/>
      <c r="Z19" s="73"/>
      <c r="AA19" s="73" t="s">
        <v>83</v>
      </c>
      <c r="AB19" s="73" t="s">
        <v>83</v>
      </c>
      <c r="AC19" s="73" t="s">
        <v>83</v>
      </c>
      <c r="AD19" s="73" t="s">
        <v>83</v>
      </c>
      <c r="AE19" s="73" t="s">
        <v>83</v>
      </c>
      <c r="AF19" s="73" t="s">
        <v>83</v>
      </c>
      <c r="AG19" s="73" t="s">
        <v>83</v>
      </c>
      <c r="AH19" s="97" t="s">
        <v>83</v>
      </c>
      <c r="AI19" s="73"/>
      <c r="AJ19" s="118"/>
      <c r="AK19" s="25"/>
    </row>
    <row r="20" spans="1:37" ht="60.75" hidden="1">
      <c r="A20" s="25">
        <f t="shared" si="0"/>
        <v>17</v>
      </c>
      <c r="B20" s="25" t="s">
        <v>84</v>
      </c>
      <c r="C20" s="25"/>
      <c r="D20" s="24" t="s">
        <v>85</v>
      </c>
      <c r="E20" s="25" t="s">
        <v>53</v>
      </c>
      <c r="F20" s="24" t="s">
        <v>86</v>
      </c>
      <c r="G20" s="58">
        <v>2600000</v>
      </c>
      <c r="H20" s="58">
        <v>2860000</v>
      </c>
      <c r="I20" s="25" t="s">
        <v>33</v>
      </c>
      <c r="J20" s="28" t="s">
        <v>33</v>
      </c>
      <c r="K20" s="28" t="s">
        <v>33</v>
      </c>
      <c r="L20" s="89"/>
      <c r="M20" s="144"/>
      <c r="N20" s="92"/>
      <c r="O20" s="93"/>
      <c r="P20" s="143"/>
      <c r="Q20" s="92"/>
      <c r="R20" s="143"/>
      <c r="S20" s="92"/>
      <c r="T20" s="92"/>
      <c r="U20" s="89"/>
      <c r="V20" s="89"/>
      <c r="W20" s="25" t="s">
        <v>33</v>
      </c>
      <c r="X20" s="102">
        <v>45222</v>
      </c>
      <c r="AA20" s="25" t="s">
        <v>33</v>
      </c>
      <c r="AB20" s="52">
        <v>2860000</v>
      </c>
      <c r="AC20" s="25" t="s">
        <v>87</v>
      </c>
      <c r="AD20" s="33">
        <v>44996</v>
      </c>
      <c r="AE20" s="25" t="s">
        <v>33</v>
      </c>
      <c r="AF20" s="25"/>
      <c r="AG20" s="25"/>
      <c r="AH20" s="31" t="s">
        <v>33</v>
      </c>
      <c r="AI20" s="25"/>
      <c r="AJ20" s="116"/>
      <c r="AK20" s="24"/>
    </row>
    <row r="21" spans="1:37" ht="45.75" hidden="1">
      <c r="A21" s="25">
        <f t="shared" si="0"/>
        <v>18</v>
      </c>
      <c r="B21" s="25" t="s">
        <v>88</v>
      </c>
      <c r="C21" s="25"/>
      <c r="D21" s="24" t="s">
        <v>89</v>
      </c>
      <c r="E21" s="25" t="s">
        <v>53</v>
      </c>
      <c r="F21" s="24" t="s">
        <v>58</v>
      </c>
      <c r="G21" s="97"/>
      <c r="H21" s="51">
        <v>273900</v>
      </c>
      <c r="I21" s="25" t="s">
        <v>33</v>
      </c>
      <c r="J21" s="25" t="s">
        <v>90</v>
      </c>
      <c r="K21" s="73"/>
      <c r="L21" s="25" t="s">
        <v>91</v>
      </c>
      <c r="M21" s="33">
        <v>45223</v>
      </c>
      <c r="N21" s="25"/>
      <c r="O21" s="35" t="s">
        <v>55</v>
      </c>
      <c r="P21" s="35" t="s">
        <v>55</v>
      </c>
      <c r="Q21" s="35" t="s">
        <v>55</v>
      </c>
      <c r="R21" s="25"/>
      <c r="S21" s="25"/>
      <c r="T21" s="25"/>
      <c r="U21" s="106"/>
      <c r="V21" s="31"/>
      <c r="W21" s="78" t="s">
        <v>55</v>
      </c>
      <c r="X21" s="78" t="s">
        <v>55</v>
      </c>
      <c r="Y21" s="78"/>
      <c r="Z21" s="78"/>
      <c r="AA21" s="78" t="s">
        <v>55</v>
      </c>
      <c r="AB21" s="78" t="s">
        <v>55</v>
      </c>
      <c r="AC21" s="78" t="s">
        <v>55</v>
      </c>
      <c r="AD21" s="78" t="s">
        <v>55</v>
      </c>
      <c r="AE21" s="78" t="s">
        <v>55</v>
      </c>
      <c r="AF21" s="78" t="s">
        <v>55</v>
      </c>
      <c r="AG21" s="78" t="s">
        <v>55</v>
      </c>
      <c r="AH21" s="78" t="s">
        <v>55</v>
      </c>
      <c r="AI21" s="35"/>
      <c r="AJ21" s="118"/>
      <c r="AK21" s="24"/>
    </row>
    <row r="22" spans="1:37" ht="30.75" hidden="1">
      <c r="A22" s="25">
        <f t="shared" si="0"/>
        <v>19</v>
      </c>
      <c r="B22" s="25" t="s">
        <v>92</v>
      </c>
      <c r="C22" s="25"/>
      <c r="D22" s="24" t="s">
        <v>93</v>
      </c>
      <c r="E22" s="25" t="s">
        <v>53</v>
      </c>
      <c r="F22" s="24" t="s">
        <v>58</v>
      </c>
      <c r="G22" s="97"/>
      <c r="H22" s="51">
        <v>4290000</v>
      </c>
      <c r="I22" s="25" t="s">
        <v>33</v>
      </c>
      <c r="J22" s="25" t="s">
        <v>90</v>
      </c>
      <c r="K22" s="73"/>
      <c r="L22" s="25" t="s">
        <v>91</v>
      </c>
      <c r="M22" s="33">
        <v>45223</v>
      </c>
      <c r="N22" s="25"/>
      <c r="O22" s="35" t="s">
        <v>55</v>
      </c>
      <c r="P22" s="35" t="s">
        <v>55</v>
      </c>
      <c r="Q22" s="35" t="s">
        <v>55</v>
      </c>
      <c r="R22" s="107">
        <v>45191</v>
      </c>
      <c r="S22" s="25" t="s">
        <v>33</v>
      </c>
      <c r="T22" s="25" t="s">
        <v>33</v>
      </c>
      <c r="U22" s="109">
        <v>45191</v>
      </c>
      <c r="V22" s="31"/>
      <c r="W22" s="78" t="s">
        <v>55</v>
      </c>
      <c r="X22" s="78" t="s">
        <v>55</v>
      </c>
      <c r="Y22" s="78"/>
      <c r="Z22" s="78"/>
      <c r="AA22" s="78" t="s">
        <v>55</v>
      </c>
      <c r="AB22" s="78" t="s">
        <v>55</v>
      </c>
      <c r="AC22" s="78" t="s">
        <v>55</v>
      </c>
      <c r="AD22" s="78" t="s">
        <v>55</v>
      </c>
      <c r="AE22" s="78" t="s">
        <v>55</v>
      </c>
      <c r="AF22" s="78" t="s">
        <v>55</v>
      </c>
      <c r="AG22" s="78" t="s">
        <v>55</v>
      </c>
      <c r="AH22" s="78" t="s">
        <v>55</v>
      </c>
      <c r="AI22" s="35"/>
      <c r="AJ22" s="118"/>
      <c r="AK22" s="24"/>
    </row>
    <row r="23" spans="1:37" ht="30.75" hidden="1">
      <c r="A23" s="25">
        <f t="shared" si="0"/>
        <v>20</v>
      </c>
      <c r="B23" s="49" t="s">
        <v>94</v>
      </c>
      <c r="C23" s="49"/>
      <c r="D23" s="47" t="s">
        <v>95</v>
      </c>
      <c r="E23" s="49" t="s">
        <v>53</v>
      </c>
      <c r="F23" s="24" t="s">
        <v>58</v>
      </c>
      <c r="G23" s="97"/>
      <c r="H23" s="51">
        <v>1595000</v>
      </c>
      <c r="I23" s="50" t="s">
        <v>33</v>
      </c>
      <c r="J23" s="25" t="s">
        <v>90</v>
      </c>
      <c r="K23" s="90" t="s">
        <v>96</v>
      </c>
      <c r="L23" s="25" t="s">
        <v>34</v>
      </c>
      <c r="M23" s="107">
        <v>45230</v>
      </c>
      <c r="N23" s="108" t="s">
        <v>96</v>
      </c>
      <c r="O23" s="90" t="s">
        <v>55</v>
      </c>
      <c r="P23" s="90" t="s">
        <v>55</v>
      </c>
      <c r="Q23" s="90" t="s">
        <v>55</v>
      </c>
      <c r="R23" s="107">
        <v>45230</v>
      </c>
      <c r="S23" s="50" t="s">
        <v>33</v>
      </c>
      <c r="T23" s="50" t="s">
        <v>33</v>
      </c>
      <c r="U23" s="109">
        <v>45230</v>
      </c>
      <c r="V23" s="49" t="s">
        <v>96</v>
      </c>
      <c r="W23" s="110" t="s">
        <v>55</v>
      </c>
      <c r="X23" s="98" t="s">
        <v>55</v>
      </c>
      <c r="Y23" s="98"/>
      <c r="Z23" s="98"/>
      <c r="AA23" s="98" t="s">
        <v>55</v>
      </c>
      <c r="AB23" s="98" t="s">
        <v>55</v>
      </c>
      <c r="AC23" s="98" t="s">
        <v>55</v>
      </c>
      <c r="AD23" s="98" t="s">
        <v>55</v>
      </c>
      <c r="AE23" s="98" t="s">
        <v>55</v>
      </c>
      <c r="AF23" s="98" t="s">
        <v>55</v>
      </c>
      <c r="AG23" s="98" t="s">
        <v>55</v>
      </c>
      <c r="AH23" s="98" t="s">
        <v>55</v>
      </c>
      <c r="AI23" s="90"/>
      <c r="AJ23" s="119"/>
      <c r="AK23" s="24"/>
    </row>
    <row r="24" spans="1:37" ht="76.5" hidden="1">
      <c r="A24" s="25">
        <f t="shared" si="0"/>
        <v>21</v>
      </c>
      <c r="B24" s="49" t="s">
        <v>97</v>
      </c>
      <c r="C24" s="49"/>
      <c r="D24" s="24" t="s">
        <v>98</v>
      </c>
      <c r="E24" s="25" t="s">
        <v>53</v>
      </c>
      <c r="F24" s="24" t="s">
        <v>58</v>
      </c>
      <c r="G24" s="97"/>
      <c r="H24" s="51">
        <v>847000</v>
      </c>
      <c r="I24" s="50" t="s">
        <v>33</v>
      </c>
      <c r="J24" s="25" t="s">
        <v>90</v>
      </c>
      <c r="K24" s="124" t="s">
        <v>33</v>
      </c>
      <c r="L24" s="25" t="s">
        <v>34</v>
      </c>
      <c r="M24" s="107">
        <v>45230</v>
      </c>
      <c r="N24" s="25"/>
      <c r="O24" s="90" t="s">
        <v>55</v>
      </c>
      <c r="P24" s="90" t="s">
        <v>55</v>
      </c>
      <c r="Q24" s="90" t="s">
        <v>55</v>
      </c>
      <c r="R24" s="107">
        <v>45230</v>
      </c>
      <c r="S24" s="50" t="s">
        <v>33</v>
      </c>
      <c r="T24" s="50" t="s">
        <v>33</v>
      </c>
      <c r="U24" s="109">
        <v>45230</v>
      </c>
      <c r="V24" s="25"/>
      <c r="W24" s="110" t="s">
        <v>55</v>
      </c>
      <c r="X24" s="98" t="s">
        <v>55</v>
      </c>
      <c r="Y24" s="98"/>
      <c r="Z24" s="98"/>
      <c r="AA24" s="98" t="s">
        <v>55</v>
      </c>
      <c r="AB24" s="98" t="s">
        <v>55</v>
      </c>
      <c r="AC24" s="98" t="s">
        <v>55</v>
      </c>
      <c r="AD24" s="98" t="s">
        <v>55</v>
      </c>
      <c r="AE24" s="98" t="s">
        <v>55</v>
      </c>
      <c r="AF24" s="98" t="s">
        <v>55</v>
      </c>
      <c r="AG24" s="98" t="s">
        <v>55</v>
      </c>
      <c r="AH24" s="98" t="s">
        <v>55</v>
      </c>
      <c r="AI24" s="90"/>
      <c r="AJ24" s="119"/>
      <c r="AK24" s="24"/>
    </row>
    <row r="25" spans="1:37" s="26" customFormat="1" ht="85.5" hidden="1" customHeight="1">
      <c r="A25" s="25">
        <f t="shared" si="0"/>
        <v>22</v>
      </c>
      <c r="B25" s="134" t="s">
        <v>99</v>
      </c>
      <c r="C25" s="288"/>
      <c r="D25" s="62" t="s">
        <v>100</v>
      </c>
      <c r="E25" s="25" t="s">
        <v>31</v>
      </c>
      <c r="F25" s="24" t="s">
        <v>32</v>
      </c>
      <c r="G25" s="29">
        <v>3790</v>
      </c>
      <c r="H25" s="29">
        <v>4169</v>
      </c>
      <c r="I25" s="25" t="s">
        <v>33</v>
      </c>
      <c r="J25" s="25" t="s">
        <v>34</v>
      </c>
      <c r="K25" s="28" t="s">
        <v>33</v>
      </c>
      <c r="L25" s="31" t="s">
        <v>34</v>
      </c>
      <c r="M25" s="33">
        <v>45258</v>
      </c>
      <c r="N25" s="53" t="s">
        <v>33</v>
      </c>
      <c r="O25" s="31" t="s">
        <v>70</v>
      </c>
      <c r="P25" s="33"/>
      <c r="Q25" s="25"/>
      <c r="R25" s="61"/>
      <c r="S25" s="35"/>
      <c r="T25" s="28" t="s">
        <v>33</v>
      </c>
      <c r="U25" s="33">
        <v>45267</v>
      </c>
      <c r="V25" s="25" t="s">
        <v>33</v>
      </c>
      <c r="W25" s="32" t="s">
        <v>33</v>
      </c>
      <c r="X25" s="33">
        <v>45267</v>
      </c>
      <c r="Y25" s="216"/>
      <c r="Z25" s="216"/>
      <c r="AA25" s="32" t="s">
        <v>33</v>
      </c>
      <c r="AB25" s="29">
        <v>4169</v>
      </c>
      <c r="AC25" s="31" t="s">
        <v>34</v>
      </c>
      <c r="AD25" s="33">
        <v>45244</v>
      </c>
      <c r="AE25" s="25" t="s">
        <v>33</v>
      </c>
      <c r="AF25" s="28" t="s">
        <v>48</v>
      </c>
      <c r="AG25" s="25"/>
      <c r="AH25" s="31"/>
      <c r="AI25" s="25" t="s">
        <v>71</v>
      </c>
      <c r="AJ25" s="120" t="s">
        <v>72</v>
      </c>
      <c r="AK25" s="25"/>
    </row>
    <row r="26" spans="1:37" ht="76.5" hidden="1">
      <c r="A26" s="28">
        <f t="shared" si="0"/>
        <v>23</v>
      </c>
      <c r="B26" s="135" t="s">
        <v>101</v>
      </c>
      <c r="C26" s="135"/>
      <c r="D26" s="62" t="s">
        <v>102</v>
      </c>
      <c r="E26" s="53" t="s">
        <v>31</v>
      </c>
      <c r="F26" s="27" t="s">
        <v>32</v>
      </c>
      <c r="G26" s="67">
        <v>3790</v>
      </c>
      <c r="H26" s="67">
        <v>4169</v>
      </c>
      <c r="I26" s="28" t="s">
        <v>33</v>
      </c>
      <c r="J26" s="28" t="s">
        <v>34</v>
      </c>
      <c r="K26" s="28" t="s">
        <v>33</v>
      </c>
      <c r="L26" s="31" t="s">
        <v>34</v>
      </c>
      <c r="M26" s="33">
        <v>45258</v>
      </c>
      <c r="N26" s="53" t="s">
        <v>33</v>
      </c>
      <c r="O26" s="31" t="s">
        <v>70</v>
      </c>
      <c r="P26" s="55"/>
      <c r="Q26" s="28"/>
      <c r="R26" s="79"/>
      <c r="S26" s="80"/>
      <c r="T26" s="28" t="s">
        <v>33</v>
      </c>
      <c r="U26" s="33">
        <v>45267</v>
      </c>
      <c r="V26" s="25" t="s">
        <v>33</v>
      </c>
      <c r="W26" s="32" t="s">
        <v>33</v>
      </c>
      <c r="X26" s="33">
        <v>45267</v>
      </c>
      <c r="Y26" s="216"/>
      <c r="Z26" s="216"/>
      <c r="AA26" s="32" t="s">
        <v>33</v>
      </c>
      <c r="AB26" s="29">
        <v>4169</v>
      </c>
      <c r="AC26" s="31" t="s">
        <v>34</v>
      </c>
      <c r="AD26" s="33">
        <v>45244</v>
      </c>
      <c r="AE26" s="25" t="s">
        <v>33</v>
      </c>
      <c r="AF26" s="28" t="s">
        <v>48</v>
      </c>
      <c r="AG26" s="28"/>
      <c r="AH26" s="54"/>
      <c r="AI26" s="25" t="s">
        <v>71</v>
      </c>
      <c r="AJ26" s="120" t="s">
        <v>72</v>
      </c>
      <c r="AK26" s="24"/>
    </row>
    <row r="27" spans="1:37" ht="31.5" hidden="1" customHeight="1">
      <c r="A27" s="28">
        <f t="shared" si="0"/>
        <v>24</v>
      </c>
      <c r="B27" s="108" t="s">
        <v>103</v>
      </c>
      <c r="C27" s="108"/>
      <c r="D27" s="24" t="s">
        <v>104</v>
      </c>
      <c r="E27" s="25" t="s">
        <v>53</v>
      </c>
      <c r="F27" s="24" t="s">
        <v>86</v>
      </c>
      <c r="G27" s="51">
        <v>397800000</v>
      </c>
      <c r="H27" s="58">
        <v>437580000</v>
      </c>
      <c r="I27" s="249"/>
      <c r="J27" s="249"/>
      <c r="K27" s="35"/>
      <c r="L27" s="35"/>
      <c r="M27" s="61"/>
      <c r="N27" s="35"/>
      <c r="O27" s="35"/>
      <c r="P27" s="61"/>
      <c r="Q27" s="35"/>
      <c r="R27" s="61"/>
      <c r="S27" s="35"/>
      <c r="T27" s="35"/>
      <c r="U27" s="35"/>
      <c r="V27" s="35"/>
      <c r="W27" s="25"/>
      <c r="X27" s="33"/>
      <c r="Y27" s="33"/>
      <c r="Z27" s="33"/>
      <c r="AA27" s="25"/>
      <c r="AB27" s="52">
        <v>437580000</v>
      </c>
      <c r="AC27" s="25" t="s">
        <v>34</v>
      </c>
      <c r="AD27" s="33">
        <v>45233</v>
      </c>
      <c r="AE27" s="25" t="s">
        <v>33</v>
      </c>
      <c r="AF27" s="25"/>
      <c r="AG27" s="25"/>
      <c r="AH27" s="31"/>
      <c r="AI27" s="25"/>
      <c r="AJ27" s="116"/>
      <c r="AK27" s="24"/>
    </row>
    <row r="28" spans="1:37" ht="30" hidden="1" customHeight="1">
      <c r="A28" s="28">
        <f t="shared" si="0"/>
        <v>25</v>
      </c>
      <c r="B28" s="108" t="s">
        <v>105</v>
      </c>
      <c r="C28" s="108"/>
      <c r="D28" s="24" t="s">
        <v>106</v>
      </c>
      <c r="E28" s="25" t="s">
        <v>53</v>
      </c>
      <c r="F28" s="24" t="s">
        <v>107</v>
      </c>
      <c r="G28" s="57">
        <v>590000</v>
      </c>
      <c r="H28" s="51">
        <v>649000</v>
      </c>
      <c r="I28" s="25" t="s">
        <v>33</v>
      </c>
      <c r="J28" s="25" t="s">
        <v>34</v>
      </c>
      <c r="K28" s="32"/>
      <c r="L28" s="35"/>
      <c r="M28" s="61"/>
      <c r="N28" s="35"/>
      <c r="O28" s="35"/>
      <c r="P28" s="61"/>
      <c r="Q28" s="35"/>
      <c r="R28" s="61"/>
      <c r="S28" s="35"/>
      <c r="T28" s="35"/>
      <c r="U28" s="35"/>
      <c r="V28" s="35"/>
      <c r="W28" s="25"/>
      <c r="X28" s="33"/>
      <c r="Y28" s="33"/>
      <c r="Z28" s="33"/>
      <c r="AA28" s="25"/>
      <c r="AB28" s="52">
        <v>649000</v>
      </c>
      <c r="AC28" s="25" t="s">
        <v>34</v>
      </c>
      <c r="AD28" s="33">
        <v>45233</v>
      </c>
      <c r="AE28" s="25" t="s">
        <v>33</v>
      </c>
      <c r="AF28" s="25" t="s">
        <v>33</v>
      </c>
      <c r="AG28" s="25"/>
      <c r="AH28" s="31" t="s">
        <v>33</v>
      </c>
      <c r="AI28" s="25"/>
      <c r="AJ28" s="116"/>
      <c r="AK28" s="24"/>
    </row>
    <row r="29" spans="1:37" ht="60.75" hidden="1">
      <c r="A29" s="28">
        <f t="shared" si="0"/>
        <v>26</v>
      </c>
      <c r="B29" s="250" t="s">
        <v>108</v>
      </c>
      <c r="C29" s="250"/>
      <c r="D29" s="60" t="s">
        <v>109</v>
      </c>
      <c r="E29" s="25" t="s">
        <v>31</v>
      </c>
      <c r="F29" s="27" t="s">
        <v>32</v>
      </c>
      <c r="G29" s="67">
        <v>1636</v>
      </c>
      <c r="H29" s="67">
        <v>1799.6</v>
      </c>
      <c r="I29" s="28" t="s">
        <v>33</v>
      </c>
      <c r="J29" s="25" t="s">
        <v>34</v>
      </c>
      <c r="K29" s="28" t="s">
        <v>33</v>
      </c>
      <c r="L29" s="31" t="s">
        <v>34</v>
      </c>
      <c r="M29" s="33">
        <v>45258</v>
      </c>
      <c r="N29" s="32" t="s">
        <v>33</v>
      </c>
      <c r="O29" s="31" t="s">
        <v>110</v>
      </c>
      <c r="P29" s="33"/>
      <c r="Q29" s="25"/>
      <c r="R29" s="61"/>
      <c r="S29" s="25" t="s">
        <v>33</v>
      </c>
      <c r="T29" s="50" t="s">
        <v>33</v>
      </c>
      <c r="U29" s="109">
        <v>45243</v>
      </c>
      <c r="V29" s="25" t="s">
        <v>33</v>
      </c>
      <c r="W29" s="32" t="s">
        <v>33</v>
      </c>
      <c r="X29" s="33">
        <v>45266</v>
      </c>
      <c r="Y29" s="216"/>
      <c r="Z29" s="216"/>
      <c r="AA29" s="32" t="s">
        <v>33</v>
      </c>
      <c r="AB29" s="67">
        <v>1799.6</v>
      </c>
      <c r="AC29" s="31" t="s">
        <v>34</v>
      </c>
      <c r="AD29" s="33">
        <v>45244</v>
      </c>
      <c r="AE29" s="25" t="s">
        <v>33</v>
      </c>
      <c r="AF29" s="25" t="s">
        <v>33</v>
      </c>
      <c r="AG29" s="91">
        <v>45271</v>
      </c>
      <c r="AH29" s="31" t="s">
        <v>33</v>
      </c>
      <c r="AI29" s="25" t="s">
        <v>71</v>
      </c>
      <c r="AJ29" s="120" t="s">
        <v>111</v>
      </c>
      <c r="AK29" s="24"/>
    </row>
    <row r="30" spans="1:37" ht="60.75" hidden="1">
      <c r="A30" s="28">
        <f t="shared" si="0"/>
        <v>27</v>
      </c>
      <c r="B30" s="250" t="s">
        <v>112</v>
      </c>
      <c r="C30" s="250"/>
      <c r="D30" s="60" t="s">
        <v>113</v>
      </c>
      <c r="E30" s="31" t="s">
        <v>31</v>
      </c>
      <c r="F30" s="24" t="s">
        <v>32</v>
      </c>
      <c r="G30" s="29">
        <v>1368</v>
      </c>
      <c r="H30" s="29">
        <v>1504.8</v>
      </c>
      <c r="I30" s="25" t="s">
        <v>33</v>
      </c>
      <c r="J30" s="32" t="s">
        <v>34</v>
      </c>
      <c r="K30" s="28" t="s">
        <v>33</v>
      </c>
      <c r="L30" s="31" t="s">
        <v>34</v>
      </c>
      <c r="M30" s="33">
        <v>45258</v>
      </c>
      <c r="N30" s="32" t="s">
        <v>33</v>
      </c>
      <c r="O30" s="31" t="s">
        <v>110</v>
      </c>
      <c r="P30" s="33"/>
      <c r="Q30" s="25"/>
      <c r="R30" s="61"/>
      <c r="S30" s="25" t="s">
        <v>33</v>
      </c>
      <c r="T30" s="50" t="s">
        <v>33</v>
      </c>
      <c r="U30" s="109">
        <v>45243</v>
      </c>
      <c r="V30" s="25" t="s">
        <v>33</v>
      </c>
      <c r="W30" s="32" t="s">
        <v>33</v>
      </c>
      <c r="X30" s="33">
        <v>45266</v>
      </c>
      <c r="Y30" s="216"/>
      <c r="Z30" s="216"/>
      <c r="AA30" s="32" t="s">
        <v>33</v>
      </c>
      <c r="AB30" s="29">
        <v>1504.8</v>
      </c>
      <c r="AC30" s="31" t="s">
        <v>34</v>
      </c>
      <c r="AD30" s="33">
        <v>45244</v>
      </c>
      <c r="AE30" s="25" t="s">
        <v>33</v>
      </c>
      <c r="AF30" s="25" t="s">
        <v>33</v>
      </c>
      <c r="AG30" s="91">
        <v>45271</v>
      </c>
      <c r="AH30" s="31" t="s">
        <v>33</v>
      </c>
      <c r="AI30" s="25" t="s">
        <v>71</v>
      </c>
      <c r="AJ30" s="120" t="s">
        <v>111</v>
      </c>
      <c r="AK30" s="24"/>
    </row>
    <row r="31" spans="1:37" ht="40.5" hidden="1" customHeight="1">
      <c r="A31" s="28">
        <f t="shared" si="0"/>
        <v>28</v>
      </c>
      <c r="B31" s="108" t="s">
        <v>114</v>
      </c>
      <c r="C31" s="108"/>
      <c r="D31" s="24" t="s">
        <v>115</v>
      </c>
      <c r="E31" s="25" t="s">
        <v>53</v>
      </c>
      <c r="F31" s="48" t="s">
        <v>116</v>
      </c>
      <c r="G31" s="63">
        <v>800000</v>
      </c>
      <c r="H31" s="63">
        <v>880000</v>
      </c>
      <c r="I31" s="81"/>
      <c r="J31" s="35"/>
      <c r="K31" s="35"/>
      <c r="L31" s="78"/>
      <c r="M31" s="61"/>
      <c r="N31" s="74"/>
      <c r="O31" s="78"/>
      <c r="P31" s="61"/>
      <c r="Q31" s="35"/>
      <c r="R31" s="61"/>
      <c r="S31" s="35"/>
      <c r="T31" s="35"/>
      <c r="U31" s="35"/>
      <c r="V31" s="35"/>
      <c r="W31" s="32" t="s">
        <v>33</v>
      </c>
      <c r="X31" s="33">
        <v>45237</v>
      </c>
      <c r="Y31" s="216"/>
      <c r="Z31" s="216"/>
      <c r="AA31" s="32"/>
      <c r="AB31" s="59">
        <v>880000</v>
      </c>
      <c r="AC31" s="31" t="s">
        <v>91</v>
      </c>
      <c r="AD31" s="33">
        <v>45237</v>
      </c>
      <c r="AE31" s="25"/>
      <c r="AF31" s="25"/>
      <c r="AG31" s="25"/>
      <c r="AH31" s="31"/>
      <c r="AI31" s="25"/>
      <c r="AJ31" s="116"/>
      <c r="AK31" s="24"/>
    </row>
    <row r="32" spans="1:37" ht="33" hidden="1" customHeight="1">
      <c r="A32" s="28">
        <f t="shared" si="0"/>
        <v>29</v>
      </c>
      <c r="B32" s="108" t="s">
        <v>117</v>
      </c>
      <c r="C32" s="108"/>
      <c r="D32" s="24" t="s">
        <v>118</v>
      </c>
      <c r="E32" s="25" t="s">
        <v>53</v>
      </c>
      <c r="F32" s="24" t="s">
        <v>58</v>
      </c>
      <c r="G32" s="51">
        <v>220000</v>
      </c>
      <c r="H32" s="51">
        <v>242000</v>
      </c>
      <c r="I32" s="28" t="s">
        <v>33</v>
      </c>
      <c r="J32" s="25" t="s">
        <v>34</v>
      </c>
      <c r="K32" s="28" t="s">
        <v>33</v>
      </c>
      <c r="L32" s="31" t="s">
        <v>34</v>
      </c>
      <c r="M32" s="33">
        <v>45237</v>
      </c>
      <c r="N32" s="32"/>
      <c r="O32" s="90" t="s">
        <v>55</v>
      </c>
      <c r="P32" s="90" t="s">
        <v>55</v>
      </c>
      <c r="Q32" s="90" t="s">
        <v>55</v>
      </c>
      <c r="R32" s="61"/>
      <c r="S32" s="35"/>
      <c r="T32" s="35"/>
      <c r="U32" s="35"/>
      <c r="V32" s="35"/>
      <c r="W32" s="90" t="s">
        <v>55</v>
      </c>
      <c r="X32" s="90" t="s">
        <v>55</v>
      </c>
      <c r="Y32" s="90"/>
      <c r="Z32" s="90"/>
      <c r="AA32" s="90" t="s">
        <v>55</v>
      </c>
      <c r="AB32" s="90" t="s">
        <v>55</v>
      </c>
      <c r="AC32" s="90" t="s">
        <v>55</v>
      </c>
      <c r="AD32" s="90" t="s">
        <v>55</v>
      </c>
      <c r="AE32" s="90" t="s">
        <v>55</v>
      </c>
      <c r="AF32" s="90" t="s">
        <v>55</v>
      </c>
      <c r="AG32" s="90" t="s">
        <v>55</v>
      </c>
      <c r="AH32" s="98" t="s">
        <v>55</v>
      </c>
      <c r="AI32" s="90"/>
      <c r="AJ32" s="119"/>
      <c r="AK32" s="24"/>
    </row>
    <row r="33" spans="1:37" s="26" customFormat="1" ht="30.75" hidden="1">
      <c r="A33" s="28">
        <f t="shared" si="0"/>
        <v>30</v>
      </c>
      <c r="B33" s="251" t="s">
        <v>119</v>
      </c>
      <c r="C33" s="251"/>
      <c r="D33" s="27" t="s">
        <v>120</v>
      </c>
      <c r="E33" s="28" t="s">
        <v>53</v>
      </c>
      <c r="F33" s="27" t="s">
        <v>58</v>
      </c>
      <c r="G33" s="75"/>
      <c r="H33" s="58">
        <v>28997000</v>
      </c>
      <c r="I33" s="28" t="s">
        <v>33</v>
      </c>
      <c r="J33" s="28" t="s">
        <v>34</v>
      </c>
      <c r="K33" s="28" t="s">
        <v>33</v>
      </c>
      <c r="L33" s="54" t="s">
        <v>34</v>
      </c>
      <c r="M33" s="55">
        <v>45238</v>
      </c>
      <c r="N33" s="53"/>
      <c r="O33" s="249" t="s">
        <v>55</v>
      </c>
      <c r="P33" s="249" t="s">
        <v>55</v>
      </c>
      <c r="Q33" s="249" t="s">
        <v>55</v>
      </c>
      <c r="R33" s="79"/>
      <c r="S33" s="80"/>
      <c r="T33" s="80"/>
      <c r="U33" s="80"/>
      <c r="V33" s="80"/>
      <c r="W33" s="249" t="s">
        <v>55</v>
      </c>
      <c r="X33" s="249" t="s">
        <v>55</v>
      </c>
      <c r="Y33" s="249"/>
      <c r="Z33" s="236"/>
      <c r="AA33" s="236" t="s">
        <v>55</v>
      </c>
      <c r="AB33" s="249" t="s">
        <v>55</v>
      </c>
      <c r="AC33" s="249" t="s">
        <v>55</v>
      </c>
      <c r="AD33" s="249" t="s">
        <v>55</v>
      </c>
      <c r="AE33" s="249" t="s">
        <v>55</v>
      </c>
      <c r="AF33" s="249" t="s">
        <v>55</v>
      </c>
      <c r="AG33" s="249" t="s">
        <v>55</v>
      </c>
      <c r="AH33" s="252" t="s">
        <v>55</v>
      </c>
      <c r="AI33" s="90"/>
      <c r="AJ33" s="119"/>
      <c r="AK33" s="25"/>
    </row>
    <row r="34" spans="1:37" s="26" customFormat="1" ht="45.75" hidden="1">
      <c r="A34" s="28">
        <f t="shared" si="0"/>
        <v>31</v>
      </c>
      <c r="B34" s="108" t="s">
        <v>121</v>
      </c>
      <c r="C34" s="108"/>
      <c r="D34" s="24" t="s">
        <v>122</v>
      </c>
      <c r="E34" s="25" t="s">
        <v>53</v>
      </c>
      <c r="F34" s="24" t="s">
        <v>58</v>
      </c>
      <c r="G34" s="51">
        <v>2492000</v>
      </c>
      <c r="H34" s="51">
        <v>2741200</v>
      </c>
      <c r="I34" s="25" t="s">
        <v>33</v>
      </c>
      <c r="J34" s="25" t="s">
        <v>34</v>
      </c>
      <c r="K34" s="25"/>
      <c r="L34" s="25" t="s">
        <v>34</v>
      </c>
      <c r="M34" s="33">
        <v>45240</v>
      </c>
      <c r="N34" s="25"/>
      <c r="O34" s="90" t="s">
        <v>55</v>
      </c>
      <c r="P34" s="90" t="s">
        <v>55</v>
      </c>
      <c r="Q34" s="90" t="s">
        <v>55</v>
      </c>
      <c r="R34" s="33"/>
      <c r="S34" s="25"/>
      <c r="T34" s="25"/>
      <c r="U34" s="25"/>
      <c r="V34" s="25"/>
      <c r="W34" s="90" t="s">
        <v>55</v>
      </c>
      <c r="X34" s="90" t="s">
        <v>55</v>
      </c>
      <c r="Y34" s="90"/>
      <c r="Z34" s="236"/>
      <c r="AA34" s="236" t="s">
        <v>55</v>
      </c>
      <c r="AB34" s="90" t="s">
        <v>55</v>
      </c>
      <c r="AC34" s="90" t="s">
        <v>55</v>
      </c>
      <c r="AD34" s="90" t="s">
        <v>55</v>
      </c>
      <c r="AE34" s="90" t="s">
        <v>55</v>
      </c>
      <c r="AF34" s="90" t="s">
        <v>55</v>
      </c>
      <c r="AG34" s="90" t="s">
        <v>55</v>
      </c>
      <c r="AH34" s="98" t="s">
        <v>55</v>
      </c>
      <c r="AI34" s="90"/>
      <c r="AJ34" s="119"/>
      <c r="AK34" s="25"/>
    </row>
    <row r="35" spans="1:37" ht="30" hidden="1" customHeight="1">
      <c r="A35" s="28">
        <f t="shared" si="0"/>
        <v>32</v>
      </c>
      <c r="B35" s="49" t="s">
        <v>123</v>
      </c>
      <c r="C35" s="49"/>
      <c r="D35" s="24" t="s">
        <v>124</v>
      </c>
      <c r="E35" s="25" t="s">
        <v>53</v>
      </c>
      <c r="F35" s="24" t="s">
        <v>58</v>
      </c>
      <c r="G35" s="75"/>
      <c r="H35" s="51">
        <v>7887000</v>
      </c>
      <c r="I35" s="25" t="s">
        <v>33</v>
      </c>
      <c r="J35" s="25" t="s">
        <v>34</v>
      </c>
      <c r="K35" s="28" t="s">
        <v>33</v>
      </c>
      <c r="L35" s="25" t="s">
        <v>34</v>
      </c>
      <c r="M35" s="33">
        <v>45251</v>
      </c>
      <c r="N35" s="28" t="s">
        <v>33</v>
      </c>
      <c r="O35" s="90" t="s">
        <v>55</v>
      </c>
      <c r="P35" s="90" t="s">
        <v>55</v>
      </c>
      <c r="Q35" s="90" t="s">
        <v>55</v>
      </c>
      <c r="R35" s="33"/>
      <c r="S35" s="25"/>
      <c r="T35" s="25" t="s">
        <v>33</v>
      </c>
      <c r="U35" s="91">
        <v>45264</v>
      </c>
      <c r="V35" s="25" t="s">
        <v>33</v>
      </c>
      <c r="W35" s="90" t="s">
        <v>55</v>
      </c>
      <c r="X35" s="90" t="s">
        <v>55</v>
      </c>
      <c r="Y35" s="90"/>
      <c r="Z35" s="236"/>
      <c r="AA35" s="236" t="s">
        <v>55</v>
      </c>
      <c r="AB35" s="90" t="s">
        <v>55</v>
      </c>
      <c r="AC35" s="90" t="s">
        <v>55</v>
      </c>
      <c r="AD35" s="90" t="s">
        <v>55</v>
      </c>
      <c r="AE35" s="90" t="s">
        <v>55</v>
      </c>
      <c r="AF35" s="90" t="s">
        <v>55</v>
      </c>
      <c r="AG35" s="90" t="s">
        <v>55</v>
      </c>
      <c r="AH35" s="98" t="s">
        <v>55</v>
      </c>
      <c r="AI35" s="90"/>
      <c r="AJ35" s="119"/>
      <c r="AK35" s="24"/>
    </row>
    <row r="36" spans="1:37" s="26" customFormat="1" ht="45.75" hidden="1">
      <c r="A36" s="28">
        <f t="shared" si="0"/>
        <v>33</v>
      </c>
      <c r="B36" s="250" t="s">
        <v>125</v>
      </c>
      <c r="C36" s="253"/>
      <c r="D36" s="27" t="s">
        <v>126</v>
      </c>
      <c r="E36" s="25" t="s">
        <v>31</v>
      </c>
      <c r="F36" s="24" t="s">
        <v>67</v>
      </c>
      <c r="G36" s="29">
        <v>45.45</v>
      </c>
      <c r="H36" s="29">
        <v>50</v>
      </c>
      <c r="I36" s="82"/>
      <c r="J36" s="83"/>
      <c r="K36" s="83"/>
      <c r="L36" s="78"/>
      <c r="M36" s="61"/>
      <c r="N36" s="74"/>
      <c r="O36" s="78"/>
      <c r="P36" s="61"/>
      <c r="Q36" s="35"/>
      <c r="R36" s="61"/>
      <c r="S36" s="35"/>
      <c r="T36" s="35"/>
      <c r="U36" s="35"/>
      <c r="V36" s="35"/>
      <c r="W36" s="53" t="s">
        <v>33</v>
      </c>
      <c r="X36" s="33">
        <v>45264</v>
      </c>
      <c r="Y36" s="216"/>
      <c r="Z36" s="216"/>
      <c r="AA36" s="32" t="s">
        <v>33</v>
      </c>
      <c r="AB36" s="29">
        <v>50</v>
      </c>
      <c r="AC36" s="54" t="s">
        <v>34</v>
      </c>
      <c r="AD36" s="55">
        <v>45244</v>
      </c>
      <c r="AE36" s="25" t="s">
        <v>33</v>
      </c>
      <c r="AF36" s="28" t="s">
        <v>48</v>
      </c>
      <c r="AG36" s="25"/>
      <c r="AH36" s="31"/>
      <c r="AI36" s="25" t="s">
        <v>33</v>
      </c>
      <c r="AJ36" s="120" t="s">
        <v>127</v>
      </c>
      <c r="AK36" s="25"/>
    </row>
    <row r="37" spans="1:37" s="26" customFormat="1" ht="45.75" hidden="1">
      <c r="A37" s="28">
        <f t="shared" si="0"/>
        <v>34</v>
      </c>
      <c r="B37" s="134" t="s">
        <v>128</v>
      </c>
      <c r="C37" s="134"/>
      <c r="D37" s="24" t="s">
        <v>129</v>
      </c>
      <c r="E37" s="25" t="s">
        <v>53</v>
      </c>
      <c r="F37" s="24" t="s">
        <v>61</v>
      </c>
      <c r="G37" s="29">
        <v>2240</v>
      </c>
      <c r="H37" s="68">
        <v>2464</v>
      </c>
      <c r="I37" s="83"/>
      <c r="J37" s="84"/>
      <c r="K37" s="83"/>
      <c r="L37" s="78"/>
      <c r="M37" s="61"/>
      <c r="N37" s="74"/>
      <c r="O37" s="78"/>
      <c r="P37" s="61"/>
      <c r="Q37" s="35"/>
      <c r="R37" s="61"/>
      <c r="S37" s="35"/>
      <c r="T37" s="35"/>
      <c r="U37" s="35"/>
      <c r="V37" s="35"/>
      <c r="W37" s="53" t="s">
        <v>33</v>
      </c>
      <c r="X37" s="33">
        <v>45264</v>
      </c>
      <c r="Y37" s="216"/>
      <c r="Z37" s="237"/>
      <c r="AA37" s="236" t="s">
        <v>33</v>
      </c>
      <c r="AB37" s="29">
        <v>2464</v>
      </c>
      <c r="AC37" s="54" t="s">
        <v>34</v>
      </c>
      <c r="AD37" s="55">
        <v>45244</v>
      </c>
      <c r="AE37" s="25" t="s">
        <v>33</v>
      </c>
      <c r="AF37" s="28" t="s">
        <v>48</v>
      </c>
      <c r="AG37" s="25"/>
      <c r="AH37" s="31"/>
      <c r="AI37" s="25" t="s">
        <v>33</v>
      </c>
      <c r="AJ37" s="120" t="s">
        <v>127</v>
      </c>
      <c r="AK37" s="25"/>
    </row>
    <row r="38" spans="1:37" s="26" customFormat="1" ht="45.75" hidden="1">
      <c r="A38" s="28">
        <f t="shared" si="0"/>
        <v>35</v>
      </c>
      <c r="B38" s="253" t="s">
        <v>130</v>
      </c>
      <c r="C38" s="253"/>
      <c r="D38" s="27" t="s">
        <v>131</v>
      </c>
      <c r="E38" s="28" t="s">
        <v>31</v>
      </c>
      <c r="F38" s="27" t="s">
        <v>64</v>
      </c>
      <c r="G38" s="66">
        <v>70</v>
      </c>
      <c r="H38" s="69">
        <v>77</v>
      </c>
      <c r="I38" s="83"/>
      <c r="J38" s="85"/>
      <c r="K38" s="82"/>
      <c r="L38" s="86"/>
      <c r="M38" s="79"/>
      <c r="N38" s="87"/>
      <c r="O38" s="86"/>
      <c r="P38" s="79"/>
      <c r="Q38" s="80"/>
      <c r="R38" s="79"/>
      <c r="S38" s="80"/>
      <c r="T38" s="80"/>
      <c r="U38" s="80"/>
      <c r="V38" s="80"/>
      <c r="W38" s="53" t="s">
        <v>33</v>
      </c>
      <c r="X38" s="33">
        <v>45264</v>
      </c>
      <c r="Y38" s="216"/>
      <c r="Z38" s="216"/>
      <c r="AA38" s="32" t="s">
        <v>33</v>
      </c>
      <c r="AB38" s="67">
        <v>77</v>
      </c>
      <c r="AC38" s="54" t="s">
        <v>34</v>
      </c>
      <c r="AD38" s="55">
        <v>45244</v>
      </c>
      <c r="AE38" s="25" t="s">
        <v>33</v>
      </c>
      <c r="AF38" s="28" t="s">
        <v>48</v>
      </c>
      <c r="AG38" s="28"/>
      <c r="AH38" s="54"/>
      <c r="AI38" s="25" t="s">
        <v>33</v>
      </c>
      <c r="AJ38" s="120" t="s">
        <v>127</v>
      </c>
      <c r="AK38" s="25"/>
    </row>
    <row r="39" spans="1:37" ht="70.5" hidden="1" customHeight="1">
      <c r="A39" s="28">
        <f t="shared" si="0"/>
        <v>36</v>
      </c>
      <c r="B39" s="254" t="s">
        <v>132</v>
      </c>
      <c r="C39" s="254"/>
      <c r="D39" s="27" t="s">
        <v>133</v>
      </c>
      <c r="E39" s="28" t="s">
        <v>53</v>
      </c>
      <c r="F39" s="24" t="s">
        <v>86</v>
      </c>
      <c r="G39" s="58">
        <v>2600000</v>
      </c>
      <c r="H39" s="111">
        <v>2860000</v>
      </c>
      <c r="I39" s="25" t="s">
        <v>33</v>
      </c>
      <c r="J39" s="28" t="s">
        <v>33</v>
      </c>
      <c r="K39" s="28" t="s">
        <v>33</v>
      </c>
      <c r="L39" s="86"/>
      <c r="M39" s="143"/>
      <c r="N39" s="145"/>
      <c r="O39" s="93"/>
      <c r="P39" s="143"/>
      <c r="Q39" s="92"/>
      <c r="R39" s="146"/>
      <c r="S39" s="89"/>
      <c r="T39" s="89"/>
      <c r="U39" s="89"/>
      <c r="V39" s="89"/>
      <c r="W39" s="25" t="s">
        <v>33</v>
      </c>
      <c r="X39" s="33">
        <v>45253</v>
      </c>
      <c r="Y39" s="33"/>
      <c r="Z39" s="237"/>
      <c r="AA39" s="236" t="s">
        <v>33</v>
      </c>
      <c r="AB39" s="52">
        <v>2860000</v>
      </c>
      <c r="AC39" s="25" t="s">
        <v>87</v>
      </c>
      <c r="AD39" s="33">
        <v>45267</v>
      </c>
      <c r="AE39" s="25" t="s">
        <v>33</v>
      </c>
      <c r="AF39" s="25"/>
      <c r="AG39" s="25"/>
      <c r="AH39" s="31" t="s">
        <v>33</v>
      </c>
      <c r="AI39" s="25"/>
      <c r="AJ39" s="116"/>
      <c r="AK39" s="24"/>
    </row>
    <row r="40" spans="1:37" s="26" customFormat="1" ht="60.75" hidden="1">
      <c r="A40" s="28">
        <f t="shared" si="0"/>
        <v>37</v>
      </c>
      <c r="B40" s="253" t="s">
        <v>134</v>
      </c>
      <c r="C40" s="253"/>
      <c r="D40" s="27" t="s">
        <v>135</v>
      </c>
      <c r="E40" s="28" t="s">
        <v>53</v>
      </c>
      <c r="F40" s="37" t="s">
        <v>58</v>
      </c>
      <c r="G40" s="76"/>
      <c r="H40" s="77"/>
      <c r="I40" s="28" t="s">
        <v>33</v>
      </c>
      <c r="J40" s="28" t="s">
        <v>34</v>
      </c>
      <c r="K40" s="28" t="s">
        <v>33</v>
      </c>
      <c r="L40" s="28" t="s">
        <v>34</v>
      </c>
      <c r="M40" s="55">
        <v>45253</v>
      </c>
      <c r="N40" s="28" t="s">
        <v>75</v>
      </c>
      <c r="O40" s="88"/>
      <c r="P40" s="79"/>
      <c r="Q40" s="80"/>
      <c r="R40" s="79">
        <v>45254</v>
      </c>
      <c r="S40" s="64" t="s">
        <v>33</v>
      </c>
      <c r="T40" s="80"/>
      <c r="U40" s="80"/>
      <c r="V40" s="80"/>
      <c r="W40" s="87"/>
      <c r="X40" s="79"/>
      <c r="Y40" s="230"/>
      <c r="Z40" s="237"/>
      <c r="AA40" s="236"/>
      <c r="AB40" s="75"/>
      <c r="AC40" s="86"/>
      <c r="AD40" s="79"/>
      <c r="AE40" s="80"/>
      <c r="AF40" s="80"/>
      <c r="AG40" s="80"/>
      <c r="AH40" s="86"/>
      <c r="AI40" s="35"/>
      <c r="AJ40" s="118"/>
      <c r="AK40" s="25"/>
    </row>
    <row r="41" spans="1:37" ht="38.25" hidden="1" customHeight="1">
      <c r="A41" s="25">
        <f t="shared" si="0"/>
        <v>38</v>
      </c>
      <c r="B41" s="335" t="s">
        <v>136</v>
      </c>
      <c r="C41" s="250"/>
      <c r="D41" s="24" t="s">
        <v>137</v>
      </c>
      <c r="E41" s="312" t="s">
        <v>53</v>
      </c>
      <c r="F41" s="312" t="s">
        <v>138</v>
      </c>
      <c r="G41" s="73"/>
      <c r="H41" s="29">
        <v>3610.57</v>
      </c>
      <c r="I41" s="312" t="s">
        <v>33</v>
      </c>
      <c r="J41" s="312" t="s">
        <v>34</v>
      </c>
      <c r="K41" s="312" t="s">
        <v>33</v>
      </c>
      <c r="L41" s="312" t="s">
        <v>34</v>
      </c>
      <c r="M41" s="309">
        <v>45257</v>
      </c>
      <c r="N41" s="316" t="s">
        <v>33</v>
      </c>
      <c r="O41" s="73"/>
      <c r="P41" s="73"/>
      <c r="Q41" s="321" t="s">
        <v>33</v>
      </c>
      <c r="R41" s="127"/>
      <c r="S41" s="35"/>
      <c r="T41" s="35"/>
      <c r="U41" s="35"/>
      <c r="V41" s="312" t="s">
        <v>33</v>
      </c>
      <c r="W41" s="74"/>
      <c r="X41" s="61"/>
      <c r="Y41" s="61"/>
      <c r="Z41" s="237"/>
      <c r="AA41" s="236"/>
      <c r="AB41" s="326">
        <v>3610.57</v>
      </c>
      <c r="AC41" s="312" t="s">
        <v>34</v>
      </c>
      <c r="AD41" s="309">
        <v>45257</v>
      </c>
      <c r="AE41" s="312" t="s">
        <v>33</v>
      </c>
      <c r="AF41" s="312" t="s">
        <v>33</v>
      </c>
      <c r="AG41" s="309">
        <v>45275</v>
      </c>
      <c r="AH41" s="312" t="s">
        <v>33</v>
      </c>
      <c r="AI41" s="312" t="s">
        <v>71</v>
      </c>
      <c r="AJ41" s="330" t="s">
        <v>139</v>
      </c>
      <c r="AK41" s="24"/>
    </row>
    <row r="42" spans="1:37" ht="38.25" hidden="1" customHeight="1">
      <c r="A42" s="25">
        <f t="shared" si="0"/>
        <v>39</v>
      </c>
      <c r="B42" s="335"/>
      <c r="C42" s="250"/>
      <c r="D42" s="24" t="s">
        <v>140</v>
      </c>
      <c r="E42" s="313"/>
      <c r="F42" s="313"/>
      <c r="G42" s="73"/>
      <c r="H42" s="73"/>
      <c r="I42" s="313"/>
      <c r="J42" s="313"/>
      <c r="K42" s="313"/>
      <c r="L42" s="313"/>
      <c r="M42" s="310"/>
      <c r="N42" s="317"/>
      <c r="O42" s="24" t="s">
        <v>34</v>
      </c>
      <c r="P42" s="126">
        <v>45246</v>
      </c>
      <c r="Q42" s="321"/>
      <c r="R42" s="127"/>
      <c r="S42" s="35"/>
      <c r="T42" s="35"/>
      <c r="U42" s="35"/>
      <c r="V42" s="313"/>
      <c r="W42" s="25" t="s">
        <v>33</v>
      </c>
      <c r="X42" s="33">
        <v>45029</v>
      </c>
      <c r="Y42" s="216"/>
      <c r="Z42" s="216"/>
      <c r="AA42" s="32" t="s">
        <v>33</v>
      </c>
      <c r="AB42" s="327"/>
      <c r="AC42" s="313"/>
      <c r="AD42" s="310"/>
      <c r="AE42" s="313"/>
      <c r="AF42" s="313"/>
      <c r="AG42" s="310"/>
      <c r="AH42" s="313"/>
      <c r="AI42" s="313"/>
      <c r="AJ42" s="331"/>
      <c r="AK42" s="24"/>
    </row>
    <row r="43" spans="1:37" ht="38.25" hidden="1" customHeight="1">
      <c r="A43" s="28">
        <f t="shared" si="0"/>
        <v>40</v>
      </c>
      <c r="B43" s="335"/>
      <c r="C43" s="250"/>
      <c r="D43" s="24" t="s">
        <v>141</v>
      </c>
      <c r="E43" s="314"/>
      <c r="F43" s="314"/>
      <c r="G43" s="73"/>
      <c r="H43" s="73"/>
      <c r="I43" s="314"/>
      <c r="J43" s="314"/>
      <c r="K43" s="314"/>
      <c r="L43" s="314"/>
      <c r="M43" s="311"/>
      <c r="N43" s="318"/>
      <c r="O43" s="24" t="s">
        <v>142</v>
      </c>
      <c r="P43" s="126"/>
      <c r="Q43" s="321"/>
      <c r="R43" s="127"/>
      <c r="S43" s="35"/>
      <c r="T43" s="35"/>
      <c r="U43" s="35"/>
      <c r="V43" s="314"/>
      <c r="W43" s="25" t="s">
        <v>33</v>
      </c>
      <c r="X43" s="33">
        <v>44993</v>
      </c>
      <c r="Y43" s="216"/>
      <c r="Z43" s="216"/>
      <c r="AA43" s="32" t="s">
        <v>33</v>
      </c>
      <c r="AB43" s="328"/>
      <c r="AC43" s="314"/>
      <c r="AD43" s="311"/>
      <c r="AE43" s="314"/>
      <c r="AF43" s="314"/>
      <c r="AG43" s="311"/>
      <c r="AH43" s="314"/>
      <c r="AI43" s="314"/>
      <c r="AJ43" s="332"/>
      <c r="AK43" s="24"/>
    </row>
    <row r="44" spans="1:37" s="26" customFormat="1" ht="132.6" hidden="1" customHeight="1">
      <c r="A44" s="28">
        <f t="shared" si="0"/>
        <v>41</v>
      </c>
      <c r="B44" s="173" t="s">
        <v>143</v>
      </c>
      <c r="C44" s="173"/>
      <c r="D44" s="27" t="s">
        <v>144</v>
      </c>
      <c r="E44" s="28" t="s">
        <v>53</v>
      </c>
      <c r="F44" s="27" t="s">
        <v>58</v>
      </c>
      <c r="G44" s="114"/>
      <c r="H44" s="51">
        <v>38560000</v>
      </c>
      <c r="I44" s="28" t="s">
        <v>75</v>
      </c>
      <c r="J44" s="28" t="s">
        <v>34</v>
      </c>
      <c r="K44" s="28" t="s">
        <v>33</v>
      </c>
      <c r="L44" s="54" t="s">
        <v>34</v>
      </c>
      <c r="M44" s="55">
        <v>45265</v>
      </c>
      <c r="N44" s="53" t="s">
        <v>33</v>
      </c>
      <c r="O44" s="125"/>
      <c r="P44" s="123"/>
      <c r="Q44" s="122"/>
      <c r="R44" s="55">
        <v>45266</v>
      </c>
      <c r="S44" s="28" t="s">
        <v>75</v>
      </c>
      <c r="T44" s="28" t="s">
        <v>75</v>
      </c>
      <c r="U44" s="55">
        <v>45266</v>
      </c>
      <c r="V44" s="28" t="s">
        <v>87</v>
      </c>
      <c r="W44" s="90" t="s">
        <v>55</v>
      </c>
      <c r="X44" s="90" t="s">
        <v>55</v>
      </c>
      <c r="Y44" s="90"/>
      <c r="Z44" s="237"/>
      <c r="AA44" s="236" t="s">
        <v>55</v>
      </c>
      <c r="AB44" s="90" t="s">
        <v>55</v>
      </c>
      <c r="AC44" s="90" t="s">
        <v>55</v>
      </c>
      <c r="AD44" s="90" t="s">
        <v>55</v>
      </c>
      <c r="AE44" s="90" t="s">
        <v>55</v>
      </c>
      <c r="AF44" s="90" t="s">
        <v>55</v>
      </c>
      <c r="AG44" s="90" t="s">
        <v>55</v>
      </c>
      <c r="AH44" s="98" t="s">
        <v>55</v>
      </c>
      <c r="AI44" s="90"/>
      <c r="AJ44" s="119"/>
      <c r="AK44" s="28"/>
    </row>
    <row r="45" spans="1:37" s="26" customFormat="1" ht="30.75" hidden="1">
      <c r="A45" s="28">
        <f t="shared" si="0"/>
        <v>42</v>
      </c>
      <c r="B45" s="28" t="s">
        <v>145</v>
      </c>
      <c r="C45" s="28"/>
      <c r="D45" s="27" t="s">
        <v>146</v>
      </c>
      <c r="E45" s="28" t="s">
        <v>53</v>
      </c>
      <c r="F45" s="27" t="s">
        <v>58</v>
      </c>
      <c r="G45" s="114"/>
      <c r="H45" s="58">
        <v>7636640</v>
      </c>
      <c r="I45" s="28" t="s">
        <v>33</v>
      </c>
      <c r="J45" s="28" t="s">
        <v>34</v>
      </c>
      <c r="K45" s="28" t="s">
        <v>87</v>
      </c>
      <c r="L45" s="28" t="s">
        <v>34</v>
      </c>
      <c r="M45" s="55">
        <v>45260</v>
      </c>
      <c r="N45" s="28" t="s">
        <v>87</v>
      </c>
      <c r="O45" s="28"/>
      <c r="P45" s="55"/>
      <c r="Q45" s="28"/>
      <c r="R45" s="55">
        <v>45266</v>
      </c>
      <c r="S45" s="28" t="s">
        <v>33</v>
      </c>
      <c r="T45" s="28" t="s">
        <v>33</v>
      </c>
      <c r="U45" s="55">
        <v>45266</v>
      </c>
      <c r="V45" s="28" t="s">
        <v>87</v>
      </c>
      <c r="W45" s="90" t="s">
        <v>55</v>
      </c>
      <c r="X45" s="90" t="s">
        <v>55</v>
      </c>
      <c r="Y45" s="90"/>
      <c r="Z45" s="237"/>
      <c r="AA45" s="236" t="s">
        <v>55</v>
      </c>
      <c r="AB45" s="90" t="s">
        <v>55</v>
      </c>
      <c r="AC45" s="90" t="s">
        <v>55</v>
      </c>
      <c r="AD45" s="90" t="s">
        <v>55</v>
      </c>
      <c r="AE45" s="90" t="s">
        <v>55</v>
      </c>
      <c r="AF45" s="90" t="s">
        <v>55</v>
      </c>
      <c r="AG45" s="90" t="s">
        <v>55</v>
      </c>
      <c r="AH45" s="98" t="s">
        <v>55</v>
      </c>
      <c r="AI45" s="90"/>
      <c r="AJ45" s="119"/>
      <c r="AK45" s="28"/>
    </row>
    <row r="46" spans="1:37" s="26" customFormat="1" ht="36.75" hidden="1" customHeight="1">
      <c r="A46" s="28">
        <f t="shared" si="0"/>
        <v>43</v>
      </c>
      <c r="B46" s="226" t="s">
        <v>147</v>
      </c>
      <c r="C46" s="226"/>
      <c r="D46" s="130" t="s">
        <v>148</v>
      </c>
      <c r="E46" s="25" t="s">
        <v>53</v>
      </c>
      <c r="F46" s="24" t="s">
        <v>107</v>
      </c>
      <c r="G46" s="51">
        <v>590000</v>
      </c>
      <c r="H46" s="51">
        <v>649000</v>
      </c>
      <c r="I46" s="25" t="s">
        <v>75</v>
      </c>
      <c r="J46" s="28" t="s">
        <v>34</v>
      </c>
      <c r="K46" s="25"/>
      <c r="L46" s="90"/>
      <c r="M46" s="90"/>
      <c r="N46" s="90"/>
      <c r="O46" s="90"/>
      <c r="P46" s="90"/>
      <c r="Q46" s="35"/>
      <c r="R46" s="61"/>
      <c r="S46" s="90"/>
      <c r="T46" s="90"/>
      <c r="U46" s="35"/>
      <c r="V46" s="61"/>
      <c r="W46" s="90"/>
      <c r="X46" s="90"/>
      <c r="Y46" s="90"/>
      <c r="Z46" s="237"/>
      <c r="AA46" s="236"/>
      <c r="AB46" s="52">
        <v>649000</v>
      </c>
      <c r="AC46" s="25" t="s">
        <v>34</v>
      </c>
      <c r="AD46" s="33">
        <v>45266</v>
      </c>
      <c r="AE46" s="25"/>
      <c r="AF46" s="25" t="s">
        <v>33</v>
      </c>
      <c r="AG46" s="25"/>
      <c r="AH46" s="25"/>
      <c r="AI46" s="25"/>
      <c r="AJ46" s="116"/>
      <c r="AK46" s="25"/>
    </row>
    <row r="47" spans="1:37" s="26" customFormat="1" ht="36.75" hidden="1" customHeight="1">
      <c r="A47" s="28">
        <f t="shared" si="0"/>
        <v>44</v>
      </c>
      <c r="B47" s="28" t="s">
        <v>149</v>
      </c>
      <c r="C47" s="28"/>
      <c r="D47" s="130" t="s">
        <v>150</v>
      </c>
      <c r="E47" s="28" t="s">
        <v>53</v>
      </c>
      <c r="F47" s="27" t="s">
        <v>58</v>
      </c>
      <c r="G47" s="114"/>
      <c r="H47" s="58" t="s">
        <v>151</v>
      </c>
      <c r="I47" s="28" t="s">
        <v>75</v>
      </c>
      <c r="J47" s="28" t="s">
        <v>34</v>
      </c>
      <c r="K47" s="28" t="s">
        <v>33</v>
      </c>
      <c r="L47" s="28" t="s">
        <v>34</v>
      </c>
      <c r="M47" s="55">
        <v>45265</v>
      </c>
      <c r="N47" s="28" t="s">
        <v>33</v>
      </c>
      <c r="O47" s="28"/>
      <c r="P47" s="55"/>
      <c r="Q47" s="28"/>
      <c r="R47" s="55"/>
      <c r="S47" s="28"/>
      <c r="T47" s="28"/>
      <c r="U47" s="28"/>
      <c r="V47" s="28"/>
      <c r="W47" s="249" t="s">
        <v>55</v>
      </c>
      <c r="X47" s="249" t="s">
        <v>55</v>
      </c>
      <c r="Y47" s="249"/>
      <c r="Z47" s="237"/>
      <c r="AA47" s="236" t="s">
        <v>55</v>
      </c>
      <c r="AB47" s="249" t="s">
        <v>55</v>
      </c>
      <c r="AC47" s="249" t="s">
        <v>55</v>
      </c>
      <c r="AD47" s="249" t="s">
        <v>55</v>
      </c>
      <c r="AE47" s="249" t="s">
        <v>55</v>
      </c>
      <c r="AF47" s="249" t="s">
        <v>55</v>
      </c>
      <c r="AG47" s="249" t="s">
        <v>55</v>
      </c>
      <c r="AH47" s="252" t="s">
        <v>55</v>
      </c>
      <c r="AI47" s="28"/>
      <c r="AJ47" s="128"/>
      <c r="AK47" s="28"/>
    </row>
    <row r="48" spans="1:37" s="26" customFormat="1" ht="30.75" hidden="1">
      <c r="A48" s="28">
        <f t="shared" si="0"/>
        <v>45</v>
      </c>
      <c r="B48" s="224" t="s">
        <v>152</v>
      </c>
      <c r="C48" s="224"/>
      <c r="D48" s="130" t="s">
        <v>153</v>
      </c>
      <c r="E48" s="129" t="s">
        <v>53</v>
      </c>
      <c r="F48" s="130" t="s">
        <v>58</v>
      </c>
      <c r="G48" s="136"/>
      <c r="H48" s="131">
        <v>935000</v>
      </c>
      <c r="I48" s="25" t="s">
        <v>75</v>
      </c>
      <c r="J48" s="25" t="s">
        <v>34</v>
      </c>
      <c r="K48" s="25"/>
      <c r="L48" s="129" t="s">
        <v>34</v>
      </c>
      <c r="M48" s="132">
        <v>45273</v>
      </c>
      <c r="N48" s="129" t="s">
        <v>33</v>
      </c>
      <c r="O48" s="129"/>
      <c r="P48" s="132"/>
      <c r="Q48" s="129"/>
      <c r="R48" s="132"/>
      <c r="S48" s="129"/>
      <c r="T48" s="129"/>
      <c r="U48" s="129"/>
      <c r="V48" s="129"/>
      <c r="W48" s="249" t="s">
        <v>55</v>
      </c>
      <c r="X48" s="249" t="s">
        <v>55</v>
      </c>
      <c r="Y48" s="249"/>
      <c r="Z48" s="237"/>
      <c r="AA48" s="236" t="s">
        <v>55</v>
      </c>
      <c r="AB48" s="249" t="s">
        <v>55</v>
      </c>
      <c r="AC48" s="249" t="s">
        <v>55</v>
      </c>
      <c r="AD48" s="249" t="s">
        <v>55</v>
      </c>
      <c r="AE48" s="249" t="s">
        <v>55</v>
      </c>
      <c r="AF48" s="249" t="s">
        <v>55</v>
      </c>
      <c r="AG48" s="249" t="s">
        <v>55</v>
      </c>
      <c r="AH48" s="252" t="s">
        <v>55</v>
      </c>
      <c r="AI48" s="129"/>
      <c r="AJ48" s="133"/>
      <c r="AK48" s="129"/>
    </row>
    <row r="49" spans="1:37" s="26" customFormat="1" ht="45.75" hidden="1">
      <c r="A49" s="28">
        <f t="shared" si="0"/>
        <v>46</v>
      </c>
      <c r="B49" s="225" t="s">
        <v>154</v>
      </c>
      <c r="C49" s="225"/>
      <c r="D49" s="139" t="s">
        <v>155</v>
      </c>
      <c r="E49" s="138" t="s">
        <v>53</v>
      </c>
      <c r="F49" s="139" t="s">
        <v>86</v>
      </c>
      <c r="G49" s="114"/>
      <c r="H49" s="140">
        <v>1430000</v>
      </c>
      <c r="I49" s="25" t="s">
        <v>75</v>
      </c>
      <c r="J49" s="25" t="s">
        <v>34</v>
      </c>
      <c r="K49" s="25" t="s">
        <v>33</v>
      </c>
      <c r="L49" s="86"/>
      <c r="M49" s="93"/>
      <c r="N49" s="93"/>
      <c r="O49" s="93"/>
      <c r="P49" s="143"/>
      <c r="Q49" s="92"/>
      <c r="R49" s="143"/>
      <c r="S49" s="92"/>
      <c r="T49" s="92"/>
      <c r="U49" s="92"/>
      <c r="V49" s="92"/>
      <c r="W49" s="129" t="s">
        <v>33</v>
      </c>
      <c r="X49" s="141">
        <v>45199</v>
      </c>
      <c r="Y49" s="141"/>
      <c r="Z49" s="237"/>
      <c r="AA49" s="236" t="s">
        <v>33</v>
      </c>
      <c r="AB49" s="52">
        <v>1430000</v>
      </c>
      <c r="AC49" s="138" t="s">
        <v>34</v>
      </c>
      <c r="AD49" s="141">
        <v>45286</v>
      </c>
      <c r="AE49" s="138" t="s">
        <v>33</v>
      </c>
      <c r="AF49" s="138"/>
      <c r="AG49" s="138"/>
      <c r="AH49" s="138" t="s">
        <v>33</v>
      </c>
      <c r="AI49" s="138"/>
      <c r="AJ49" s="142"/>
      <c r="AK49" s="138"/>
    </row>
    <row r="50" spans="1:37" s="26" customFormat="1" ht="45.75" hidden="1">
      <c r="A50" s="229">
        <f t="shared" si="0"/>
        <v>47</v>
      </c>
      <c r="B50" s="129" t="s">
        <v>156</v>
      </c>
      <c r="C50" s="129"/>
      <c r="D50" s="217" t="s">
        <v>157</v>
      </c>
      <c r="E50" s="25" t="s">
        <v>31</v>
      </c>
      <c r="F50" s="24" t="s">
        <v>67</v>
      </c>
      <c r="G50" s="29">
        <v>45.45</v>
      </c>
      <c r="H50" s="29">
        <v>50</v>
      </c>
      <c r="I50" s="83"/>
      <c r="J50" s="83"/>
      <c r="K50" s="83"/>
      <c r="L50" s="35"/>
      <c r="M50" s="61"/>
      <c r="N50" s="35"/>
      <c r="O50" s="35"/>
      <c r="P50" s="61"/>
      <c r="Q50" s="35"/>
      <c r="R50" s="61"/>
      <c r="S50" s="35"/>
      <c r="T50" s="35"/>
      <c r="U50" s="35"/>
      <c r="V50" s="35"/>
      <c r="W50" s="129" t="s">
        <v>33</v>
      </c>
      <c r="X50" s="141">
        <v>45292</v>
      </c>
      <c r="Y50" s="141" t="s">
        <v>158</v>
      </c>
      <c r="Z50" s="29">
        <v>45.45</v>
      </c>
      <c r="AA50" s="129" t="s">
        <v>33</v>
      </c>
      <c r="AB50" s="29">
        <v>50</v>
      </c>
      <c r="AC50" s="129" t="s">
        <v>34</v>
      </c>
      <c r="AD50" s="33">
        <v>45285</v>
      </c>
      <c r="AE50" s="138" t="s">
        <v>33</v>
      </c>
      <c r="AF50" s="129"/>
      <c r="AG50" s="129"/>
      <c r="AH50" s="129"/>
      <c r="AI50" s="25" t="s">
        <v>33</v>
      </c>
      <c r="AJ50" s="172" t="s">
        <v>159</v>
      </c>
      <c r="AK50" s="129"/>
    </row>
    <row r="51" spans="1:37" s="26" customFormat="1" ht="45.75" hidden="1">
      <c r="A51" s="28">
        <f t="shared" si="0"/>
        <v>48</v>
      </c>
      <c r="B51" s="138" t="s">
        <v>160</v>
      </c>
      <c r="C51" s="138"/>
      <c r="D51" s="233" t="s">
        <v>161</v>
      </c>
      <c r="E51" s="25" t="s">
        <v>31</v>
      </c>
      <c r="F51" s="27" t="s">
        <v>61</v>
      </c>
      <c r="G51" s="67">
        <v>2240</v>
      </c>
      <c r="H51" s="67">
        <v>2464</v>
      </c>
      <c r="I51" s="82"/>
      <c r="J51" s="82"/>
      <c r="K51" s="82"/>
      <c r="L51" s="80"/>
      <c r="M51" s="79"/>
      <c r="N51" s="80"/>
      <c r="O51" s="80"/>
      <c r="P51" s="79"/>
      <c r="Q51" s="80"/>
      <c r="R51" s="79"/>
      <c r="S51" s="80"/>
      <c r="T51" s="80"/>
      <c r="U51" s="80"/>
      <c r="V51" s="80"/>
      <c r="W51" s="129" t="s">
        <v>33</v>
      </c>
      <c r="X51" s="55">
        <v>45293</v>
      </c>
      <c r="Y51" s="141" t="s">
        <v>162</v>
      </c>
      <c r="Z51" s="29">
        <v>2240</v>
      </c>
      <c r="AA51" s="236" t="s">
        <v>33</v>
      </c>
      <c r="AB51" s="29">
        <v>2464</v>
      </c>
      <c r="AC51" s="129" t="s">
        <v>34</v>
      </c>
      <c r="AD51" s="33">
        <v>45285</v>
      </c>
      <c r="AE51" s="138" t="s">
        <v>33</v>
      </c>
      <c r="AF51" s="138"/>
      <c r="AG51" s="138"/>
      <c r="AH51" s="138"/>
      <c r="AI51" s="25" t="s">
        <v>33</v>
      </c>
      <c r="AJ51" s="172" t="s">
        <v>159</v>
      </c>
      <c r="AK51" s="138"/>
    </row>
    <row r="52" spans="1:37" s="26" customFormat="1" ht="45.75" hidden="1">
      <c r="A52" s="28">
        <f t="shared" si="0"/>
        <v>49</v>
      </c>
      <c r="B52" s="138" t="s">
        <v>163</v>
      </c>
      <c r="C52" s="138"/>
      <c r="D52" s="233" t="s">
        <v>164</v>
      </c>
      <c r="E52" s="28" t="s">
        <v>31</v>
      </c>
      <c r="F52" s="27" t="s">
        <v>64</v>
      </c>
      <c r="G52" s="66">
        <v>70</v>
      </c>
      <c r="H52" s="67">
        <v>77</v>
      </c>
      <c r="I52" s="82"/>
      <c r="J52" s="82"/>
      <c r="K52" s="82"/>
      <c r="L52" s="80"/>
      <c r="M52" s="79"/>
      <c r="N52" s="80"/>
      <c r="O52" s="80"/>
      <c r="P52" s="79"/>
      <c r="Q52" s="80"/>
      <c r="R52" s="79"/>
      <c r="S52" s="80"/>
      <c r="T52" s="80"/>
      <c r="U52" s="80"/>
      <c r="V52" s="80"/>
      <c r="W52" s="129" t="s">
        <v>33</v>
      </c>
      <c r="X52" s="141">
        <v>45293</v>
      </c>
      <c r="Y52" s="141" t="s">
        <v>165</v>
      </c>
      <c r="Z52" s="67">
        <v>70</v>
      </c>
      <c r="AA52" s="129" t="s">
        <v>33</v>
      </c>
      <c r="AB52" s="67">
        <v>77</v>
      </c>
      <c r="AC52" s="138" t="s">
        <v>34</v>
      </c>
      <c r="AD52" s="55">
        <v>45285</v>
      </c>
      <c r="AE52" s="138" t="s">
        <v>33</v>
      </c>
      <c r="AF52" s="138"/>
      <c r="AG52" s="138"/>
      <c r="AH52" s="138"/>
      <c r="AI52" s="25" t="s">
        <v>33</v>
      </c>
      <c r="AJ52" s="172" t="s">
        <v>159</v>
      </c>
      <c r="AK52" s="138"/>
    </row>
    <row r="53" spans="1:37" s="26" customFormat="1" ht="60.75" hidden="1">
      <c r="A53" s="28">
        <f t="shared" si="0"/>
        <v>50</v>
      </c>
      <c r="B53" s="224" t="s">
        <v>166</v>
      </c>
      <c r="C53" s="224"/>
      <c r="D53" s="130" t="s">
        <v>167</v>
      </c>
      <c r="E53" s="129" t="s">
        <v>53</v>
      </c>
      <c r="F53" s="130" t="s">
        <v>86</v>
      </c>
      <c r="G53" s="51">
        <v>2600000</v>
      </c>
      <c r="H53" s="51">
        <v>2860000</v>
      </c>
      <c r="I53" s="35"/>
      <c r="J53" s="35"/>
      <c r="K53" s="35"/>
      <c r="L53" s="35"/>
      <c r="M53" s="61"/>
      <c r="N53" s="35"/>
      <c r="O53" s="35"/>
      <c r="P53" s="61"/>
      <c r="Q53" s="35"/>
      <c r="R53" s="61"/>
      <c r="S53" s="35"/>
      <c r="T53" s="35"/>
      <c r="U53" s="35"/>
      <c r="V53" s="35"/>
      <c r="W53" s="129" t="s">
        <v>33</v>
      </c>
      <c r="X53" s="55" t="s">
        <v>168</v>
      </c>
      <c r="Y53" s="141" t="s">
        <v>169</v>
      </c>
      <c r="Z53" s="237" t="s">
        <v>170</v>
      </c>
      <c r="AA53" s="236" t="s">
        <v>33</v>
      </c>
      <c r="AB53" s="52">
        <v>2860000</v>
      </c>
      <c r="AC53" s="129" t="s">
        <v>34</v>
      </c>
      <c r="AD53" s="132">
        <v>45286</v>
      </c>
      <c r="AE53" s="129" t="s">
        <v>33</v>
      </c>
      <c r="AF53" s="129"/>
      <c r="AG53" s="129"/>
      <c r="AH53" s="129" t="s">
        <v>33</v>
      </c>
      <c r="AI53" s="129"/>
      <c r="AJ53" s="133"/>
      <c r="AK53" s="129"/>
    </row>
    <row r="54" spans="1:37" s="26" customFormat="1" ht="49.5" hidden="1" customHeight="1">
      <c r="A54" s="28">
        <f t="shared" si="0"/>
        <v>51</v>
      </c>
      <c r="B54" s="227" t="s">
        <v>171</v>
      </c>
      <c r="C54" s="227"/>
      <c r="D54" s="139" t="s">
        <v>172</v>
      </c>
      <c r="E54" s="138" t="s">
        <v>53</v>
      </c>
      <c r="F54" s="139" t="s">
        <v>116</v>
      </c>
      <c r="G54" s="166"/>
      <c r="H54" s="58">
        <v>1760000</v>
      </c>
      <c r="I54" s="80"/>
      <c r="J54" s="80"/>
      <c r="K54" s="80"/>
      <c r="L54" s="80"/>
      <c r="M54" s="79"/>
      <c r="N54" s="80"/>
      <c r="O54" s="80"/>
      <c r="P54" s="79"/>
      <c r="Q54" s="80"/>
      <c r="R54" s="79"/>
      <c r="S54" s="80"/>
      <c r="T54" s="80"/>
      <c r="U54" s="80"/>
      <c r="V54" s="80"/>
      <c r="W54" s="138" t="s">
        <v>33</v>
      </c>
      <c r="X54" s="55">
        <v>45286</v>
      </c>
      <c r="Y54" s="141"/>
      <c r="Z54" s="237"/>
      <c r="AA54" s="236" t="s">
        <v>33</v>
      </c>
      <c r="AB54" s="167">
        <v>1760000</v>
      </c>
      <c r="AC54" s="138" t="s">
        <v>34</v>
      </c>
      <c r="AD54" s="141">
        <v>45286</v>
      </c>
      <c r="AE54" s="138" t="s">
        <v>33</v>
      </c>
      <c r="AF54" s="138"/>
      <c r="AG54" s="138"/>
      <c r="AH54" s="138" t="s">
        <v>33</v>
      </c>
      <c r="AI54" s="138"/>
      <c r="AJ54" s="142"/>
      <c r="AK54" s="138"/>
    </row>
    <row r="55" spans="1:37" s="26" customFormat="1" ht="174.6" hidden="1" customHeight="1">
      <c r="A55" s="28">
        <f t="shared" si="0"/>
        <v>52</v>
      </c>
      <c r="B55" s="224" t="s">
        <v>173</v>
      </c>
      <c r="C55" s="224"/>
      <c r="D55" s="24" t="s">
        <v>174</v>
      </c>
      <c r="E55" s="129" t="s">
        <v>53</v>
      </c>
      <c r="F55" s="130" t="s">
        <v>58</v>
      </c>
      <c r="G55" s="51"/>
      <c r="H55" s="51">
        <v>3588200</v>
      </c>
      <c r="I55" s="35"/>
      <c r="J55" s="35"/>
      <c r="K55" s="35"/>
      <c r="L55" s="35" t="s">
        <v>34</v>
      </c>
      <c r="M55" s="33">
        <v>45288</v>
      </c>
      <c r="N55" s="129" t="s">
        <v>87</v>
      </c>
      <c r="O55" s="35"/>
      <c r="P55" s="61"/>
      <c r="Q55" s="35"/>
      <c r="R55" s="61"/>
      <c r="S55" s="35"/>
      <c r="T55" s="35"/>
      <c r="U55" s="35"/>
      <c r="V55" s="35"/>
      <c r="W55" s="35"/>
      <c r="X55" s="55" t="s">
        <v>175</v>
      </c>
      <c r="Y55" s="55" t="s">
        <v>176</v>
      </c>
      <c r="Z55" s="237" t="s">
        <v>177</v>
      </c>
      <c r="AA55" s="236" t="s">
        <v>33</v>
      </c>
      <c r="AB55" s="35"/>
      <c r="AC55" s="35"/>
      <c r="AD55" s="35"/>
      <c r="AE55" s="35"/>
      <c r="AF55" s="35"/>
      <c r="AG55" s="35"/>
      <c r="AH55" s="35"/>
      <c r="AI55" s="35"/>
      <c r="AJ55" s="118"/>
      <c r="AK55" s="129"/>
    </row>
    <row r="56" spans="1:37" s="26" customFormat="1" ht="192.6" hidden="1" customHeight="1">
      <c r="A56" s="28">
        <f t="shared" si="0"/>
        <v>53</v>
      </c>
      <c r="B56" s="225" t="s">
        <v>178</v>
      </c>
      <c r="C56" s="225"/>
      <c r="D56" s="27" t="s">
        <v>179</v>
      </c>
      <c r="E56" s="138" t="s">
        <v>53</v>
      </c>
      <c r="F56" s="139" t="s">
        <v>58</v>
      </c>
      <c r="G56" s="58"/>
      <c r="H56" s="58">
        <v>5379000</v>
      </c>
      <c r="I56" s="80"/>
      <c r="J56" s="80"/>
      <c r="K56" s="80"/>
      <c r="L56" s="80" t="s">
        <v>34</v>
      </c>
      <c r="M56" s="55">
        <v>45288</v>
      </c>
      <c r="N56" s="138" t="s">
        <v>33</v>
      </c>
      <c r="O56" s="80"/>
      <c r="P56" s="79"/>
      <c r="Q56" s="80"/>
      <c r="R56" s="79"/>
      <c r="S56" s="80"/>
      <c r="T56" s="80"/>
      <c r="U56" s="80"/>
      <c r="V56" s="80"/>
      <c r="W56" s="80"/>
      <c r="X56" s="55" t="s">
        <v>180</v>
      </c>
      <c r="Y56" s="55" t="s">
        <v>181</v>
      </c>
      <c r="Z56" s="237" t="s">
        <v>182</v>
      </c>
      <c r="AA56" s="236" t="s">
        <v>33</v>
      </c>
      <c r="AB56" s="35"/>
      <c r="AC56" s="35"/>
      <c r="AD56" s="35"/>
      <c r="AE56" s="35"/>
      <c r="AF56" s="35"/>
      <c r="AG56" s="35"/>
      <c r="AH56" s="35"/>
      <c r="AI56" s="35"/>
      <c r="AJ56" s="118"/>
      <c r="AK56" s="138"/>
    </row>
    <row r="57" spans="1:37" ht="153" hidden="1" customHeight="1">
      <c r="A57" s="28">
        <f t="shared" si="0"/>
        <v>54</v>
      </c>
      <c r="B57" s="225" t="s">
        <v>183</v>
      </c>
      <c r="C57" s="225"/>
      <c r="D57" s="27" t="s">
        <v>184</v>
      </c>
      <c r="E57" s="25" t="s">
        <v>53</v>
      </c>
      <c r="F57" s="24" t="s">
        <v>58</v>
      </c>
      <c r="G57" s="136"/>
      <c r="H57" s="51">
        <v>6995900</v>
      </c>
      <c r="I57" s="168"/>
      <c r="J57" s="168"/>
      <c r="K57" s="168"/>
      <c r="L57" s="25" t="s">
        <v>34</v>
      </c>
      <c r="M57" s="33" t="s">
        <v>185</v>
      </c>
      <c r="N57" s="25"/>
      <c r="O57" s="168"/>
      <c r="P57" s="169"/>
      <c r="Q57" s="168"/>
      <c r="R57" s="169"/>
      <c r="S57" s="168"/>
      <c r="T57" s="168"/>
      <c r="U57" s="168"/>
      <c r="V57" s="168"/>
      <c r="W57" s="168"/>
      <c r="X57" s="55" t="s">
        <v>186</v>
      </c>
      <c r="Y57" s="55" t="s">
        <v>187</v>
      </c>
      <c r="Z57" s="237" t="s">
        <v>188</v>
      </c>
      <c r="AA57" s="236" t="s">
        <v>33</v>
      </c>
      <c r="AB57" s="29"/>
      <c r="AC57" s="25"/>
      <c r="AD57" s="33"/>
      <c r="AE57" s="25"/>
      <c r="AF57" s="25"/>
      <c r="AG57" s="25"/>
      <c r="AH57" s="25"/>
      <c r="AI57" s="25"/>
      <c r="AJ57" s="116"/>
      <c r="AK57" s="25"/>
    </row>
    <row r="58" spans="1:37" ht="30.75" hidden="1">
      <c r="A58" s="28">
        <f t="shared" si="0"/>
        <v>55</v>
      </c>
      <c r="B58" s="224" t="s">
        <v>189</v>
      </c>
      <c r="C58" s="224"/>
      <c r="D58" s="217" t="s">
        <v>190</v>
      </c>
      <c r="E58" s="53" t="s">
        <v>53</v>
      </c>
      <c r="F58" s="27" t="s">
        <v>191</v>
      </c>
      <c r="G58" s="58">
        <v>5204945</v>
      </c>
      <c r="H58" s="58">
        <v>5725440</v>
      </c>
      <c r="I58" s="64" t="s">
        <v>33</v>
      </c>
      <c r="J58" s="64" t="s">
        <v>34</v>
      </c>
      <c r="K58" s="64" t="s">
        <v>33</v>
      </c>
      <c r="L58" s="40"/>
      <c r="M58" s="41"/>
      <c r="N58" s="40"/>
      <c r="O58" s="64"/>
      <c r="P58" s="170"/>
      <c r="Q58" s="64"/>
      <c r="R58" s="170"/>
      <c r="S58" s="64"/>
      <c r="T58" s="64"/>
      <c r="U58" s="64"/>
      <c r="V58" s="64"/>
      <c r="W58" s="64"/>
      <c r="X58" s="141">
        <v>45293</v>
      </c>
      <c r="Y58" s="141" t="s">
        <v>192</v>
      </c>
      <c r="Z58" s="58">
        <v>5204945</v>
      </c>
      <c r="AA58" s="236" t="s">
        <v>33</v>
      </c>
      <c r="AB58" s="58">
        <v>5725440</v>
      </c>
      <c r="AC58" s="28" t="s">
        <v>34</v>
      </c>
      <c r="AD58" s="55">
        <v>45288</v>
      </c>
      <c r="AE58" s="28" t="s">
        <v>33</v>
      </c>
      <c r="AF58" s="28" t="s">
        <v>33</v>
      </c>
      <c r="AG58" s="55">
        <v>45288</v>
      </c>
      <c r="AH58" s="28" t="s">
        <v>33</v>
      </c>
      <c r="AI58" s="40"/>
      <c r="AJ58" s="171"/>
      <c r="AK58" s="40"/>
    </row>
    <row r="59" spans="1:37" s="26" customFormat="1" ht="30.75" hidden="1">
      <c r="A59" s="28">
        <f t="shared" si="0"/>
        <v>56</v>
      </c>
      <c r="B59" s="225" t="s">
        <v>193</v>
      </c>
      <c r="C59" s="225"/>
      <c r="D59" s="233" t="s">
        <v>194</v>
      </c>
      <c r="E59" s="28" t="s">
        <v>53</v>
      </c>
      <c r="F59" s="27" t="s">
        <v>195</v>
      </c>
      <c r="G59" s="58">
        <v>800000</v>
      </c>
      <c r="H59" s="58">
        <v>820000</v>
      </c>
      <c r="I59" s="28" t="s">
        <v>33</v>
      </c>
      <c r="J59" s="28" t="s">
        <v>34</v>
      </c>
      <c r="K59" s="64" t="s">
        <v>33</v>
      </c>
      <c r="L59" s="54" t="s">
        <v>34</v>
      </c>
      <c r="M59" s="55">
        <v>45352</v>
      </c>
      <c r="N59" s="53" t="s">
        <v>33</v>
      </c>
      <c r="O59" s="174"/>
      <c r="P59" s="170"/>
      <c r="Q59" s="64"/>
      <c r="R59" s="170"/>
      <c r="S59" s="64"/>
      <c r="T59" s="64"/>
      <c r="U59" s="64"/>
      <c r="V59" s="64"/>
      <c r="W59" s="175"/>
      <c r="X59" s="55">
        <v>45321</v>
      </c>
      <c r="Y59" s="55" t="s">
        <v>196</v>
      </c>
      <c r="Z59" s="58">
        <v>800000</v>
      </c>
      <c r="AA59" s="236" t="s">
        <v>33</v>
      </c>
      <c r="AB59" s="58">
        <v>820000</v>
      </c>
      <c r="AC59" s="174" t="s">
        <v>34</v>
      </c>
      <c r="AD59" s="187">
        <v>45322</v>
      </c>
      <c r="AE59" s="64" t="s">
        <v>33</v>
      </c>
      <c r="AF59" s="64" t="s">
        <v>33</v>
      </c>
      <c r="AG59" s="187">
        <v>45322</v>
      </c>
      <c r="AH59" s="28" t="s">
        <v>33</v>
      </c>
      <c r="AI59" s="64"/>
      <c r="AJ59" s="176"/>
      <c r="AK59" s="64"/>
    </row>
    <row r="60" spans="1:37" s="26" customFormat="1" ht="45.75" hidden="1">
      <c r="A60" s="28">
        <f t="shared" si="0"/>
        <v>57</v>
      </c>
      <c r="B60" s="224" t="s">
        <v>197</v>
      </c>
      <c r="C60" s="224"/>
      <c r="D60" s="217" t="s">
        <v>198</v>
      </c>
      <c r="E60" s="25" t="s">
        <v>53</v>
      </c>
      <c r="F60" s="24" t="s">
        <v>191</v>
      </c>
      <c r="G60" s="51">
        <v>10680000</v>
      </c>
      <c r="H60" s="51">
        <v>11748000</v>
      </c>
      <c r="I60" s="168"/>
      <c r="J60" s="168"/>
      <c r="K60" s="168"/>
      <c r="L60" s="168"/>
      <c r="M60" s="169"/>
      <c r="N60" s="168"/>
      <c r="O60" s="25" t="s">
        <v>34</v>
      </c>
      <c r="P60" s="33" t="s">
        <v>34</v>
      </c>
      <c r="Q60" s="25" t="s">
        <v>33</v>
      </c>
      <c r="R60" s="169"/>
      <c r="S60" s="168"/>
      <c r="T60" s="168"/>
      <c r="U60" s="168"/>
      <c r="V60" s="168"/>
      <c r="W60" s="25"/>
      <c r="X60" s="55" t="s">
        <v>199</v>
      </c>
      <c r="Y60" s="55" t="s">
        <v>200</v>
      </c>
      <c r="Z60" s="237" t="s">
        <v>201</v>
      </c>
      <c r="AA60" s="236" t="s">
        <v>33</v>
      </c>
      <c r="AB60" s="51">
        <v>11748000</v>
      </c>
      <c r="AC60" s="28" t="s">
        <v>34</v>
      </c>
      <c r="AD60" s="33">
        <v>44986</v>
      </c>
      <c r="AE60" s="25" t="s">
        <v>33</v>
      </c>
      <c r="AF60" s="25" t="s">
        <v>33</v>
      </c>
      <c r="AG60" s="55">
        <v>45299</v>
      </c>
      <c r="AH60" s="25" t="s">
        <v>33</v>
      </c>
      <c r="AI60" s="25"/>
      <c r="AJ60" s="116"/>
      <c r="AK60" s="25"/>
    </row>
    <row r="61" spans="1:37" s="26" customFormat="1" ht="30.75" hidden="1">
      <c r="A61" s="28">
        <f t="shared" si="0"/>
        <v>58</v>
      </c>
      <c r="B61" s="225" t="s">
        <v>202</v>
      </c>
      <c r="C61" s="225"/>
      <c r="D61" s="233" t="s">
        <v>203</v>
      </c>
      <c r="E61" s="28" t="s">
        <v>53</v>
      </c>
      <c r="F61" s="27" t="s">
        <v>107</v>
      </c>
      <c r="G61" s="58">
        <v>590000</v>
      </c>
      <c r="H61" s="58">
        <v>649000</v>
      </c>
      <c r="I61" s="64"/>
      <c r="J61" s="64"/>
      <c r="K61" s="64"/>
      <c r="L61" s="64"/>
      <c r="M61" s="170"/>
      <c r="N61" s="64"/>
      <c r="O61" s="28"/>
      <c r="P61" s="55"/>
      <c r="Q61" s="28"/>
      <c r="R61" s="170"/>
      <c r="S61" s="64"/>
      <c r="T61" s="64"/>
      <c r="U61" s="64"/>
      <c r="V61" s="64"/>
      <c r="W61" s="28"/>
      <c r="X61" s="55">
        <v>45299</v>
      </c>
      <c r="Y61" s="55" t="s">
        <v>204</v>
      </c>
      <c r="Z61" s="58">
        <v>590000</v>
      </c>
      <c r="AA61" s="236" t="s">
        <v>33</v>
      </c>
      <c r="AB61" s="58">
        <v>649000</v>
      </c>
      <c r="AC61" s="28" t="s">
        <v>34</v>
      </c>
      <c r="AD61" s="55">
        <v>45295</v>
      </c>
      <c r="AE61" s="25" t="s">
        <v>33</v>
      </c>
      <c r="AF61" s="25" t="s">
        <v>33</v>
      </c>
      <c r="AG61" s="28"/>
      <c r="AH61" s="25" t="s">
        <v>33</v>
      </c>
      <c r="AI61" s="28"/>
      <c r="AJ61" s="128"/>
      <c r="AK61" s="25"/>
    </row>
    <row r="62" spans="1:37" s="26" customFormat="1" ht="56.1" hidden="1" customHeight="1">
      <c r="A62" s="28">
        <f t="shared" si="0"/>
        <v>59</v>
      </c>
      <c r="B62" s="225" t="s">
        <v>205</v>
      </c>
      <c r="C62" s="225"/>
      <c r="D62" s="233" t="s">
        <v>206</v>
      </c>
      <c r="E62" s="28" t="s">
        <v>53</v>
      </c>
      <c r="F62" s="27" t="s">
        <v>107</v>
      </c>
      <c r="G62" s="58">
        <v>1770000</v>
      </c>
      <c r="H62" s="58">
        <v>1947000</v>
      </c>
      <c r="I62" s="64"/>
      <c r="J62" s="64"/>
      <c r="K62" s="64"/>
      <c r="L62" s="64"/>
      <c r="M62" s="170"/>
      <c r="N62" s="64"/>
      <c r="O62" s="28"/>
      <c r="P62" s="55"/>
      <c r="Q62" s="28"/>
      <c r="R62" s="170"/>
      <c r="S62" s="64"/>
      <c r="T62" s="64"/>
      <c r="U62" s="174"/>
      <c r="V62" s="64"/>
      <c r="W62" s="28"/>
      <c r="X62" s="55">
        <v>45299</v>
      </c>
      <c r="Y62" s="55" t="s">
        <v>207</v>
      </c>
      <c r="Z62" s="237" t="s">
        <v>208</v>
      </c>
      <c r="AA62" s="236" t="s">
        <v>33</v>
      </c>
      <c r="AB62" s="58">
        <v>1947000</v>
      </c>
      <c r="AC62" s="28" t="s">
        <v>34</v>
      </c>
      <c r="AD62" s="55">
        <v>45295</v>
      </c>
      <c r="AE62" s="25" t="s">
        <v>33</v>
      </c>
      <c r="AF62" s="25" t="s">
        <v>33</v>
      </c>
      <c r="AG62" s="28"/>
      <c r="AH62" s="25" t="s">
        <v>33</v>
      </c>
      <c r="AI62" s="28"/>
      <c r="AJ62" s="128"/>
    </row>
    <row r="63" spans="1:37" s="26" customFormat="1" ht="86.1" hidden="1" customHeight="1">
      <c r="A63" s="28">
        <f t="shared" si="0"/>
        <v>60</v>
      </c>
      <c r="B63" s="224" t="s">
        <v>209</v>
      </c>
      <c r="C63" s="224"/>
      <c r="D63" s="24" t="s">
        <v>210</v>
      </c>
      <c r="E63" s="25" t="s">
        <v>53</v>
      </c>
      <c r="F63" s="24" t="s">
        <v>211</v>
      </c>
      <c r="G63" s="177"/>
      <c r="H63" s="51">
        <v>30118000</v>
      </c>
      <c r="I63" s="168"/>
      <c r="J63" s="168"/>
      <c r="K63" s="168"/>
      <c r="L63" s="168"/>
      <c r="M63" s="169"/>
      <c r="N63" s="168"/>
      <c r="O63" s="168"/>
      <c r="P63" s="169"/>
      <c r="Q63" s="168"/>
      <c r="R63" s="169"/>
      <c r="S63" s="168"/>
      <c r="T63" s="168"/>
      <c r="U63" s="168"/>
      <c r="V63" s="168"/>
      <c r="W63" s="168"/>
      <c r="X63" s="55" t="s">
        <v>212</v>
      </c>
      <c r="Y63" s="55" t="s">
        <v>213</v>
      </c>
      <c r="Z63" s="237" t="s">
        <v>214</v>
      </c>
      <c r="AA63" s="236" t="s">
        <v>33</v>
      </c>
      <c r="AB63" s="51">
        <v>30118000</v>
      </c>
      <c r="AC63" s="25" t="s">
        <v>34</v>
      </c>
      <c r="AD63" s="33">
        <v>45300</v>
      </c>
      <c r="AE63" s="25" t="s">
        <v>33</v>
      </c>
      <c r="AF63" s="25" t="s">
        <v>33</v>
      </c>
      <c r="AG63" s="25"/>
      <c r="AH63" s="25" t="s">
        <v>33</v>
      </c>
      <c r="AI63" s="25"/>
      <c r="AJ63" s="116"/>
      <c r="AK63" s="25"/>
    </row>
    <row r="64" spans="1:37" s="26" customFormat="1" ht="30.75" hidden="1">
      <c r="A64" s="28">
        <f t="shared" si="0"/>
        <v>61</v>
      </c>
      <c r="B64" s="224" t="s">
        <v>215</v>
      </c>
      <c r="C64" s="224"/>
      <c r="D64" s="24" t="s">
        <v>216</v>
      </c>
      <c r="E64" s="25" t="s">
        <v>53</v>
      </c>
      <c r="F64" s="24" t="s">
        <v>58</v>
      </c>
      <c r="G64" s="177"/>
      <c r="H64" s="51">
        <v>2640000</v>
      </c>
      <c r="I64" s="28" t="s">
        <v>33</v>
      </c>
      <c r="J64" s="28" t="s">
        <v>33</v>
      </c>
      <c r="K64" s="28" t="s">
        <v>33</v>
      </c>
      <c r="L64" s="168" t="s">
        <v>34</v>
      </c>
      <c r="M64" s="169">
        <v>45309</v>
      </c>
      <c r="N64" s="28" t="s">
        <v>33</v>
      </c>
      <c r="O64" s="168"/>
      <c r="P64" s="169"/>
      <c r="Q64" s="168"/>
      <c r="R64" s="169"/>
      <c r="S64" s="168"/>
      <c r="T64" s="168"/>
      <c r="U64" s="168"/>
      <c r="V64" s="168"/>
      <c r="W64" s="168"/>
      <c r="X64" s="55" t="s">
        <v>217</v>
      </c>
      <c r="Y64" s="55" t="s">
        <v>218</v>
      </c>
      <c r="Z64" s="237">
        <v>2640000</v>
      </c>
      <c r="AA64" s="236" t="s">
        <v>33</v>
      </c>
      <c r="AB64" s="168"/>
      <c r="AC64" s="168"/>
      <c r="AD64" s="168"/>
      <c r="AE64" s="168"/>
      <c r="AF64" s="168"/>
      <c r="AG64" s="168"/>
      <c r="AH64" s="168"/>
      <c r="AI64" s="168"/>
      <c r="AJ64" s="194"/>
      <c r="AK64" s="168"/>
    </row>
    <row r="65" spans="1:37" s="26" customFormat="1" ht="60.75" hidden="1">
      <c r="A65" s="28">
        <f t="shared" si="0"/>
        <v>62</v>
      </c>
      <c r="B65" s="225" t="s">
        <v>219</v>
      </c>
      <c r="C65" s="225"/>
      <c r="D65" s="233" t="s">
        <v>220</v>
      </c>
      <c r="E65" s="28" t="s">
        <v>53</v>
      </c>
      <c r="F65" s="27" t="s">
        <v>58</v>
      </c>
      <c r="G65" s="51">
        <v>748000</v>
      </c>
      <c r="H65" s="51">
        <v>816640</v>
      </c>
      <c r="I65" s="28" t="s">
        <v>33</v>
      </c>
      <c r="J65" s="28" t="s">
        <v>34</v>
      </c>
      <c r="K65" s="28" t="s">
        <v>33</v>
      </c>
      <c r="L65" s="168" t="s">
        <v>34</v>
      </c>
      <c r="M65" s="55">
        <v>45307</v>
      </c>
      <c r="N65" s="175"/>
      <c r="O65" s="174"/>
      <c r="P65" s="170"/>
      <c r="Q65" s="64"/>
      <c r="R65" s="55">
        <v>45307</v>
      </c>
      <c r="S65" s="28" t="s">
        <v>33</v>
      </c>
      <c r="T65" s="178"/>
      <c r="U65" s="178"/>
      <c r="V65" s="178"/>
      <c r="W65" s="179"/>
      <c r="X65" s="55" t="s">
        <v>221</v>
      </c>
      <c r="Y65" s="55" t="s">
        <v>222</v>
      </c>
      <c r="Z65" s="237" t="s">
        <v>223</v>
      </c>
      <c r="AA65" s="236" t="s">
        <v>33</v>
      </c>
      <c r="AB65" s="181"/>
      <c r="AC65" s="182"/>
      <c r="AD65" s="180"/>
      <c r="AE65" s="178"/>
      <c r="AF65" s="178"/>
      <c r="AG65" s="178"/>
      <c r="AH65" s="182"/>
      <c r="AI65" s="178"/>
      <c r="AJ65" s="183"/>
      <c r="AK65" s="178"/>
    </row>
    <row r="66" spans="1:37" s="26" customFormat="1" ht="86.25" hidden="1" customHeight="1">
      <c r="A66" s="28">
        <f t="shared" si="0"/>
        <v>63</v>
      </c>
      <c r="B66" s="225" t="s">
        <v>224</v>
      </c>
      <c r="C66" s="225"/>
      <c r="D66" s="233" t="s">
        <v>225</v>
      </c>
      <c r="E66" s="28" t="s">
        <v>53</v>
      </c>
      <c r="F66" s="27" t="s">
        <v>58</v>
      </c>
      <c r="G66" s="58">
        <v>2100000</v>
      </c>
      <c r="H66" s="58">
        <v>2280000</v>
      </c>
      <c r="I66" s="28" t="s">
        <v>33</v>
      </c>
      <c r="J66" s="28" t="s">
        <v>34</v>
      </c>
      <c r="K66" s="28" t="s">
        <v>33</v>
      </c>
      <c r="L66" s="28" t="s">
        <v>34</v>
      </c>
      <c r="M66" s="55">
        <v>45309</v>
      </c>
      <c r="N66" s="28" t="s">
        <v>33</v>
      </c>
      <c r="O66" s="64"/>
      <c r="P66" s="170"/>
      <c r="Q66" s="64"/>
      <c r="R66" s="55"/>
      <c r="S66" s="28"/>
      <c r="T66" s="28" t="s">
        <v>87</v>
      </c>
      <c r="U66" s="55">
        <v>45317</v>
      </c>
      <c r="V66" s="28" t="s">
        <v>87</v>
      </c>
      <c r="W66" s="40"/>
      <c r="X66" s="55" t="s">
        <v>221</v>
      </c>
      <c r="Y66" s="55" t="s">
        <v>226</v>
      </c>
      <c r="Z66" s="237" t="s">
        <v>227</v>
      </c>
      <c r="AA66" s="236" t="s">
        <v>33</v>
      </c>
      <c r="AB66" s="184"/>
      <c r="AC66" s="40"/>
      <c r="AD66" s="41"/>
      <c r="AE66" s="40"/>
      <c r="AF66" s="40"/>
      <c r="AG66" s="40"/>
      <c r="AH66" s="40"/>
      <c r="AI66" s="40"/>
      <c r="AJ66" s="171"/>
      <c r="AK66" s="40"/>
    </row>
    <row r="67" spans="1:37" s="26" customFormat="1" ht="45.75" hidden="1">
      <c r="A67" s="28">
        <f t="shared" si="0"/>
        <v>64</v>
      </c>
      <c r="B67" s="138" t="s">
        <v>228</v>
      </c>
      <c r="C67" s="138"/>
      <c r="D67" s="27" t="s">
        <v>229</v>
      </c>
      <c r="E67" s="28" t="s">
        <v>53</v>
      </c>
      <c r="F67" s="27" t="s">
        <v>230</v>
      </c>
      <c r="G67" s="114"/>
      <c r="H67" s="58">
        <v>41580000</v>
      </c>
      <c r="I67" s="28"/>
      <c r="J67" s="28"/>
      <c r="K67" s="28"/>
      <c r="L67" s="28"/>
      <c r="M67" s="55"/>
      <c r="N67" s="28"/>
      <c r="O67" s="28" t="s">
        <v>80</v>
      </c>
      <c r="P67" s="186">
        <v>45246</v>
      </c>
      <c r="Q67" s="28" t="s">
        <v>33</v>
      </c>
      <c r="R67" s="55"/>
      <c r="S67" s="28"/>
      <c r="T67" s="28"/>
      <c r="U67" s="28"/>
      <c r="V67" s="28"/>
      <c r="W67" s="80"/>
      <c r="X67" s="79"/>
      <c r="Y67" s="79"/>
      <c r="Z67" s="243"/>
      <c r="AA67" s="244"/>
      <c r="AB67" s="75"/>
      <c r="AC67" s="80"/>
      <c r="AD67" s="79"/>
      <c r="AE67" s="80"/>
      <c r="AF67" s="80"/>
      <c r="AG67" s="80"/>
      <c r="AH67" s="80"/>
      <c r="AI67" s="80"/>
      <c r="AJ67" s="245"/>
      <c r="AK67" s="28"/>
    </row>
    <row r="68" spans="1:37" s="26" customFormat="1" ht="58.5" hidden="1" customHeight="1">
      <c r="A68" s="28">
        <f t="shared" si="0"/>
        <v>65</v>
      </c>
      <c r="B68" s="224" t="s">
        <v>231</v>
      </c>
      <c r="C68" s="224"/>
      <c r="D68" s="217" t="s">
        <v>232</v>
      </c>
      <c r="E68" s="25" t="s">
        <v>53</v>
      </c>
      <c r="F68" s="24" t="s">
        <v>58</v>
      </c>
      <c r="G68" s="51">
        <v>1700000</v>
      </c>
      <c r="H68" s="51">
        <v>1870000</v>
      </c>
      <c r="I68" s="25" t="s">
        <v>33</v>
      </c>
      <c r="J68" s="25" t="s">
        <v>33</v>
      </c>
      <c r="K68" s="25" t="s">
        <v>33</v>
      </c>
      <c r="L68" s="25" t="s">
        <v>34</v>
      </c>
      <c r="M68" s="33">
        <v>45309</v>
      </c>
      <c r="N68" s="25" t="s">
        <v>33</v>
      </c>
      <c r="O68" s="35"/>
      <c r="P68" s="185"/>
      <c r="Q68" s="35"/>
      <c r="R68" s="33"/>
      <c r="S68" s="25"/>
      <c r="T68" s="25" t="s">
        <v>87</v>
      </c>
      <c r="U68" s="55">
        <v>45317</v>
      </c>
      <c r="V68" s="25" t="s">
        <v>87</v>
      </c>
      <c r="W68" s="35"/>
      <c r="X68" s="55">
        <v>45341</v>
      </c>
      <c r="Y68" s="231" t="s">
        <v>233</v>
      </c>
      <c r="Z68" s="51">
        <v>1700000</v>
      </c>
      <c r="AA68" s="236" t="s">
        <v>33</v>
      </c>
      <c r="AB68" s="73"/>
      <c r="AC68" s="35"/>
      <c r="AD68" s="61"/>
      <c r="AE68" s="35"/>
      <c r="AF68" s="35"/>
      <c r="AG68" s="35"/>
      <c r="AH68" s="35"/>
      <c r="AI68" s="35"/>
      <c r="AJ68" s="118"/>
      <c r="AK68" s="242" t="s">
        <v>234</v>
      </c>
    </row>
    <row r="69" spans="1:37" s="26" customFormat="1" ht="161.25" hidden="1" customHeight="1">
      <c r="A69" s="28">
        <f t="shared" si="0"/>
        <v>66</v>
      </c>
      <c r="B69" s="25" t="s">
        <v>235</v>
      </c>
      <c r="C69" s="25"/>
      <c r="D69" s="24" t="s">
        <v>236</v>
      </c>
      <c r="E69" s="25" t="s">
        <v>31</v>
      </c>
      <c r="F69" s="24" t="s">
        <v>61</v>
      </c>
      <c r="G69" s="67">
        <v>23520</v>
      </c>
      <c r="H69" s="67">
        <v>25872</v>
      </c>
      <c r="I69" s="25" t="s">
        <v>33</v>
      </c>
      <c r="J69" s="25" t="s">
        <v>91</v>
      </c>
      <c r="K69" s="25"/>
      <c r="L69" s="31" t="s">
        <v>91</v>
      </c>
      <c r="M69" s="33">
        <v>45310</v>
      </c>
      <c r="N69" s="32"/>
      <c r="O69" s="31"/>
      <c r="P69" s="33"/>
      <c r="Q69" s="25"/>
      <c r="R69" s="33"/>
      <c r="S69" s="25"/>
      <c r="T69" s="25"/>
      <c r="U69" s="25"/>
      <c r="V69" s="25"/>
      <c r="W69" s="32"/>
      <c r="X69" s="33"/>
      <c r="Y69" s="216"/>
      <c r="Z69" s="216"/>
      <c r="AA69" s="32"/>
      <c r="AB69" s="67">
        <v>25872</v>
      </c>
      <c r="AC69" s="31" t="s">
        <v>91</v>
      </c>
      <c r="AD69" s="33"/>
      <c r="AE69" s="25"/>
      <c r="AF69" s="25"/>
      <c r="AG69" s="25"/>
      <c r="AH69" s="31"/>
      <c r="AI69" s="25"/>
      <c r="AJ69" s="116"/>
      <c r="AK69" s="25"/>
    </row>
    <row r="70" spans="1:37" s="26" customFormat="1" ht="106.5" hidden="1">
      <c r="A70" s="28">
        <f t="shared" ref="A70:A90" si="1">A69+1</f>
        <v>67</v>
      </c>
      <c r="B70" s="25" t="s">
        <v>237</v>
      </c>
      <c r="C70" s="25"/>
      <c r="D70" s="217" t="s">
        <v>238</v>
      </c>
      <c r="E70" s="25" t="s">
        <v>31</v>
      </c>
      <c r="F70" s="24" t="s">
        <v>61</v>
      </c>
      <c r="G70" s="67">
        <v>2940</v>
      </c>
      <c r="H70" s="67">
        <v>3234</v>
      </c>
      <c r="I70" s="25" t="s">
        <v>33</v>
      </c>
      <c r="J70" s="25" t="s">
        <v>34</v>
      </c>
      <c r="K70" s="28" t="s">
        <v>33</v>
      </c>
      <c r="L70" s="31" t="s">
        <v>34</v>
      </c>
      <c r="M70" s="33">
        <v>45310</v>
      </c>
      <c r="N70" s="32" t="s">
        <v>33</v>
      </c>
      <c r="O70" s="198"/>
      <c r="P70" s="169"/>
      <c r="Q70" s="168"/>
      <c r="R70" s="169"/>
      <c r="S70" s="168"/>
      <c r="T70" s="168"/>
      <c r="U70" s="168"/>
      <c r="V70" s="168"/>
      <c r="W70" s="129" t="s">
        <v>33</v>
      </c>
      <c r="X70" s="141">
        <v>45323</v>
      </c>
      <c r="Y70" s="141" t="s">
        <v>239</v>
      </c>
      <c r="Z70" s="29">
        <v>2940</v>
      </c>
      <c r="AA70" s="129" t="s">
        <v>33</v>
      </c>
      <c r="AB70" s="67">
        <v>3234</v>
      </c>
      <c r="AC70" s="31" t="s">
        <v>34</v>
      </c>
      <c r="AD70" s="33">
        <v>45324</v>
      </c>
      <c r="AE70" s="25" t="s">
        <v>33</v>
      </c>
      <c r="AF70" s="25" t="s">
        <v>33</v>
      </c>
      <c r="AG70" s="55">
        <v>45324</v>
      </c>
      <c r="AH70" s="31" t="s">
        <v>33</v>
      </c>
      <c r="AI70" s="25" t="s">
        <v>33</v>
      </c>
      <c r="AJ70" s="147" t="s">
        <v>240</v>
      </c>
      <c r="AK70" s="25"/>
    </row>
    <row r="71" spans="1:37" s="26" customFormat="1" ht="45.75" hidden="1">
      <c r="A71" s="28">
        <f t="shared" si="1"/>
        <v>68</v>
      </c>
      <c r="B71" s="53" t="s">
        <v>241</v>
      </c>
      <c r="C71" s="53"/>
      <c r="D71" s="27" t="s">
        <v>242</v>
      </c>
      <c r="E71" s="28" t="s">
        <v>53</v>
      </c>
      <c r="F71" s="27" t="s">
        <v>230</v>
      </c>
      <c r="G71" s="58">
        <v>240000000</v>
      </c>
      <c r="H71" s="58">
        <v>264000000</v>
      </c>
      <c r="I71" s="28" t="s">
        <v>33</v>
      </c>
      <c r="J71" s="28" t="s">
        <v>34</v>
      </c>
      <c r="K71" s="28" t="s">
        <v>33</v>
      </c>
      <c r="L71" s="54" t="s">
        <v>34</v>
      </c>
      <c r="M71" s="55">
        <v>45308</v>
      </c>
      <c r="N71" s="53"/>
      <c r="O71" s="54" t="s">
        <v>34</v>
      </c>
      <c r="P71" s="55"/>
      <c r="Q71" s="28"/>
      <c r="R71" s="55"/>
      <c r="S71" s="28"/>
      <c r="T71" s="28"/>
      <c r="U71" s="28"/>
      <c r="V71" s="28"/>
      <c r="W71" s="87"/>
      <c r="X71" s="79"/>
      <c r="Y71" s="230"/>
      <c r="Z71" s="243"/>
      <c r="AA71" s="244"/>
      <c r="AB71" s="75"/>
      <c r="AC71" s="86"/>
      <c r="AD71" s="79"/>
      <c r="AE71" s="80"/>
      <c r="AF71" s="80"/>
      <c r="AG71" s="80"/>
      <c r="AH71" s="86"/>
      <c r="AI71" s="80"/>
      <c r="AJ71" s="245"/>
      <c r="AK71" s="28"/>
    </row>
    <row r="72" spans="1:37" s="26" customFormat="1" ht="60.75" hidden="1">
      <c r="A72" s="28">
        <f t="shared" si="1"/>
        <v>69</v>
      </c>
      <c r="B72" s="224" t="s">
        <v>243</v>
      </c>
      <c r="C72" s="224"/>
      <c r="D72" s="217" t="s">
        <v>244</v>
      </c>
      <c r="E72" s="25" t="s">
        <v>53</v>
      </c>
      <c r="F72" s="24" t="s">
        <v>58</v>
      </c>
      <c r="G72" s="51">
        <v>2050000</v>
      </c>
      <c r="H72" s="51">
        <v>2255000</v>
      </c>
      <c r="I72" s="25" t="s">
        <v>33</v>
      </c>
      <c r="J72" s="25" t="s">
        <v>34</v>
      </c>
      <c r="K72" s="25" t="s">
        <v>33</v>
      </c>
      <c r="L72" s="25" t="s">
        <v>34</v>
      </c>
      <c r="M72" s="55">
        <v>45320</v>
      </c>
      <c r="N72" s="25"/>
      <c r="O72" s="25"/>
      <c r="P72" s="33"/>
      <c r="Q72" s="25"/>
      <c r="R72" s="33"/>
      <c r="S72" s="25"/>
      <c r="T72" s="25"/>
      <c r="U72" s="25"/>
      <c r="V72" s="25"/>
      <c r="W72" s="25"/>
      <c r="X72" s="33" t="s">
        <v>221</v>
      </c>
      <c r="Y72" s="33" t="s">
        <v>245</v>
      </c>
      <c r="Z72" s="237" t="s">
        <v>246</v>
      </c>
      <c r="AA72" s="236" t="s">
        <v>33</v>
      </c>
      <c r="AB72" s="29"/>
      <c r="AC72" s="25"/>
      <c r="AD72" s="33"/>
      <c r="AE72" s="25"/>
      <c r="AF72" s="25"/>
      <c r="AG72" s="25"/>
      <c r="AH72" s="25"/>
      <c r="AI72" s="25"/>
      <c r="AJ72" s="116"/>
      <c r="AK72" s="25"/>
    </row>
    <row r="73" spans="1:37" s="26" customFormat="1" ht="30.75" hidden="1">
      <c r="A73" s="28">
        <f t="shared" si="1"/>
        <v>70</v>
      </c>
      <c r="B73" s="224" t="s">
        <v>247</v>
      </c>
      <c r="C73" s="225"/>
      <c r="D73" s="233" t="s">
        <v>248</v>
      </c>
      <c r="E73" s="28" t="s">
        <v>53</v>
      </c>
      <c r="F73" s="27" t="s">
        <v>58</v>
      </c>
      <c r="G73" s="58">
        <v>1500000</v>
      </c>
      <c r="H73" s="58">
        <v>1620000</v>
      </c>
      <c r="I73" s="28" t="s">
        <v>33</v>
      </c>
      <c r="J73" s="28" t="s">
        <v>34</v>
      </c>
      <c r="K73" s="28" t="s">
        <v>33</v>
      </c>
      <c r="L73" s="28" t="s">
        <v>34</v>
      </c>
      <c r="M73" s="55">
        <v>45320</v>
      </c>
      <c r="N73" s="28" t="s">
        <v>87</v>
      </c>
      <c r="O73" s="64"/>
      <c r="P73" s="170"/>
      <c r="Q73" s="64"/>
      <c r="R73" s="170"/>
      <c r="S73" s="64"/>
      <c r="T73" s="64"/>
      <c r="U73" s="64"/>
      <c r="V73" s="64"/>
      <c r="W73" s="64"/>
      <c r="X73" s="141">
        <v>45341</v>
      </c>
      <c r="Y73" s="141" t="s">
        <v>249</v>
      </c>
      <c r="Z73" s="58">
        <v>1500000</v>
      </c>
      <c r="AA73" s="236" t="s">
        <v>33</v>
      </c>
      <c r="AB73" s="114"/>
      <c r="AC73" s="64"/>
      <c r="AD73" s="170"/>
      <c r="AE73" s="64"/>
      <c r="AF73" s="64"/>
      <c r="AG73" s="64"/>
      <c r="AH73" s="64"/>
      <c r="AI73" s="64"/>
      <c r="AJ73" s="176"/>
      <c r="AK73" s="64"/>
    </row>
    <row r="74" spans="1:37" s="26" customFormat="1" ht="60.75" hidden="1">
      <c r="A74" s="28">
        <f t="shared" si="1"/>
        <v>71</v>
      </c>
      <c r="B74" s="196" t="s">
        <v>250</v>
      </c>
      <c r="C74" s="196"/>
      <c r="D74" s="217" t="s">
        <v>251</v>
      </c>
      <c r="E74" s="25" t="s">
        <v>31</v>
      </c>
      <c r="F74" s="24" t="s">
        <v>67</v>
      </c>
      <c r="G74" s="29">
        <v>45.45</v>
      </c>
      <c r="H74" s="29">
        <v>50</v>
      </c>
      <c r="I74" s="83"/>
      <c r="J74" s="83"/>
      <c r="K74" s="83"/>
      <c r="L74" s="35"/>
      <c r="M74" s="61"/>
      <c r="N74" s="35"/>
      <c r="O74" s="35"/>
      <c r="P74" s="61"/>
      <c r="Q74" s="35"/>
      <c r="R74" s="61"/>
      <c r="S74" s="35"/>
      <c r="T74" s="35"/>
      <c r="U74" s="35"/>
      <c r="V74" s="35"/>
      <c r="W74" s="129" t="s">
        <v>33</v>
      </c>
      <c r="X74" s="141">
        <v>45323</v>
      </c>
      <c r="Y74" s="141" t="s">
        <v>252</v>
      </c>
      <c r="Z74" s="29">
        <v>45.45</v>
      </c>
      <c r="AA74" s="129" t="s">
        <v>33</v>
      </c>
      <c r="AB74" s="29">
        <v>50</v>
      </c>
      <c r="AC74" s="25" t="s">
        <v>34</v>
      </c>
      <c r="AD74" s="33">
        <v>45320</v>
      </c>
      <c r="AE74" s="25" t="s">
        <v>33</v>
      </c>
      <c r="AF74" s="25"/>
      <c r="AG74" s="25"/>
      <c r="AH74" s="25"/>
      <c r="AI74" s="25" t="s">
        <v>33</v>
      </c>
      <c r="AJ74" s="195" t="s">
        <v>253</v>
      </c>
      <c r="AK74" s="25"/>
    </row>
    <row r="75" spans="1:37" s="26" customFormat="1" ht="60.75" hidden="1">
      <c r="A75" s="28">
        <f t="shared" si="1"/>
        <v>72</v>
      </c>
      <c r="B75" s="196" t="s">
        <v>254</v>
      </c>
      <c r="C75" s="196"/>
      <c r="D75" s="217" t="s">
        <v>255</v>
      </c>
      <c r="E75" s="25" t="s">
        <v>31</v>
      </c>
      <c r="F75" s="24" t="s">
        <v>61</v>
      </c>
      <c r="G75" s="29">
        <v>2240</v>
      </c>
      <c r="H75" s="29">
        <v>2464</v>
      </c>
      <c r="I75" s="83"/>
      <c r="J75" s="83"/>
      <c r="K75" s="83"/>
      <c r="L75" s="35"/>
      <c r="M75" s="61"/>
      <c r="N75" s="35"/>
      <c r="O75" s="35"/>
      <c r="P75" s="61"/>
      <c r="Q75" s="35"/>
      <c r="R75" s="61"/>
      <c r="S75" s="35"/>
      <c r="T75" s="35"/>
      <c r="U75" s="35"/>
      <c r="V75" s="35"/>
      <c r="W75" s="129" t="s">
        <v>33</v>
      </c>
      <c r="X75" s="141">
        <v>45323</v>
      </c>
      <c r="Y75" s="141" t="s">
        <v>256</v>
      </c>
      <c r="Z75" s="29">
        <v>2240</v>
      </c>
      <c r="AA75" s="129" t="s">
        <v>33</v>
      </c>
      <c r="AB75" s="29">
        <v>2464</v>
      </c>
      <c r="AC75" s="25" t="s">
        <v>34</v>
      </c>
      <c r="AD75" s="33">
        <v>45320</v>
      </c>
      <c r="AE75" s="25" t="s">
        <v>33</v>
      </c>
      <c r="AF75" s="25"/>
      <c r="AG75" s="25"/>
      <c r="AH75" s="25"/>
      <c r="AI75" s="25" t="s">
        <v>33</v>
      </c>
      <c r="AJ75" s="195" t="s">
        <v>253</v>
      </c>
      <c r="AK75" s="25"/>
    </row>
    <row r="76" spans="1:37" s="26" customFormat="1" ht="60.75" hidden="1">
      <c r="A76" s="28">
        <f t="shared" si="1"/>
        <v>73</v>
      </c>
      <c r="B76" s="197" t="s">
        <v>257</v>
      </c>
      <c r="C76" s="197"/>
      <c r="D76" s="233" t="s">
        <v>258</v>
      </c>
      <c r="E76" s="28" t="s">
        <v>31</v>
      </c>
      <c r="F76" s="27" t="s">
        <v>64</v>
      </c>
      <c r="G76" s="66">
        <v>70</v>
      </c>
      <c r="H76" s="67">
        <v>77</v>
      </c>
      <c r="I76" s="82"/>
      <c r="J76" s="82"/>
      <c r="K76" s="82"/>
      <c r="L76" s="80"/>
      <c r="M76" s="79"/>
      <c r="N76" s="80"/>
      <c r="O76" s="80"/>
      <c r="P76" s="79"/>
      <c r="Q76" s="80"/>
      <c r="R76" s="79"/>
      <c r="S76" s="80"/>
      <c r="T76" s="80"/>
      <c r="U76" s="80"/>
      <c r="V76" s="80"/>
      <c r="W76" s="129" t="s">
        <v>33</v>
      </c>
      <c r="X76" s="141">
        <v>45323</v>
      </c>
      <c r="Y76" s="141" t="s">
        <v>259</v>
      </c>
      <c r="Z76" s="66">
        <v>70</v>
      </c>
      <c r="AA76" s="129" t="s">
        <v>33</v>
      </c>
      <c r="AB76" s="67">
        <v>77</v>
      </c>
      <c r="AC76" s="28" t="s">
        <v>34</v>
      </c>
      <c r="AD76" s="55">
        <v>45320</v>
      </c>
      <c r="AE76" s="25" t="s">
        <v>33</v>
      </c>
      <c r="AF76" s="28"/>
      <c r="AG76" s="28"/>
      <c r="AH76" s="28"/>
      <c r="AI76" s="25" t="s">
        <v>33</v>
      </c>
      <c r="AJ76" s="195" t="s">
        <v>253</v>
      </c>
      <c r="AK76" s="28"/>
    </row>
    <row r="77" spans="1:37" s="26" customFormat="1" ht="138" hidden="1" customHeight="1">
      <c r="A77" s="17">
        <f t="shared" si="1"/>
        <v>74</v>
      </c>
      <c r="B77" s="239" t="s">
        <v>260</v>
      </c>
      <c r="C77" s="239"/>
      <c r="D77" s="246" t="s">
        <v>261</v>
      </c>
      <c r="E77" s="17" t="s">
        <v>53</v>
      </c>
      <c r="F77" s="18" t="s">
        <v>230</v>
      </c>
      <c r="G77" s="192">
        <v>54200000</v>
      </c>
      <c r="H77" s="192">
        <v>59620000</v>
      </c>
      <c r="I77" s="193"/>
      <c r="J77" s="193"/>
      <c r="K77" s="193"/>
      <c r="L77" s="189"/>
      <c r="M77" s="190"/>
      <c r="N77" s="189"/>
      <c r="O77" s="189"/>
      <c r="P77" s="190"/>
      <c r="Q77" s="189"/>
      <c r="R77" s="190"/>
      <c r="S77" s="189"/>
      <c r="T77" s="189"/>
      <c r="U77" s="189"/>
      <c r="V77" s="189"/>
      <c r="W77" s="189"/>
      <c r="X77" s="141">
        <v>45349</v>
      </c>
      <c r="Y77" s="141" t="s">
        <v>262</v>
      </c>
      <c r="Z77" s="237" t="s">
        <v>263</v>
      </c>
      <c r="AA77" s="236" t="s">
        <v>33</v>
      </c>
      <c r="AB77" s="188">
        <v>59620000</v>
      </c>
      <c r="AC77" s="17" t="s">
        <v>34</v>
      </c>
      <c r="AD77" s="191">
        <v>45323</v>
      </c>
      <c r="AE77" s="25" t="s">
        <v>33</v>
      </c>
      <c r="AF77" s="17"/>
      <c r="AG77" s="17"/>
      <c r="AH77" s="17"/>
      <c r="AI77" s="25" t="s">
        <v>33</v>
      </c>
      <c r="AJ77" s="195" t="s">
        <v>264</v>
      </c>
      <c r="AK77" s="17"/>
    </row>
    <row r="78" spans="1:37" s="26" customFormat="1">
      <c r="A78" s="44">
        <f t="shared" si="1"/>
        <v>75</v>
      </c>
      <c r="B78" s="238" t="s">
        <v>265</v>
      </c>
      <c r="C78" s="238"/>
      <c r="D78" s="247" t="s">
        <v>266</v>
      </c>
      <c r="E78" s="44" t="s">
        <v>53</v>
      </c>
      <c r="F78" s="199" t="s">
        <v>267</v>
      </c>
      <c r="G78" s="58">
        <v>10000000</v>
      </c>
      <c r="H78" s="111">
        <v>11000000</v>
      </c>
      <c r="I78" s="54" t="s">
        <v>33</v>
      </c>
      <c r="J78" s="28" t="s">
        <v>34</v>
      </c>
      <c r="K78" s="28" t="s">
        <v>33</v>
      </c>
      <c r="L78" s="200" t="s">
        <v>34</v>
      </c>
      <c r="M78" s="102">
        <v>45327</v>
      </c>
      <c r="N78" s="44" t="s">
        <v>33</v>
      </c>
      <c r="O78" s="193"/>
      <c r="P78" s="201"/>
      <c r="Q78" s="193"/>
      <c r="R78" s="141">
        <v>45343</v>
      </c>
      <c r="S78" s="44" t="s">
        <v>33</v>
      </c>
      <c r="T78" s="44" t="s">
        <v>33</v>
      </c>
      <c r="U78" s="141">
        <v>45376</v>
      </c>
      <c r="V78" s="44" t="s">
        <v>33</v>
      </c>
      <c r="W78" s="129" t="s">
        <v>33</v>
      </c>
      <c r="X78" s="141">
        <v>45441</v>
      </c>
      <c r="Y78" s="141" t="s">
        <v>268</v>
      </c>
      <c r="Z78" s="58">
        <v>10000000</v>
      </c>
      <c r="AA78" s="236" t="s">
        <v>33</v>
      </c>
      <c r="AB78" s="207"/>
      <c r="AC78" s="205"/>
      <c r="AD78" s="206"/>
      <c r="AE78" s="205"/>
      <c r="AF78" s="205"/>
      <c r="AG78" s="205"/>
      <c r="AH78" s="205"/>
      <c r="AI78" s="208"/>
      <c r="AJ78" s="171"/>
      <c r="AK78" s="209"/>
    </row>
    <row r="79" spans="1:37" s="26" customFormat="1" ht="30.75" hidden="1">
      <c r="A79" s="28">
        <f t="shared" si="1"/>
        <v>76</v>
      </c>
      <c r="B79" s="225" t="s">
        <v>269</v>
      </c>
      <c r="C79" s="225"/>
      <c r="D79" s="233" t="s">
        <v>270</v>
      </c>
      <c r="E79" s="28" t="s">
        <v>53</v>
      </c>
      <c r="F79" s="27" t="s">
        <v>107</v>
      </c>
      <c r="G79" s="58">
        <v>590000</v>
      </c>
      <c r="H79" s="58">
        <v>649000</v>
      </c>
      <c r="I79" s="64"/>
      <c r="J79" s="64"/>
      <c r="K79" s="64"/>
      <c r="L79" s="64"/>
      <c r="M79" s="64"/>
      <c r="N79" s="64"/>
      <c r="O79" s="64"/>
      <c r="P79" s="170"/>
      <c r="Q79" s="64"/>
      <c r="R79" s="55"/>
      <c r="S79" s="28"/>
      <c r="T79" s="28"/>
      <c r="U79" s="28"/>
      <c r="V79" s="28"/>
      <c r="W79" s="28"/>
      <c r="X79" s="55">
        <v>45328</v>
      </c>
      <c r="Y79" s="55" t="s">
        <v>271</v>
      </c>
      <c r="Z79" s="58">
        <v>590000</v>
      </c>
      <c r="AA79" s="236" t="s">
        <v>33</v>
      </c>
      <c r="AB79" s="58">
        <v>649000</v>
      </c>
      <c r="AC79" s="28" t="s">
        <v>34</v>
      </c>
      <c r="AD79" s="55">
        <v>45344</v>
      </c>
      <c r="AE79" s="28" t="s">
        <v>75</v>
      </c>
      <c r="AF79" s="40"/>
      <c r="AG79" s="40"/>
      <c r="AH79" s="40"/>
      <c r="AI79" s="40"/>
      <c r="AJ79" s="171"/>
      <c r="AK79" s="40"/>
    </row>
    <row r="80" spans="1:37" s="26" customFormat="1" ht="61.5" hidden="1" customHeight="1">
      <c r="A80" s="25">
        <f t="shared" si="1"/>
        <v>77</v>
      </c>
      <c r="B80" s="224" t="s">
        <v>272</v>
      </c>
      <c r="C80" s="224"/>
      <c r="D80" s="217" t="s">
        <v>273</v>
      </c>
      <c r="E80" s="25" t="s">
        <v>53</v>
      </c>
      <c r="F80" s="24" t="s">
        <v>107</v>
      </c>
      <c r="G80" s="51">
        <v>1770000</v>
      </c>
      <c r="H80" s="51">
        <v>1947000</v>
      </c>
      <c r="I80" s="39"/>
      <c r="J80" s="39"/>
      <c r="K80" s="39"/>
      <c r="L80" s="39"/>
      <c r="M80" s="43"/>
      <c r="N80" s="39"/>
      <c r="O80" s="168"/>
      <c r="P80" s="169"/>
      <c r="Q80" s="168"/>
      <c r="R80" s="33"/>
      <c r="S80" s="25"/>
      <c r="T80" s="25"/>
      <c r="U80" s="25"/>
      <c r="V80" s="25"/>
      <c r="W80" s="25"/>
      <c r="X80" s="55">
        <v>45328</v>
      </c>
      <c r="Y80" s="237" t="s">
        <v>274</v>
      </c>
      <c r="Z80" s="237" t="s">
        <v>208</v>
      </c>
      <c r="AA80" s="236" t="s">
        <v>33</v>
      </c>
      <c r="AB80" s="51">
        <v>1947000</v>
      </c>
      <c r="AC80" s="25" t="s">
        <v>34</v>
      </c>
      <c r="AD80" s="33">
        <v>45340</v>
      </c>
      <c r="AE80" s="25" t="s">
        <v>75</v>
      </c>
      <c r="AF80" s="40"/>
      <c r="AG80" s="40"/>
      <c r="AH80" s="40"/>
      <c r="AI80" s="40"/>
      <c r="AJ80" s="171"/>
      <c r="AK80" s="40"/>
    </row>
    <row r="81" spans="1:37" s="26" customFormat="1" ht="61.5" hidden="1" customHeight="1">
      <c r="A81" s="25">
        <f t="shared" si="1"/>
        <v>78</v>
      </c>
      <c r="B81" s="25" t="s">
        <v>275</v>
      </c>
      <c r="C81" s="25"/>
      <c r="D81" s="24" t="s">
        <v>276</v>
      </c>
      <c r="E81" s="25" t="s">
        <v>53</v>
      </c>
      <c r="F81" s="24" t="s">
        <v>191</v>
      </c>
      <c r="G81" s="25"/>
      <c r="H81" s="51">
        <v>389698</v>
      </c>
      <c r="I81" s="168"/>
      <c r="J81" s="168"/>
      <c r="K81" s="168"/>
      <c r="L81" s="168"/>
      <c r="M81" s="168"/>
      <c r="N81" s="168"/>
      <c r="O81" s="168"/>
      <c r="P81" s="169"/>
      <c r="Q81" s="168"/>
      <c r="R81" s="169"/>
      <c r="S81" s="169"/>
      <c r="T81" s="169"/>
      <c r="U81" s="169"/>
      <c r="V81" s="169"/>
      <c r="W81" s="169"/>
      <c r="X81" s="257" t="s">
        <v>277</v>
      </c>
      <c r="Y81" s="241" t="s">
        <v>278</v>
      </c>
      <c r="Z81" s="240" t="s">
        <v>279</v>
      </c>
      <c r="AA81" s="236"/>
      <c r="AB81" s="51">
        <v>389698</v>
      </c>
      <c r="AC81" s="25" t="s">
        <v>34</v>
      </c>
      <c r="AD81" s="55">
        <v>45344</v>
      </c>
      <c r="AE81" s="25" t="s">
        <v>75</v>
      </c>
      <c r="AF81" s="40"/>
      <c r="AG81" s="40"/>
      <c r="AH81" s="40"/>
      <c r="AI81" s="40"/>
      <c r="AJ81" s="171"/>
      <c r="AK81" s="40"/>
    </row>
    <row r="82" spans="1:37" s="26" customFormat="1" ht="91.5" hidden="1">
      <c r="A82" s="28">
        <v>79</v>
      </c>
      <c r="B82" s="225" t="s">
        <v>280</v>
      </c>
      <c r="C82" s="225"/>
      <c r="D82" s="233" t="s">
        <v>281</v>
      </c>
      <c r="E82" s="28" t="s">
        <v>53</v>
      </c>
      <c r="F82" s="27" t="s">
        <v>58</v>
      </c>
      <c r="G82" s="58">
        <v>4150000</v>
      </c>
      <c r="H82" s="58">
        <v>4546000</v>
      </c>
      <c r="I82" s="28"/>
      <c r="J82" s="28" t="s">
        <v>34</v>
      </c>
      <c r="K82" s="28" t="s">
        <v>33</v>
      </c>
      <c r="L82" s="54" t="s">
        <v>34</v>
      </c>
      <c r="M82" s="55">
        <v>45344</v>
      </c>
      <c r="N82" s="44" t="s">
        <v>33</v>
      </c>
      <c r="O82" s="174"/>
      <c r="P82" s="170"/>
      <c r="Q82" s="64"/>
      <c r="R82" s="170"/>
      <c r="S82" s="64"/>
      <c r="T82" s="64"/>
      <c r="U82" s="64"/>
      <c r="V82" s="64"/>
      <c r="W82" s="175"/>
      <c r="X82" s="33" t="s">
        <v>282</v>
      </c>
      <c r="Y82" s="33" t="s">
        <v>283</v>
      </c>
      <c r="Z82" s="237" t="s">
        <v>284</v>
      </c>
      <c r="AA82" s="236" t="s">
        <v>33</v>
      </c>
      <c r="AB82" s="114"/>
      <c r="AC82" s="174"/>
      <c r="AD82" s="170"/>
      <c r="AE82" s="64"/>
      <c r="AF82" s="64"/>
      <c r="AG82" s="64"/>
      <c r="AH82" s="174"/>
      <c r="AI82" s="64"/>
      <c r="AJ82" s="176"/>
      <c r="AK82" s="64"/>
    </row>
    <row r="83" spans="1:37" s="26" customFormat="1" ht="30.75" hidden="1">
      <c r="A83" s="25">
        <f t="shared" si="1"/>
        <v>80</v>
      </c>
      <c r="B83" s="129" t="s">
        <v>285</v>
      </c>
      <c r="C83" s="129"/>
      <c r="D83" s="217" t="s">
        <v>286</v>
      </c>
      <c r="E83" s="25" t="s">
        <v>31</v>
      </c>
      <c r="F83" s="24" t="s">
        <v>67</v>
      </c>
      <c r="G83" s="29">
        <v>50</v>
      </c>
      <c r="H83" s="29">
        <v>55</v>
      </c>
      <c r="I83" s="83"/>
      <c r="J83" s="83"/>
      <c r="K83" s="83"/>
      <c r="L83" s="35"/>
      <c r="M83" s="61"/>
      <c r="N83" s="35"/>
      <c r="O83" s="35"/>
      <c r="P83" s="61"/>
      <c r="Q83" s="35"/>
      <c r="R83" s="61"/>
      <c r="S83" s="35"/>
      <c r="T83" s="35"/>
      <c r="U83" s="35"/>
      <c r="V83" s="35"/>
      <c r="W83" s="25"/>
      <c r="X83" s="141">
        <v>45352</v>
      </c>
      <c r="Y83" s="33" t="s">
        <v>287</v>
      </c>
      <c r="Z83" s="29">
        <v>50</v>
      </c>
      <c r="AA83" s="25"/>
      <c r="AB83" s="29">
        <v>55</v>
      </c>
      <c r="AC83" s="25" t="s">
        <v>34</v>
      </c>
      <c r="AD83" s="55">
        <v>45345</v>
      </c>
      <c r="AE83" s="25" t="s">
        <v>33</v>
      </c>
      <c r="AF83" s="25"/>
      <c r="AG83" s="25"/>
      <c r="AH83" s="25"/>
      <c r="AI83" s="25"/>
      <c r="AJ83" s="116"/>
      <c r="AK83" s="25"/>
    </row>
    <row r="84" spans="1:37" s="26" customFormat="1" ht="30.75" hidden="1">
      <c r="A84" s="25">
        <f t="shared" si="1"/>
        <v>81</v>
      </c>
      <c r="B84" s="129" t="s">
        <v>288</v>
      </c>
      <c r="C84" s="129"/>
      <c r="D84" s="217" t="s">
        <v>289</v>
      </c>
      <c r="E84" s="25" t="s">
        <v>31</v>
      </c>
      <c r="F84" s="24" t="s">
        <v>61</v>
      </c>
      <c r="G84" s="29">
        <v>2240</v>
      </c>
      <c r="H84" s="29">
        <v>2464</v>
      </c>
      <c r="I84" s="83"/>
      <c r="J84" s="83"/>
      <c r="K84" s="83"/>
      <c r="L84" s="35"/>
      <c r="M84" s="61"/>
      <c r="N84" s="35"/>
      <c r="O84" s="35"/>
      <c r="P84" s="61"/>
      <c r="Q84" s="35"/>
      <c r="R84" s="61"/>
      <c r="S84" s="35"/>
      <c r="T84" s="35"/>
      <c r="U84" s="35"/>
      <c r="V84" s="35"/>
      <c r="W84" s="25"/>
      <c r="X84" s="141">
        <v>45352</v>
      </c>
      <c r="Y84" s="33" t="s">
        <v>290</v>
      </c>
      <c r="Z84" s="29">
        <v>2240</v>
      </c>
      <c r="AA84" s="236"/>
      <c r="AB84" s="29">
        <v>2464</v>
      </c>
      <c r="AC84" s="25" t="s">
        <v>34</v>
      </c>
      <c r="AD84" s="55">
        <v>45345</v>
      </c>
      <c r="AE84" s="25" t="s">
        <v>33</v>
      </c>
      <c r="AF84" s="25"/>
      <c r="AG84" s="25"/>
      <c r="AH84" s="25"/>
      <c r="AI84" s="25"/>
      <c r="AJ84" s="116"/>
      <c r="AK84" s="25"/>
    </row>
    <row r="85" spans="1:37" s="26" customFormat="1" ht="30.75" hidden="1">
      <c r="A85" s="25">
        <f t="shared" si="1"/>
        <v>82</v>
      </c>
      <c r="B85" s="138" t="s">
        <v>291</v>
      </c>
      <c r="C85" s="138"/>
      <c r="D85" s="233" t="s">
        <v>292</v>
      </c>
      <c r="E85" s="28" t="s">
        <v>31</v>
      </c>
      <c r="F85" s="27" t="s">
        <v>64</v>
      </c>
      <c r="G85" s="66">
        <v>70</v>
      </c>
      <c r="H85" s="67">
        <v>77</v>
      </c>
      <c r="I85" s="82"/>
      <c r="J85" s="82"/>
      <c r="K85" s="82"/>
      <c r="L85" s="80"/>
      <c r="M85" s="79"/>
      <c r="N85" s="80"/>
      <c r="O85" s="80"/>
      <c r="P85" s="79"/>
      <c r="Q85" s="80"/>
      <c r="R85" s="79"/>
      <c r="S85" s="80"/>
      <c r="T85" s="80"/>
      <c r="U85" s="80"/>
      <c r="V85" s="80"/>
      <c r="W85" s="28"/>
      <c r="X85" s="141">
        <v>45352</v>
      </c>
      <c r="Y85" s="55" t="s">
        <v>293</v>
      </c>
      <c r="Z85" s="66">
        <v>70</v>
      </c>
      <c r="AA85" s="28"/>
      <c r="AB85" s="67">
        <v>77</v>
      </c>
      <c r="AC85" s="28" t="s">
        <v>34</v>
      </c>
      <c r="AD85" s="55">
        <v>45345</v>
      </c>
      <c r="AE85" s="28" t="s">
        <v>33</v>
      </c>
      <c r="AF85" s="28"/>
      <c r="AG85" s="28"/>
      <c r="AH85" s="28"/>
      <c r="AI85" s="28"/>
      <c r="AJ85" s="128"/>
      <c r="AK85" s="28"/>
    </row>
    <row r="86" spans="1:37" s="26" customFormat="1" ht="37.5" hidden="1" customHeight="1">
      <c r="A86" s="25">
        <f t="shared" si="1"/>
        <v>83</v>
      </c>
      <c r="B86" s="225" t="s">
        <v>294</v>
      </c>
      <c r="C86" s="225"/>
      <c r="D86" s="233" t="s">
        <v>295</v>
      </c>
      <c r="E86" s="28" t="s">
        <v>53</v>
      </c>
      <c r="F86" s="27" t="s">
        <v>107</v>
      </c>
      <c r="G86" s="248">
        <v>590000</v>
      </c>
      <c r="H86" s="58">
        <v>649000</v>
      </c>
      <c r="I86" s="82"/>
      <c r="J86" s="82"/>
      <c r="K86" s="82"/>
      <c r="L86" s="80"/>
      <c r="M86" s="79"/>
      <c r="N86" s="80"/>
      <c r="O86" s="80"/>
      <c r="P86" s="61"/>
      <c r="Q86" s="35"/>
      <c r="R86" s="61"/>
      <c r="S86" s="35"/>
      <c r="T86" s="35"/>
      <c r="U86" s="35"/>
      <c r="V86" s="35"/>
      <c r="W86" s="25"/>
      <c r="X86" s="33">
        <v>45358</v>
      </c>
      <c r="Y86" s="33" t="s">
        <v>296</v>
      </c>
      <c r="Z86" s="248">
        <v>590000</v>
      </c>
      <c r="AA86" s="236" t="s">
        <v>33</v>
      </c>
      <c r="AB86" s="58">
        <v>649000</v>
      </c>
      <c r="AC86" s="28" t="s">
        <v>34</v>
      </c>
      <c r="AD86" s="55">
        <v>45328</v>
      </c>
      <c r="AE86" s="28" t="s">
        <v>75</v>
      </c>
      <c r="AF86" s="25"/>
      <c r="AG86" s="25"/>
      <c r="AH86" s="25"/>
      <c r="AI86" s="25"/>
      <c r="AJ86" s="116"/>
      <c r="AK86" s="25"/>
    </row>
    <row r="87" spans="1:37" s="26" customFormat="1" ht="52.5" hidden="1" customHeight="1">
      <c r="A87" s="31">
        <f t="shared" si="1"/>
        <v>84</v>
      </c>
      <c r="B87" s="224" t="s">
        <v>297</v>
      </c>
      <c r="C87" s="224"/>
      <c r="D87" s="217" t="s">
        <v>298</v>
      </c>
      <c r="E87" s="25" t="s">
        <v>53</v>
      </c>
      <c r="F87" s="24" t="s">
        <v>107</v>
      </c>
      <c r="G87" s="51">
        <v>1770000</v>
      </c>
      <c r="H87" s="51">
        <v>1947000</v>
      </c>
      <c r="I87" s="83"/>
      <c r="J87" s="83"/>
      <c r="K87" s="83"/>
      <c r="L87" s="35"/>
      <c r="M87" s="61"/>
      <c r="N87" s="35"/>
      <c r="O87" s="35"/>
      <c r="P87" s="127"/>
      <c r="Q87" s="35"/>
      <c r="R87" s="61"/>
      <c r="S87" s="35"/>
      <c r="T87" s="35"/>
      <c r="U87" s="35"/>
      <c r="V87" s="35"/>
      <c r="W87" s="25"/>
      <c r="X87" s="33">
        <v>45358</v>
      </c>
      <c r="Y87" s="237" t="s">
        <v>299</v>
      </c>
      <c r="Z87" s="237" t="s">
        <v>208</v>
      </c>
      <c r="AA87" s="236" t="s">
        <v>33</v>
      </c>
      <c r="AB87" s="51">
        <v>1947000</v>
      </c>
      <c r="AC87" s="25" t="s">
        <v>34</v>
      </c>
      <c r="AD87" s="33">
        <v>45328</v>
      </c>
      <c r="AE87" s="25" t="s">
        <v>75</v>
      </c>
      <c r="AF87" s="25"/>
      <c r="AG87" s="25"/>
      <c r="AH87" s="25"/>
      <c r="AI87" s="25"/>
      <c r="AJ87" s="116"/>
      <c r="AK87" s="25"/>
    </row>
    <row r="88" spans="1:37" s="26" customFormat="1" ht="30.75" hidden="1">
      <c r="A88" s="31">
        <f t="shared" si="1"/>
        <v>85</v>
      </c>
      <c r="B88" s="224" t="s">
        <v>300</v>
      </c>
      <c r="C88" s="224"/>
      <c r="D88" s="217" t="s">
        <v>301</v>
      </c>
      <c r="E88" s="25" t="s">
        <v>53</v>
      </c>
      <c r="F88" s="24" t="s">
        <v>230</v>
      </c>
      <c r="G88" s="248">
        <v>20000000</v>
      </c>
      <c r="H88" s="248">
        <v>22000000</v>
      </c>
      <c r="I88" s="168"/>
      <c r="J88" s="168"/>
      <c r="K88" s="168"/>
      <c r="L88" s="168"/>
      <c r="M88" s="169"/>
      <c r="N88" s="168"/>
      <c r="O88" s="168"/>
      <c r="P88" s="202"/>
      <c r="Q88" s="168"/>
      <c r="R88" s="169"/>
      <c r="S88" s="168"/>
      <c r="T88" s="168"/>
      <c r="U88" s="168"/>
      <c r="V88" s="168"/>
      <c r="W88" s="32"/>
      <c r="X88" s="33">
        <v>45373</v>
      </c>
      <c r="Y88" s="216" t="s">
        <v>302</v>
      </c>
      <c r="Z88" s="248">
        <v>20000000</v>
      </c>
      <c r="AA88" s="236" t="s">
        <v>33</v>
      </c>
      <c r="AB88" s="51">
        <v>22000000</v>
      </c>
      <c r="AC88" s="31" t="s">
        <v>34</v>
      </c>
      <c r="AD88" s="33">
        <v>45363</v>
      </c>
      <c r="AE88" s="25" t="s">
        <v>33</v>
      </c>
      <c r="AF88" s="25"/>
      <c r="AG88" s="25"/>
      <c r="AH88" s="31"/>
      <c r="AI88" s="25"/>
      <c r="AJ88" s="116"/>
      <c r="AK88" s="25"/>
    </row>
    <row r="89" spans="1:37" s="26" customFormat="1" ht="45.75" hidden="1">
      <c r="A89" s="54">
        <f t="shared" si="1"/>
        <v>86</v>
      </c>
      <c r="B89" s="225" t="s">
        <v>303</v>
      </c>
      <c r="C89" s="225"/>
      <c r="D89" s="233" t="s">
        <v>304</v>
      </c>
      <c r="E89" s="28" t="s">
        <v>53</v>
      </c>
      <c r="F89" s="27" t="s">
        <v>305</v>
      </c>
      <c r="G89" s="248">
        <v>800000</v>
      </c>
      <c r="H89" s="248">
        <v>820000</v>
      </c>
      <c r="I89" s="64"/>
      <c r="J89" s="64"/>
      <c r="K89" s="64"/>
      <c r="L89" s="174"/>
      <c r="M89" s="170"/>
      <c r="N89" s="175"/>
      <c r="O89" s="174"/>
      <c r="P89" s="170"/>
      <c r="Q89" s="64"/>
      <c r="R89" s="170"/>
      <c r="S89" s="64"/>
      <c r="T89" s="64"/>
      <c r="U89" s="64"/>
      <c r="V89" s="64"/>
      <c r="W89" s="53"/>
      <c r="X89" s="55">
        <v>45377</v>
      </c>
      <c r="Y89" s="231" t="s">
        <v>306</v>
      </c>
      <c r="Z89" s="248">
        <v>800000</v>
      </c>
      <c r="AA89" s="236" t="s">
        <v>33</v>
      </c>
      <c r="AB89" s="58">
        <v>820000</v>
      </c>
      <c r="AC89" s="54" t="s">
        <v>34</v>
      </c>
      <c r="AD89" s="55">
        <v>45364</v>
      </c>
      <c r="AE89" s="28" t="s">
        <v>33</v>
      </c>
      <c r="AF89" s="28"/>
      <c r="AG89" s="28"/>
      <c r="AH89" s="54"/>
      <c r="AI89" s="28"/>
      <c r="AJ89" s="128"/>
      <c r="AK89" s="28"/>
    </row>
    <row r="90" spans="1:37" s="26" customFormat="1" ht="30.75" customHeight="1">
      <c r="A90" s="320">
        <f t="shared" si="1"/>
        <v>87</v>
      </c>
      <c r="B90" s="319" t="s">
        <v>307</v>
      </c>
      <c r="C90" s="129"/>
      <c r="D90" s="217" t="s">
        <v>308</v>
      </c>
      <c r="E90" s="321" t="s">
        <v>53</v>
      </c>
      <c r="F90" s="322" t="s">
        <v>267</v>
      </c>
      <c r="G90" s="73"/>
      <c r="H90" s="51">
        <v>540925000</v>
      </c>
      <c r="I90" s="25" t="s">
        <v>33</v>
      </c>
      <c r="J90" s="25" t="s">
        <v>34</v>
      </c>
      <c r="K90" s="28" t="s">
        <v>33</v>
      </c>
      <c r="L90" s="25" t="s">
        <v>34</v>
      </c>
      <c r="M90" s="33">
        <v>45369</v>
      </c>
      <c r="N90" s="44" t="s">
        <v>33</v>
      </c>
      <c r="O90" s="25" t="s">
        <v>34</v>
      </c>
      <c r="P90" s="33">
        <v>45371</v>
      </c>
      <c r="Q90" s="28" t="s">
        <v>33</v>
      </c>
      <c r="R90" s="61"/>
      <c r="S90" s="35"/>
      <c r="T90" s="35"/>
      <c r="U90" s="35"/>
      <c r="V90" s="35"/>
      <c r="W90" s="35"/>
      <c r="X90" s="61"/>
      <c r="Y90" s="61"/>
      <c r="Z90" s="237"/>
      <c r="AA90" s="236"/>
      <c r="AB90" s="210"/>
      <c r="AC90" s="35"/>
      <c r="AD90" s="61"/>
      <c r="AE90" s="35"/>
      <c r="AF90" s="35"/>
      <c r="AG90" s="35"/>
      <c r="AH90" s="35"/>
      <c r="AI90" s="25"/>
      <c r="AJ90" s="116"/>
      <c r="AK90" s="25"/>
    </row>
    <row r="91" spans="1:37" s="26" customFormat="1" ht="26.45" hidden="1" customHeight="1">
      <c r="A91" s="320"/>
      <c r="B91" s="319"/>
      <c r="C91" s="129"/>
      <c r="D91" s="217" t="s">
        <v>309</v>
      </c>
      <c r="E91" s="321"/>
      <c r="F91" s="322"/>
      <c r="G91" s="51">
        <v>147525000</v>
      </c>
      <c r="H91" s="51">
        <v>162277500</v>
      </c>
      <c r="I91" s="73"/>
      <c r="J91" s="35"/>
      <c r="K91" s="35"/>
      <c r="L91" s="35"/>
      <c r="M91" s="61"/>
      <c r="N91" s="35"/>
      <c r="O91" s="35"/>
      <c r="P91" s="61"/>
      <c r="Q91" s="35"/>
      <c r="R91" s="61"/>
      <c r="S91" s="35"/>
      <c r="T91" s="35"/>
      <c r="U91" s="35"/>
      <c r="V91" s="35"/>
      <c r="W91" s="25"/>
      <c r="X91" s="55">
        <v>45371</v>
      </c>
      <c r="Y91" s="33" t="s">
        <v>310</v>
      </c>
      <c r="Z91" s="51">
        <v>147525000</v>
      </c>
      <c r="AA91" s="25"/>
      <c r="AB91" s="51">
        <v>162277500</v>
      </c>
      <c r="AC91" s="25" t="s">
        <v>34</v>
      </c>
      <c r="AD91" s="33">
        <v>45369</v>
      </c>
      <c r="AE91" s="25" t="s">
        <v>33</v>
      </c>
      <c r="AF91" s="25"/>
      <c r="AG91" s="25"/>
      <c r="AH91" s="25"/>
      <c r="AI91" s="25"/>
      <c r="AJ91" s="116"/>
      <c r="AK91" s="25"/>
    </row>
    <row r="92" spans="1:37" s="26" customFormat="1" ht="26.45" hidden="1" customHeight="1">
      <c r="A92" s="320"/>
      <c r="B92" s="319"/>
      <c r="C92" s="129"/>
      <c r="D92" s="217" t="s">
        <v>311</v>
      </c>
      <c r="E92" s="321"/>
      <c r="F92" s="322"/>
      <c r="G92" s="73"/>
      <c r="H92" s="51">
        <v>227188500</v>
      </c>
      <c r="I92" s="73"/>
      <c r="J92" s="35"/>
      <c r="K92" s="35"/>
      <c r="L92" s="35"/>
      <c r="M92" s="61"/>
      <c r="N92" s="35"/>
      <c r="O92" s="35"/>
      <c r="P92" s="61"/>
      <c r="Q92" s="35"/>
      <c r="R92" s="33"/>
      <c r="S92" s="25"/>
      <c r="T92" s="25"/>
      <c r="U92" s="25"/>
      <c r="V92" s="25"/>
      <c r="W92" s="25"/>
      <c r="X92" s="33"/>
      <c r="Y92" s="33"/>
      <c r="Z92" s="33"/>
      <c r="AA92" s="25"/>
      <c r="AB92" s="51"/>
      <c r="AC92" s="25"/>
      <c r="AD92" s="33"/>
      <c r="AE92" s="25"/>
      <c r="AF92" s="25"/>
      <c r="AG92" s="25"/>
      <c r="AH92" s="25"/>
      <c r="AI92" s="25"/>
      <c r="AJ92" s="116"/>
      <c r="AK92" s="25"/>
    </row>
    <row r="93" spans="1:37" s="26" customFormat="1" ht="26.45" hidden="1" customHeight="1">
      <c r="A93" s="316"/>
      <c r="B93" s="333"/>
      <c r="C93" s="138"/>
      <c r="D93" s="233" t="s">
        <v>312</v>
      </c>
      <c r="E93" s="312"/>
      <c r="F93" s="334"/>
      <c r="G93" s="75"/>
      <c r="H93" s="51">
        <v>151459000</v>
      </c>
      <c r="I93" s="75"/>
      <c r="J93" s="80"/>
      <c r="K93" s="80"/>
      <c r="L93" s="80"/>
      <c r="M93" s="79"/>
      <c r="N93" s="80"/>
      <c r="O93" s="80"/>
      <c r="P93" s="79"/>
      <c r="Q93" s="80"/>
      <c r="R93" s="55"/>
      <c r="S93" s="28"/>
      <c r="T93" s="28"/>
      <c r="U93" s="28"/>
      <c r="V93" s="28"/>
      <c r="W93" s="28"/>
      <c r="X93" s="55"/>
      <c r="Y93" s="55"/>
      <c r="Z93" s="55"/>
      <c r="AA93" s="28"/>
      <c r="AB93" s="58"/>
      <c r="AC93" s="28"/>
      <c r="AD93" s="55"/>
      <c r="AE93" s="28"/>
      <c r="AF93" s="28"/>
      <c r="AG93" s="28"/>
      <c r="AH93" s="28"/>
      <c r="AI93" s="28"/>
      <c r="AJ93" s="128"/>
      <c r="AK93" s="28"/>
    </row>
    <row r="94" spans="1:37" s="26" customFormat="1" ht="30.75" hidden="1">
      <c r="A94" s="25">
        <f>A90+1</f>
        <v>88</v>
      </c>
      <c r="B94" s="129" t="s">
        <v>313</v>
      </c>
      <c r="C94" s="129"/>
      <c r="D94" s="217" t="s">
        <v>314</v>
      </c>
      <c r="E94" s="25" t="s">
        <v>31</v>
      </c>
      <c r="F94" s="24" t="s">
        <v>67</v>
      </c>
      <c r="G94" s="29">
        <v>50</v>
      </c>
      <c r="H94" s="29">
        <v>55</v>
      </c>
      <c r="I94" s="83"/>
      <c r="J94" s="83"/>
      <c r="K94" s="83"/>
      <c r="L94" s="35"/>
      <c r="M94" s="61"/>
      <c r="N94" s="35"/>
      <c r="O94" s="35"/>
      <c r="P94" s="61"/>
      <c r="Q94" s="35"/>
      <c r="R94" s="61"/>
      <c r="S94" s="35"/>
      <c r="T94" s="35"/>
      <c r="U94" s="35"/>
      <c r="V94" s="35"/>
      <c r="W94" s="25"/>
      <c r="X94" s="55">
        <v>45383</v>
      </c>
      <c r="Y94" s="33" t="s">
        <v>315</v>
      </c>
      <c r="Z94" s="29">
        <v>50</v>
      </c>
      <c r="AA94" s="25"/>
      <c r="AB94" s="29">
        <v>55</v>
      </c>
      <c r="AC94" s="25" t="s">
        <v>34</v>
      </c>
      <c r="AD94" s="33">
        <v>45372</v>
      </c>
      <c r="AE94" s="25"/>
      <c r="AF94" s="25"/>
      <c r="AG94" s="25"/>
      <c r="AH94" s="25"/>
      <c r="AI94" s="25"/>
      <c r="AJ94" s="116"/>
      <c r="AK94" s="25"/>
    </row>
    <row r="95" spans="1:37" s="26" customFormat="1" ht="30.75" hidden="1">
      <c r="A95" s="25">
        <f>A94+1</f>
        <v>89</v>
      </c>
      <c r="B95" s="129" t="s">
        <v>316</v>
      </c>
      <c r="C95" s="129"/>
      <c r="D95" s="217" t="s">
        <v>317</v>
      </c>
      <c r="E95" s="25" t="s">
        <v>31</v>
      </c>
      <c r="F95" s="24" t="s">
        <v>61</v>
      </c>
      <c r="G95" s="29">
        <v>2240</v>
      </c>
      <c r="H95" s="29">
        <v>2464</v>
      </c>
      <c r="I95" s="83"/>
      <c r="J95" s="83"/>
      <c r="K95" s="83"/>
      <c r="L95" s="35"/>
      <c r="M95" s="61"/>
      <c r="N95" s="35"/>
      <c r="O95" s="35"/>
      <c r="P95" s="61"/>
      <c r="Q95" s="35"/>
      <c r="R95" s="61"/>
      <c r="S95" s="35"/>
      <c r="T95" s="35"/>
      <c r="U95" s="35"/>
      <c r="V95" s="35"/>
      <c r="W95" s="25"/>
      <c r="X95" s="55">
        <v>45383</v>
      </c>
      <c r="Y95" s="33" t="s">
        <v>318</v>
      </c>
      <c r="Z95" s="29">
        <v>2240</v>
      </c>
      <c r="AA95" s="25"/>
      <c r="AB95" s="29">
        <v>2464</v>
      </c>
      <c r="AC95" s="25" t="s">
        <v>34</v>
      </c>
      <c r="AD95" s="33">
        <v>45372</v>
      </c>
      <c r="AE95" s="25"/>
      <c r="AF95" s="25"/>
      <c r="AG95" s="25"/>
      <c r="AH95" s="25"/>
      <c r="AI95" s="25"/>
      <c r="AJ95" s="116"/>
      <c r="AK95" s="25"/>
    </row>
    <row r="96" spans="1:37" s="26" customFormat="1" ht="30.75" hidden="1">
      <c r="A96" s="25">
        <f t="shared" ref="A96:A122" si="2">A95+1</f>
        <v>90</v>
      </c>
      <c r="B96" s="129" t="s">
        <v>319</v>
      </c>
      <c r="C96" s="129"/>
      <c r="D96" s="217" t="s">
        <v>320</v>
      </c>
      <c r="E96" s="25" t="s">
        <v>31</v>
      </c>
      <c r="F96" s="24" t="s">
        <v>64</v>
      </c>
      <c r="G96" s="204">
        <v>70</v>
      </c>
      <c r="H96" s="29">
        <v>77</v>
      </c>
      <c r="I96" s="83"/>
      <c r="J96" s="83"/>
      <c r="K96" s="83"/>
      <c r="L96" s="35"/>
      <c r="M96" s="61"/>
      <c r="N96" s="35"/>
      <c r="O96" s="35"/>
      <c r="P96" s="61"/>
      <c r="Q96" s="35"/>
      <c r="R96" s="61"/>
      <c r="S96" s="35"/>
      <c r="T96" s="35"/>
      <c r="U96" s="35"/>
      <c r="V96" s="35"/>
      <c r="W96" s="25"/>
      <c r="X96" s="55">
        <v>45383</v>
      </c>
      <c r="Y96" s="33" t="s">
        <v>321</v>
      </c>
      <c r="Z96" s="204">
        <v>70</v>
      </c>
      <c r="AA96" s="25"/>
      <c r="AB96" s="29">
        <v>77</v>
      </c>
      <c r="AC96" s="25" t="s">
        <v>34</v>
      </c>
      <c r="AD96" s="33">
        <v>45372</v>
      </c>
      <c r="AE96" s="25"/>
      <c r="AF96" s="25"/>
      <c r="AG96" s="25"/>
      <c r="AH96" s="25"/>
      <c r="AI96" s="25"/>
      <c r="AJ96" s="116"/>
      <c r="AK96" s="25"/>
    </row>
    <row r="97" spans="1:37" s="26" customFormat="1" ht="40.5" hidden="1" customHeight="1">
      <c r="A97" s="25">
        <f t="shared" si="2"/>
        <v>91</v>
      </c>
      <c r="B97" s="224" t="s">
        <v>322</v>
      </c>
      <c r="C97" s="224"/>
      <c r="D97" s="217" t="s">
        <v>323</v>
      </c>
      <c r="E97" s="25" t="s">
        <v>53</v>
      </c>
      <c r="F97" s="24" t="s">
        <v>58</v>
      </c>
      <c r="G97" s="51">
        <v>650000</v>
      </c>
      <c r="H97" s="51">
        <v>715000</v>
      </c>
      <c r="I97" s="25"/>
      <c r="J97" s="25" t="s">
        <v>91</v>
      </c>
      <c r="K97" s="25"/>
      <c r="L97" s="31" t="s">
        <v>91</v>
      </c>
      <c r="M97" s="33">
        <v>45411</v>
      </c>
      <c r="N97" s="32"/>
      <c r="O97" s="31"/>
      <c r="P97" s="33"/>
      <c r="Q97" s="25"/>
      <c r="R97" s="33"/>
      <c r="S97" s="25"/>
      <c r="T97" s="25"/>
      <c r="U97" s="25"/>
      <c r="V97" s="25"/>
      <c r="W97" s="32"/>
      <c r="X97" s="33">
        <v>45398</v>
      </c>
      <c r="Y97" s="216" t="s">
        <v>324</v>
      </c>
      <c r="Z97" s="51">
        <v>650000</v>
      </c>
      <c r="AA97" s="236" t="s">
        <v>33</v>
      </c>
      <c r="AB97" s="29"/>
      <c r="AC97" s="31"/>
      <c r="AD97" s="33"/>
      <c r="AE97" s="25"/>
      <c r="AF97" s="25"/>
      <c r="AG97" s="25"/>
      <c r="AH97" s="31"/>
      <c r="AI97" s="25"/>
      <c r="AJ97" s="116"/>
      <c r="AK97" s="25"/>
    </row>
    <row r="98" spans="1:37" s="26" customFormat="1" ht="18.95" hidden="1" customHeight="1">
      <c r="A98" s="25">
        <f t="shared" si="2"/>
        <v>92</v>
      </c>
      <c r="B98" s="224" t="s">
        <v>325</v>
      </c>
      <c r="C98" s="224"/>
      <c r="D98" s="217" t="s">
        <v>326</v>
      </c>
      <c r="E98" s="25" t="s">
        <v>53</v>
      </c>
      <c r="F98" s="24" t="s">
        <v>107</v>
      </c>
      <c r="G98" s="51">
        <v>551935</v>
      </c>
      <c r="H98" s="51">
        <v>607129</v>
      </c>
      <c r="I98" s="168"/>
      <c r="J98" s="168"/>
      <c r="K98" s="168"/>
      <c r="L98" s="198"/>
      <c r="M98" s="169"/>
      <c r="N98" s="211"/>
      <c r="O98" s="198"/>
      <c r="P98" s="169"/>
      <c r="Q98" s="168"/>
      <c r="R98" s="169"/>
      <c r="S98" s="168"/>
      <c r="T98" s="168"/>
      <c r="U98" s="168"/>
      <c r="V98" s="168"/>
      <c r="W98" s="32"/>
      <c r="X98" s="33">
        <v>45381</v>
      </c>
      <c r="Y98" s="216" t="s">
        <v>327</v>
      </c>
      <c r="Z98" s="51">
        <v>551935</v>
      </c>
      <c r="AA98" s="236" t="s">
        <v>33</v>
      </c>
      <c r="AB98" s="51">
        <v>607129</v>
      </c>
      <c r="AC98" s="31" t="s">
        <v>34</v>
      </c>
      <c r="AD98" s="33">
        <v>45383</v>
      </c>
      <c r="AE98" s="25" t="s">
        <v>75</v>
      </c>
      <c r="AF98" s="25"/>
      <c r="AG98" s="25"/>
      <c r="AH98" s="31"/>
      <c r="AI98" s="25"/>
      <c r="AJ98" s="116"/>
      <c r="AK98" s="25"/>
    </row>
    <row r="99" spans="1:37" s="26" customFormat="1" ht="41.45" hidden="1" customHeight="1">
      <c r="A99" s="25">
        <f t="shared" si="2"/>
        <v>93</v>
      </c>
      <c r="B99" s="224" t="s">
        <v>328</v>
      </c>
      <c r="C99" s="224"/>
      <c r="D99" s="217" t="s">
        <v>329</v>
      </c>
      <c r="E99" s="25" t="s">
        <v>53</v>
      </c>
      <c r="F99" s="24" t="s">
        <v>230</v>
      </c>
      <c r="G99" s="51">
        <v>20000000</v>
      </c>
      <c r="H99" s="51">
        <v>22000000</v>
      </c>
      <c r="I99" s="168"/>
      <c r="J99" s="168"/>
      <c r="K99" s="168"/>
      <c r="L99" s="198"/>
      <c r="M99" s="169"/>
      <c r="N99" s="211"/>
      <c r="O99" s="198"/>
      <c r="P99" s="169"/>
      <c r="Q99" s="168"/>
      <c r="R99" s="169"/>
      <c r="S99" s="168"/>
      <c r="T99" s="168"/>
      <c r="U99" s="168"/>
      <c r="V99" s="168"/>
      <c r="W99" s="32"/>
      <c r="X99" s="33">
        <v>45383</v>
      </c>
      <c r="Y99" s="216" t="s">
        <v>330</v>
      </c>
      <c r="Z99" s="51">
        <v>20000000</v>
      </c>
      <c r="AA99" s="236" t="s">
        <v>33</v>
      </c>
      <c r="AB99" s="51">
        <v>22000000</v>
      </c>
      <c r="AC99" s="31" t="s">
        <v>34</v>
      </c>
      <c r="AD99" s="33">
        <v>45384</v>
      </c>
      <c r="AE99" s="25" t="s">
        <v>75</v>
      </c>
      <c r="AF99" s="25"/>
      <c r="AG99" s="25"/>
      <c r="AH99" s="31"/>
      <c r="AI99" s="25"/>
      <c r="AJ99" s="116"/>
      <c r="AK99" s="25"/>
    </row>
    <row r="100" spans="1:37" s="26" customFormat="1" ht="45.75" hidden="1">
      <c r="A100" s="25">
        <f t="shared" si="2"/>
        <v>94</v>
      </c>
      <c r="B100" s="228" t="s">
        <v>331</v>
      </c>
      <c r="C100" s="228"/>
      <c r="D100" s="217" t="s">
        <v>332</v>
      </c>
      <c r="E100" s="25" t="s">
        <v>53</v>
      </c>
      <c r="F100" s="24" t="s">
        <v>116</v>
      </c>
      <c r="G100" s="51">
        <v>328182</v>
      </c>
      <c r="H100" s="51">
        <v>361000</v>
      </c>
      <c r="I100" s="168"/>
      <c r="J100" s="168"/>
      <c r="K100" s="168"/>
      <c r="L100" s="198"/>
      <c r="M100" s="169"/>
      <c r="N100" s="211"/>
      <c r="O100" s="198"/>
      <c r="P100" s="169"/>
      <c r="Q100" s="168"/>
      <c r="R100" s="169"/>
      <c r="S100" s="168"/>
      <c r="T100" s="168"/>
      <c r="U100" s="168"/>
      <c r="V100" s="168"/>
      <c r="W100" s="32"/>
      <c r="X100" s="33">
        <v>45390</v>
      </c>
      <c r="Y100" s="216" t="s">
        <v>333</v>
      </c>
      <c r="Z100" s="216" t="s">
        <v>334</v>
      </c>
      <c r="AA100" s="236" t="s">
        <v>33</v>
      </c>
      <c r="AB100" s="51">
        <v>361000</v>
      </c>
      <c r="AC100" s="31" t="s">
        <v>34</v>
      </c>
      <c r="AD100" s="33">
        <v>45384</v>
      </c>
      <c r="AE100" s="25"/>
      <c r="AF100" s="25"/>
      <c r="AG100" s="25"/>
      <c r="AH100" s="31"/>
      <c r="AI100" s="25"/>
      <c r="AJ100" s="116"/>
      <c r="AK100" s="25"/>
    </row>
    <row r="101" spans="1:37" s="26" customFormat="1" ht="51.6" hidden="1" customHeight="1">
      <c r="A101" s="25">
        <f t="shared" si="2"/>
        <v>95</v>
      </c>
      <c r="B101" s="225" t="s">
        <v>335</v>
      </c>
      <c r="C101" s="225"/>
      <c r="D101" s="233" t="s">
        <v>336</v>
      </c>
      <c r="E101" s="28" t="s">
        <v>53</v>
      </c>
      <c r="F101" s="27" t="s">
        <v>107</v>
      </c>
      <c r="G101" s="51">
        <v>1180000</v>
      </c>
      <c r="H101" s="51">
        <v>1298000</v>
      </c>
      <c r="I101" s="64"/>
      <c r="J101" s="64"/>
      <c r="K101" s="64"/>
      <c r="L101" s="174"/>
      <c r="M101" s="170"/>
      <c r="N101" s="175"/>
      <c r="O101" s="174"/>
      <c r="P101" s="170"/>
      <c r="Q101" s="64"/>
      <c r="R101" s="170"/>
      <c r="S101" s="64"/>
      <c r="T101" s="64"/>
      <c r="U101" s="64"/>
      <c r="V101" s="64"/>
      <c r="W101" s="53"/>
      <c r="X101" s="33">
        <v>45390</v>
      </c>
      <c r="Y101" s="216" t="s">
        <v>337</v>
      </c>
      <c r="Z101" s="237" t="s">
        <v>338</v>
      </c>
      <c r="AA101" s="236" t="s">
        <v>33</v>
      </c>
      <c r="AB101" s="58">
        <v>1298000</v>
      </c>
      <c r="AC101" s="54" t="s">
        <v>34</v>
      </c>
      <c r="AD101" s="55">
        <v>45386</v>
      </c>
      <c r="AE101" s="28" t="s">
        <v>33</v>
      </c>
      <c r="AF101" s="28"/>
      <c r="AG101" s="28"/>
      <c r="AH101" s="54"/>
      <c r="AI101" s="28"/>
      <c r="AJ101" s="128"/>
      <c r="AK101" s="28"/>
    </row>
    <row r="102" spans="1:37" s="26" customFormat="1" ht="30.75" hidden="1">
      <c r="A102" s="25">
        <f t="shared" si="2"/>
        <v>96</v>
      </c>
      <c r="B102" s="224" t="s">
        <v>339</v>
      </c>
      <c r="C102" s="224"/>
      <c r="D102" s="217" t="s">
        <v>340</v>
      </c>
      <c r="E102" s="25" t="s">
        <v>53</v>
      </c>
      <c r="F102" s="24" t="s">
        <v>107</v>
      </c>
      <c r="G102" s="51">
        <v>590000</v>
      </c>
      <c r="H102" s="51">
        <v>649000</v>
      </c>
      <c r="I102" s="168"/>
      <c r="J102" s="168"/>
      <c r="K102" s="168"/>
      <c r="L102" s="168"/>
      <c r="M102" s="170"/>
      <c r="N102" s="168"/>
      <c r="O102" s="168"/>
      <c r="P102" s="169"/>
      <c r="Q102" s="168"/>
      <c r="R102" s="169"/>
      <c r="S102" s="168"/>
      <c r="T102" s="168"/>
      <c r="U102" s="168"/>
      <c r="V102" s="168"/>
      <c r="W102" s="25"/>
      <c r="X102" s="33">
        <v>45390</v>
      </c>
      <c r="Y102" s="33" t="s">
        <v>341</v>
      </c>
      <c r="Z102" s="51">
        <v>590000</v>
      </c>
      <c r="AA102" s="236" t="s">
        <v>33</v>
      </c>
      <c r="AB102" s="51">
        <v>649000</v>
      </c>
      <c r="AC102" s="25" t="s">
        <v>34</v>
      </c>
      <c r="AD102" s="33">
        <v>45386</v>
      </c>
      <c r="AE102" s="25" t="s">
        <v>33</v>
      </c>
      <c r="AF102" s="25"/>
      <c r="AG102" s="25"/>
      <c r="AH102" s="25"/>
      <c r="AI102" s="25"/>
      <c r="AJ102" s="116"/>
      <c r="AK102" s="25"/>
    </row>
    <row r="103" spans="1:37" s="26" customFormat="1" ht="66.95" hidden="1" customHeight="1">
      <c r="A103" s="25">
        <f t="shared" si="2"/>
        <v>97</v>
      </c>
      <c r="B103" s="25" t="s">
        <v>342</v>
      </c>
      <c r="C103" s="25"/>
      <c r="D103" s="217" t="s">
        <v>343</v>
      </c>
      <c r="E103" s="25" t="s">
        <v>31</v>
      </c>
      <c r="F103" s="24" t="s">
        <v>32</v>
      </c>
      <c r="G103" s="29">
        <v>135</v>
      </c>
      <c r="H103" s="29">
        <v>148.5</v>
      </c>
      <c r="I103" s="25" t="s">
        <v>33</v>
      </c>
      <c r="J103" s="168" t="s">
        <v>34</v>
      </c>
      <c r="K103" s="28" t="s">
        <v>33</v>
      </c>
      <c r="L103" s="31" t="s">
        <v>34</v>
      </c>
      <c r="M103" s="33">
        <v>45393</v>
      </c>
      <c r="N103" s="32" t="s">
        <v>33</v>
      </c>
      <c r="O103" s="25" t="s">
        <v>110</v>
      </c>
      <c r="P103" s="33"/>
      <c r="Q103" s="25"/>
      <c r="R103" s="33"/>
      <c r="S103" s="213" t="s">
        <v>33</v>
      </c>
      <c r="T103" s="25"/>
      <c r="U103" s="25"/>
      <c r="V103" s="25"/>
      <c r="W103" s="25"/>
      <c r="X103" s="141">
        <v>45408</v>
      </c>
      <c r="Y103" s="116" t="s">
        <v>344</v>
      </c>
      <c r="Z103" s="29">
        <v>135</v>
      </c>
      <c r="AA103" s="25"/>
      <c r="AB103" s="29">
        <v>148.5</v>
      </c>
      <c r="AC103" s="25" t="s">
        <v>34</v>
      </c>
      <c r="AD103" s="33">
        <v>45397</v>
      </c>
      <c r="AE103" s="25"/>
      <c r="AF103" s="25"/>
      <c r="AG103" s="25"/>
      <c r="AH103" s="25"/>
      <c r="AI103" s="25"/>
      <c r="AJ103" s="116"/>
      <c r="AK103" s="25"/>
    </row>
    <row r="104" spans="1:37" s="26" customFormat="1" ht="60.75" hidden="1">
      <c r="A104" s="25">
        <f t="shared" si="2"/>
        <v>98</v>
      </c>
      <c r="B104" s="28" t="s">
        <v>345</v>
      </c>
      <c r="D104" s="256" t="s">
        <v>346</v>
      </c>
      <c r="E104" s="28" t="s">
        <v>31</v>
      </c>
      <c r="F104" s="27" t="s">
        <v>47</v>
      </c>
      <c r="G104" s="67">
        <v>2750.04</v>
      </c>
      <c r="H104" s="67">
        <v>3025.04</v>
      </c>
      <c r="I104" s="28" t="s">
        <v>33</v>
      </c>
      <c r="J104" s="64"/>
      <c r="K104" s="64"/>
      <c r="L104" s="64"/>
      <c r="M104" s="170"/>
      <c r="N104" s="64"/>
      <c r="O104" s="64"/>
      <c r="P104" s="170"/>
      <c r="Q104" s="64"/>
      <c r="R104" s="170"/>
      <c r="S104" s="64"/>
      <c r="T104" s="64"/>
      <c r="U104" s="64"/>
      <c r="V104" s="64"/>
      <c r="W104" s="138" t="s">
        <v>33</v>
      </c>
      <c r="X104" s="141">
        <v>45387</v>
      </c>
      <c r="Y104" s="141" t="s">
        <v>347</v>
      </c>
      <c r="Z104" s="67">
        <v>2750.04</v>
      </c>
      <c r="AA104" s="138" t="s">
        <v>33</v>
      </c>
      <c r="AB104" s="67">
        <v>3025.04</v>
      </c>
      <c r="AC104" s="54" t="s">
        <v>34</v>
      </c>
      <c r="AD104" s="55">
        <v>45390</v>
      </c>
      <c r="AE104" s="28"/>
      <c r="AF104" s="28"/>
      <c r="AG104" s="28"/>
      <c r="AH104" s="54"/>
      <c r="AI104" s="28"/>
      <c r="AJ104" s="128"/>
      <c r="AK104" s="28"/>
    </row>
    <row r="105" spans="1:37" s="26" customFormat="1" ht="60.75" hidden="1">
      <c r="A105" s="25">
        <f t="shared" si="2"/>
        <v>99</v>
      </c>
      <c r="B105" s="25" t="s">
        <v>348</v>
      </c>
      <c r="C105" s="25"/>
      <c r="D105" s="217" t="s">
        <v>349</v>
      </c>
      <c r="E105" s="25" t="s">
        <v>31</v>
      </c>
      <c r="F105" s="24" t="s">
        <v>47</v>
      </c>
      <c r="G105" s="29">
        <v>2750.04</v>
      </c>
      <c r="H105" s="29">
        <v>3025.04</v>
      </c>
      <c r="I105" s="25" t="s">
        <v>33</v>
      </c>
      <c r="J105" s="168"/>
      <c r="K105" s="168"/>
      <c r="L105" s="168"/>
      <c r="M105" s="169"/>
      <c r="N105" s="168"/>
      <c r="O105" s="168"/>
      <c r="P105" s="169"/>
      <c r="Q105" s="168"/>
      <c r="R105" s="169"/>
      <c r="S105" s="168"/>
      <c r="T105" s="168"/>
      <c r="U105" s="168"/>
      <c r="V105" s="168"/>
      <c r="W105" s="129" t="s">
        <v>33</v>
      </c>
      <c r="X105" s="132">
        <v>45387</v>
      </c>
      <c r="Y105" s="141" t="s">
        <v>350</v>
      </c>
      <c r="Z105" s="67">
        <v>2750.04</v>
      </c>
      <c r="AA105" s="129" t="s">
        <v>33</v>
      </c>
      <c r="AB105" s="29">
        <v>3025.04</v>
      </c>
      <c r="AC105" s="25" t="s">
        <v>34</v>
      </c>
      <c r="AD105" s="33">
        <v>45390</v>
      </c>
      <c r="AE105" s="25"/>
      <c r="AF105" s="25"/>
      <c r="AG105" s="25"/>
      <c r="AH105" s="25"/>
      <c r="AI105" s="25"/>
      <c r="AJ105" s="116"/>
      <c r="AK105" s="25"/>
    </row>
    <row r="106" spans="1:37" s="26" customFormat="1" ht="240" customHeight="1">
      <c r="A106" s="25">
        <f t="shared" si="2"/>
        <v>100</v>
      </c>
      <c r="B106" s="224" t="s">
        <v>351</v>
      </c>
      <c r="C106" s="224"/>
      <c r="D106" s="217" t="s">
        <v>352</v>
      </c>
      <c r="E106" s="25" t="s">
        <v>53</v>
      </c>
      <c r="F106" s="24" t="s">
        <v>267</v>
      </c>
      <c r="G106" s="29"/>
      <c r="H106" s="51">
        <v>12333000</v>
      </c>
      <c r="I106" s="25"/>
      <c r="J106" s="168" t="s">
        <v>34</v>
      </c>
      <c r="K106" s="168"/>
      <c r="L106" s="168" t="s">
        <v>34</v>
      </c>
      <c r="M106" s="132">
        <v>45399</v>
      </c>
      <c r="N106" s="129" t="s">
        <v>33</v>
      </c>
      <c r="O106" s="129"/>
      <c r="P106" s="132"/>
      <c r="Q106" s="129"/>
      <c r="R106" s="132"/>
      <c r="S106" s="129"/>
      <c r="T106" s="129"/>
      <c r="U106" s="129"/>
      <c r="V106" s="129"/>
      <c r="W106" s="129"/>
      <c r="X106" s="132" t="s">
        <v>353</v>
      </c>
      <c r="Y106" s="132" t="s">
        <v>354</v>
      </c>
      <c r="Z106" s="236" t="s">
        <v>355</v>
      </c>
      <c r="AA106" s="236" t="s">
        <v>33</v>
      </c>
      <c r="AB106" s="29"/>
      <c r="AC106" s="25"/>
      <c r="AD106" s="33"/>
      <c r="AE106" s="25"/>
      <c r="AF106" s="25"/>
      <c r="AG106" s="25"/>
      <c r="AH106" s="25"/>
      <c r="AI106" s="25"/>
      <c r="AJ106" s="116"/>
      <c r="AK106" s="25"/>
    </row>
    <row r="107" spans="1:37" s="26" customFormat="1" ht="30.75" hidden="1">
      <c r="A107" s="25">
        <f t="shared" si="2"/>
        <v>101</v>
      </c>
      <c r="B107" s="28" t="s">
        <v>356</v>
      </c>
      <c r="C107" s="28"/>
      <c r="D107" s="233" t="s">
        <v>314</v>
      </c>
      <c r="E107" s="28" t="s">
        <v>31</v>
      </c>
      <c r="F107" s="27" t="s">
        <v>67</v>
      </c>
      <c r="G107" s="67">
        <v>50</v>
      </c>
      <c r="H107" s="67">
        <v>55</v>
      </c>
      <c r="I107" s="82"/>
      <c r="J107" s="82"/>
      <c r="K107" s="82"/>
      <c r="L107" s="80"/>
      <c r="M107" s="79"/>
      <c r="N107" s="80"/>
      <c r="O107" s="80"/>
      <c r="P107" s="79"/>
      <c r="Q107" s="80"/>
      <c r="R107" s="79"/>
      <c r="S107" s="80"/>
      <c r="T107" s="80"/>
      <c r="U107" s="80"/>
      <c r="V107" s="80"/>
      <c r="W107" s="129" t="s">
        <v>33</v>
      </c>
      <c r="X107" s="132">
        <v>45413</v>
      </c>
      <c r="Y107" s="141" t="s">
        <v>357</v>
      </c>
      <c r="Z107" s="67">
        <v>50</v>
      </c>
      <c r="AA107" s="138" t="s">
        <v>33</v>
      </c>
      <c r="AB107" s="67">
        <v>55</v>
      </c>
      <c r="AC107" s="28" t="s">
        <v>34</v>
      </c>
      <c r="AD107" s="55">
        <v>45411</v>
      </c>
      <c r="AE107" s="28" t="s">
        <v>33</v>
      </c>
      <c r="AF107" s="28"/>
      <c r="AG107" s="28"/>
      <c r="AH107" s="28"/>
      <c r="AI107" s="28"/>
      <c r="AJ107" s="128"/>
      <c r="AK107" s="28"/>
    </row>
    <row r="108" spans="1:37" s="26" customFormat="1" ht="30.75" hidden="1">
      <c r="A108" s="25">
        <f t="shared" si="2"/>
        <v>102</v>
      </c>
      <c r="B108" s="25" t="s">
        <v>358</v>
      </c>
      <c r="C108" s="25"/>
      <c r="D108" s="217" t="s">
        <v>317</v>
      </c>
      <c r="E108" s="25" t="s">
        <v>31</v>
      </c>
      <c r="F108" s="24" t="s">
        <v>61</v>
      </c>
      <c r="G108" s="29">
        <v>2240</v>
      </c>
      <c r="H108" s="29">
        <v>2464</v>
      </c>
      <c r="I108" s="83"/>
      <c r="J108" s="83"/>
      <c r="K108" s="83"/>
      <c r="L108" s="35"/>
      <c r="M108" s="61"/>
      <c r="N108" s="35"/>
      <c r="O108" s="35"/>
      <c r="P108" s="61"/>
      <c r="Q108" s="35"/>
      <c r="R108" s="61"/>
      <c r="S108" s="35"/>
      <c r="T108" s="35"/>
      <c r="U108" s="35"/>
      <c r="V108" s="35"/>
      <c r="W108" s="129" t="s">
        <v>33</v>
      </c>
      <c r="X108" s="132">
        <v>45414</v>
      </c>
      <c r="Y108" s="141" t="s">
        <v>359</v>
      </c>
      <c r="Z108" s="67">
        <v>2240</v>
      </c>
      <c r="AA108" s="138" t="s">
        <v>33</v>
      </c>
      <c r="AB108" s="29">
        <v>2464</v>
      </c>
      <c r="AC108" s="28" t="s">
        <v>34</v>
      </c>
      <c r="AD108" s="55">
        <v>45411</v>
      </c>
      <c r="AE108" s="28" t="s">
        <v>33</v>
      </c>
      <c r="AF108" s="25"/>
      <c r="AG108" s="25"/>
      <c r="AH108" s="25"/>
      <c r="AI108" s="25"/>
      <c r="AJ108" s="116"/>
      <c r="AK108" s="25"/>
    </row>
    <row r="109" spans="1:37" s="26" customFormat="1" ht="30.75" hidden="1">
      <c r="A109" s="25">
        <f t="shared" si="2"/>
        <v>103</v>
      </c>
      <c r="B109" s="28" t="s">
        <v>360</v>
      </c>
      <c r="C109" s="28"/>
      <c r="D109" s="233" t="s">
        <v>320</v>
      </c>
      <c r="E109" s="28" t="s">
        <v>31</v>
      </c>
      <c r="F109" s="27" t="s">
        <v>64</v>
      </c>
      <c r="G109" s="66">
        <v>70</v>
      </c>
      <c r="H109" s="67">
        <v>77</v>
      </c>
      <c r="I109" s="82"/>
      <c r="J109" s="82"/>
      <c r="K109" s="82"/>
      <c r="L109" s="80"/>
      <c r="M109" s="79"/>
      <c r="N109" s="80"/>
      <c r="O109" s="80"/>
      <c r="P109" s="79"/>
      <c r="Q109" s="80"/>
      <c r="R109" s="79"/>
      <c r="S109" s="80"/>
      <c r="T109" s="80"/>
      <c r="U109" s="80"/>
      <c r="V109" s="80"/>
      <c r="W109" s="129" t="s">
        <v>33</v>
      </c>
      <c r="X109" s="132">
        <v>45414</v>
      </c>
      <c r="Y109" s="141" t="s">
        <v>361</v>
      </c>
      <c r="Z109" s="67">
        <v>70</v>
      </c>
      <c r="AA109" s="138" t="s">
        <v>33</v>
      </c>
      <c r="AB109" s="67">
        <v>77</v>
      </c>
      <c r="AC109" s="28" t="s">
        <v>34</v>
      </c>
      <c r="AD109" s="55">
        <v>45411</v>
      </c>
      <c r="AE109" s="28" t="s">
        <v>33</v>
      </c>
      <c r="AF109" s="28"/>
      <c r="AG109" s="28"/>
      <c r="AH109" s="28"/>
      <c r="AI109" s="28"/>
      <c r="AJ109" s="128"/>
      <c r="AK109" s="28"/>
    </row>
    <row r="110" spans="1:37" s="26" customFormat="1" ht="30.75" hidden="1">
      <c r="A110" s="25">
        <f t="shared" si="2"/>
        <v>104</v>
      </c>
      <c r="B110" s="25" t="s">
        <v>362</v>
      </c>
      <c r="C110" s="25"/>
      <c r="D110" s="217" t="s">
        <v>363</v>
      </c>
      <c r="E110" s="25" t="s">
        <v>31</v>
      </c>
      <c r="F110" s="24" t="s">
        <v>364</v>
      </c>
      <c r="G110" s="29">
        <v>50</v>
      </c>
      <c r="H110" s="29">
        <v>55</v>
      </c>
      <c r="I110" s="83"/>
      <c r="J110" s="83"/>
      <c r="K110" s="83"/>
      <c r="L110" s="35"/>
      <c r="M110" s="79"/>
      <c r="N110" s="35"/>
      <c r="O110" s="35"/>
      <c r="P110" s="61"/>
      <c r="Q110" s="35"/>
      <c r="R110" s="61"/>
      <c r="S110" s="35"/>
      <c r="T110" s="35"/>
      <c r="U110" s="35"/>
      <c r="V110" s="35"/>
      <c r="W110" s="129" t="s">
        <v>33</v>
      </c>
      <c r="X110" s="132">
        <v>45404</v>
      </c>
      <c r="Y110" s="232" t="s">
        <v>365</v>
      </c>
      <c r="Z110" s="67">
        <v>50</v>
      </c>
      <c r="AA110" s="138" t="s">
        <v>33</v>
      </c>
      <c r="AB110" s="29">
        <v>55</v>
      </c>
      <c r="AC110" s="28" t="s">
        <v>34</v>
      </c>
      <c r="AD110" s="55">
        <v>45411</v>
      </c>
      <c r="AE110" s="28" t="s">
        <v>33</v>
      </c>
      <c r="AF110" s="25"/>
      <c r="AG110" s="25"/>
      <c r="AH110" s="25"/>
      <c r="AI110" s="25"/>
      <c r="AJ110" s="116"/>
      <c r="AK110" s="25"/>
    </row>
    <row r="111" spans="1:37" s="26" customFormat="1" ht="117" hidden="1" customHeight="1">
      <c r="A111" s="25">
        <f t="shared" si="2"/>
        <v>105</v>
      </c>
      <c r="B111" s="224" t="s">
        <v>366</v>
      </c>
      <c r="C111" s="224"/>
      <c r="D111" s="217" t="s">
        <v>367</v>
      </c>
      <c r="E111" s="25" t="s">
        <v>53</v>
      </c>
      <c r="F111" s="24" t="s">
        <v>58</v>
      </c>
      <c r="G111" s="51">
        <v>85200000</v>
      </c>
      <c r="H111" s="51">
        <v>93720000</v>
      </c>
      <c r="I111" s="29"/>
      <c r="J111" s="29" t="s">
        <v>34</v>
      </c>
      <c r="K111" s="29" t="s">
        <v>33</v>
      </c>
      <c r="L111" s="68" t="s">
        <v>34</v>
      </c>
      <c r="M111" s="132">
        <v>45407</v>
      </c>
      <c r="N111" s="218"/>
      <c r="O111" s="29"/>
      <c r="P111" s="29"/>
      <c r="Q111" s="29"/>
      <c r="R111" s="29"/>
      <c r="S111" s="29"/>
      <c r="T111" s="29"/>
      <c r="U111" s="29"/>
      <c r="V111" s="132"/>
      <c r="W111" s="129"/>
      <c r="X111" s="132">
        <v>45420</v>
      </c>
      <c r="Y111" s="232" t="s">
        <v>368</v>
      </c>
      <c r="Z111" s="51">
        <v>85200000</v>
      </c>
      <c r="AA111" s="236" t="s">
        <v>33</v>
      </c>
      <c r="AB111" s="29"/>
      <c r="AC111" s="25"/>
      <c r="AD111" s="216"/>
      <c r="AE111" s="28"/>
      <c r="AF111" s="25"/>
      <c r="AG111" s="25"/>
      <c r="AH111" s="25"/>
      <c r="AI111" s="25"/>
      <c r="AJ111" s="116"/>
      <c r="AK111" s="25"/>
    </row>
    <row r="112" spans="1:37" s="26" customFormat="1" hidden="1">
      <c r="A112" s="25">
        <f t="shared" si="2"/>
        <v>106</v>
      </c>
      <c r="B112" s="224" t="s">
        <v>369</v>
      </c>
      <c r="C112" s="224"/>
      <c r="D112" s="217" t="s">
        <v>370</v>
      </c>
      <c r="E112" s="25" t="s">
        <v>53</v>
      </c>
      <c r="F112" s="24" t="s">
        <v>230</v>
      </c>
      <c r="G112" s="29"/>
      <c r="H112" s="212"/>
      <c r="I112" s="168"/>
      <c r="J112" s="168"/>
      <c r="K112" s="168"/>
      <c r="L112" s="198"/>
      <c r="M112" s="169"/>
      <c r="N112" s="211"/>
      <c r="O112" s="198"/>
      <c r="P112" s="169"/>
      <c r="Q112" s="168"/>
      <c r="R112" s="169"/>
      <c r="S112" s="168"/>
      <c r="T112" s="168"/>
      <c r="U112" s="168"/>
      <c r="V112" s="168"/>
      <c r="W112" s="32"/>
      <c r="X112" s="33">
        <v>45414</v>
      </c>
      <c r="Y112" s="216" t="s">
        <v>371</v>
      </c>
      <c r="Z112" s="51">
        <v>22000000</v>
      </c>
      <c r="AA112" s="236" t="s">
        <v>33</v>
      </c>
      <c r="AB112" s="51">
        <v>22000000</v>
      </c>
      <c r="AC112" s="31" t="s">
        <v>34</v>
      </c>
      <c r="AD112" s="33">
        <f ca="1">TODAY()</f>
        <v>46203</v>
      </c>
      <c r="AE112" s="25" t="s">
        <v>33</v>
      </c>
      <c r="AF112" s="25"/>
      <c r="AG112" s="25"/>
      <c r="AH112" s="31"/>
      <c r="AI112" s="25"/>
      <c r="AJ112" s="116"/>
      <c r="AK112" s="25"/>
    </row>
    <row r="113" spans="1:37" s="26" customFormat="1" ht="49.5" hidden="1" customHeight="1">
      <c r="A113" s="25">
        <f t="shared" si="2"/>
        <v>107</v>
      </c>
      <c r="B113" s="255" t="s">
        <v>372</v>
      </c>
      <c r="C113" s="289"/>
      <c r="D113" s="233" t="s">
        <v>373</v>
      </c>
      <c r="E113" s="25" t="s">
        <v>53</v>
      </c>
      <c r="F113" s="24" t="s">
        <v>107</v>
      </c>
      <c r="G113" s="51">
        <v>1180000</v>
      </c>
      <c r="H113" s="51">
        <v>1298000</v>
      </c>
      <c r="I113" s="211"/>
      <c r="J113" s="168"/>
      <c r="K113" s="168"/>
      <c r="L113" s="198"/>
      <c r="M113" s="169"/>
      <c r="N113" s="211"/>
      <c r="O113" s="198"/>
      <c r="P113" s="169"/>
      <c r="Q113" s="168"/>
      <c r="R113" s="169"/>
      <c r="S113" s="168"/>
      <c r="T113" s="168"/>
      <c r="U113" s="168"/>
      <c r="V113" s="168"/>
      <c r="W113" s="32"/>
      <c r="X113" s="55">
        <v>45421</v>
      </c>
      <c r="Y113" s="216" t="s">
        <v>374</v>
      </c>
      <c r="Z113" s="236" t="s">
        <v>375</v>
      </c>
      <c r="AA113" s="236" t="s">
        <v>33</v>
      </c>
      <c r="AB113" s="58">
        <v>1298000</v>
      </c>
      <c r="AC113" s="54" t="s">
        <v>34</v>
      </c>
      <c r="AD113" s="55">
        <v>45420</v>
      </c>
      <c r="AE113" s="25" t="s">
        <v>33</v>
      </c>
      <c r="AF113" s="25"/>
      <c r="AG113" s="25"/>
      <c r="AH113" s="31"/>
      <c r="AI113" s="25"/>
      <c r="AJ113" s="116"/>
      <c r="AK113" s="25"/>
    </row>
    <row r="114" spans="1:37" s="26" customFormat="1" ht="30.75" hidden="1">
      <c r="A114" s="25">
        <f t="shared" si="2"/>
        <v>108</v>
      </c>
      <c r="B114" s="225" t="s">
        <v>376</v>
      </c>
      <c r="C114" s="225"/>
      <c r="D114" s="233" t="s">
        <v>377</v>
      </c>
      <c r="E114" s="28" t="s">
        <v>53</v>
      </c>
      <c r="F114" s="27" t="s">
        <v>107</v>
      </c>
      <c r="G114" s="51">
        <v>590000</v>
      </c>
      <c r="H114" s="51">
        <v>649000</v>
      </c>
      <c r="I114" s="175"/>
      <c r="J114" s="64"/>
      <c r="K114" s="64"/>
      <c r="L114" s="174"/>
      <c r="M114" s="170"/>
      <c r="N114" s="175"/>
      <c r="O114" s="174"/>
      <c r="P114" s="170"/>
      <c r="Q114" s="64"/>
      <c r="R114" s="170"/>
      <c r="S114" s="64"/>
      <c r="T114" s="64"/>
      <c r="U114" s="64"/>
      <c r="V114" s="64"/>
      <c r="W114" s="53"/>
      <c r="X114" s="55">
        <v>45421</v>
      </c>
      <c r="Y114" s="55" t="s">
        <v>378</v>
      </c>
      <c r="Z114" s="258">
        <v>590000</v>
      </c>
      <c r="AA114" s="236" t="s">
        <v>33</v>
      </c>
      <c r="AB114" s="58">
        <v>649000</v>
      </c>
      <c r="AC114" s="28" t="s">
        <v>34</v>
      </c>
      <c r="AD114" s="55">
        <v>45420</v>
      </c>
      <c r="AE114" s="28" t="s">
        <v>33</v>
      </c>
      <c r="AF114" s="28"/>
      <c r="AG114" s="28"/>
      <c r="AH114" s="54"/>
      <c r="AI114" s="28"/>
      <c r="AJ114" s="128"/>
      <c r="AK114" s="28"/>
    </row>
    <row r="115" spans="1:37" s="26" customFormat="1" ht="114.75" hidden="1" customHeight="1">
      <c r="A115" s="25">
        <f t="shared" si="2"/>
        <v>109</v>
      </c>
      <c r="B115" s="224" t="s">
        <v>379</v>
      </c>
      <c r="C115" s="224"/>
      <c r="D115" s="217" t="s">
        <v>380</v>
      </c>
      <c r="E115" s="25" t="s">
        <v>53</v>
      </c>
      <c r="F115" s="27" t="s">
        <v>191</v>
      </c>
      <c r="G115" s="51">
        <v>11232000</v>
      </c>
      <c r="H115" s="51">
        <v>12355200</v>
      </c>
      <c r="I115" s="168"/>
      <c r="J115" s="168"/>
      <c r="K115" s="168"/>
      <c r="L115" s="168"/>
      <c r="M115" s="169"/>
      <c r="N115" s="168"/>
      <c r="O115" s="168"/>
      <c r="P115" s="169"/>
      <c r="Q115" s="168"/>
      <c r="R115" s="169"/>
      <c r="S115" s="168"/>
      <c r="T115" s="168"/>
      <c r="U115" s="168"/>
      <c r="V115" s="168"/>
      <c r="W115" s="25"/>
      <c r="X115" s="132">
        <v>45461</v>
      </c>
      <c r="Y115" s="132" t="s">
        <v>381</v>
      </c>
      <c r="Z115" s="132" t="s">
        <v>382</v>
      </c>
      <c r="AA115" s="236" t="s">
        <v>33</v>
      </c>
      <c r="AB115" s="29" t="s">
        <v>383</v>
      </c>
      <c r="AC115" s="25" t="s">
        <v>34</v>
      </c>
      <c r="AD115" s="33">
        <v>45441</v>
      </c>
      <c r="AE115" s="32" t="s">
        <v>33</v>
      </c>
      <c r="AF115" s="25" t="s">
        <v>33</v>
      </c>
      <c r="AG115" s="55">
        <v>45442</v>
      </c>
      <c r="AH115" s="25" t="s">
        <v>33</v>
      </c>
      <c r="AI115" s="25"/>
      <c r="AJ115" s="116"/>
      <c r="AK115" s="25"/>
    </row>
    <row r="116" spans="1:37" s="26" customFormat="1" ht="30.75" hidden="1">
      <c r="A116" s="25">
        <f t="shared" si="2"/>
        <v>110</v>
      </c>
      <c r="B116" s="25" t="s">
        <v>384</v>
      </c>
      <c r="C116" s="28"/>
      <c r="D116" s="233" t="s">
        <v>385</v>
      </c>
      <c r="E116" s="28" t="s">
        <v>31</v>
      </c>
      <c r="F116" s="27" t="s">
        <v>67</v>
      </c>
      <c r="G116" s="67">
        <v>50</v>
      </c>
      <c r="H116" s="67">
        <v>55</v>
      </c>
      <c r="I116" s="82"/>
      <c r="J116" s="82"/>
      <c r="K116" s="82"/>
      <c r="L116" s="80"/>
      <c r="M116" s="79"/>
      <c r="N116" s="80"/>
      <c r="O116" s="80"/>
      <c r="P116" s="79"/>
      <c r="Q116" s="80"/>
      <c r="R116" s="79"/>
      <c r="S116" s="80"/>
      <c r="T116" s="80"/>
      <c r="U116" s="80"/>
      <c r="V116" s="80"/>
      <c r="W116" s="129" t="s">
        <v>33</v>
      </c>
      <c r="X116" s="132">
        <v>45444</v>
      </c>
      <c r="Y116" s="132" t="s">
        <v>386</v>
      </c>
      <c r="Z116" s="67">
        <v>50</v>
      </c>
      <c r="AA116" s="129" t="s">
        <v>33</v>
      </c>
      <c r="AB116" s="67">
        <v>55</v>
      </c>
      <c r="AC116" s="25" t="s">
        <v>34</v>
      </c>
      <c r="AD116" s="33">
        <v>45441</v>
      </c>
      <c r="AE116" s="32" t="s">
        <v>33</v>
      </c>
      <c r="AF116" s="25" t="s">
        <v>33</v>
      </c>
      <c r="AG116" s="55">
        <v>45442</v>
      </c>
      <c r="AH116" s="25" t="s">
        <v>33</v>
      </c>
      <c r="AI116" s="25"/>
      <c r="AJ116" s="116"/>
      <c r="AK116" s="25"/>
    </row>
    <row r="117" spans="1:37" s="26" customFormat="1" ht="30.75" hidden="1">
      <c r="A117" s="25">
        <f t="shared" si="2"/>
        <v>111</v>
      </c>
      <c r="B117" s="25" t="s">
        <v>387</v>
      </c>
      <c r="C117" s="25"/>
      <c r="D117" s="217" t="s">
        <v>388</v>
      </c>
      <c r="E117" s="25" t="s">
        <v>31</v>
      </c>
      <c r="F117" s="24" t="s">
        <v>61</v>
      </c>
      <c r="G117" s="29">
        <v>2240</v>
      </c>
      <c r="H117" s="29">
        <v>2464</v>
      </c>
      <c r="I117" s="83"/>
      <c r="J117" s="83"/>
      <c r="K117" s="83"/>
      <c r="L117" s="35"/>
      <c r="M117" s="61"/>
      <c r="N117" s="35"/>
      <c r="O117" s="35"/>
      <c r="P117" s="61"/>
      <c r="Q117" s="35"/>
      <c r="R117" s="61"/>
      <c r="S117" s="35"/>
      <c r="T117" s="35"/>
      <c r="U117" s="35"/>
      <c r="V117" s="35"/>
      <c r="W117" s="129" t="s">
        <v>33</v>
      </c>
      <c r="X117" s="132">
        <v>45444</v>
      </c>
      <c r="Y117" s="132" t="s">
        <v>389</v>
      </c>
      <c r="Z117" s="67">
        <v>2240</v>
      </c>
      <c r="AA117" s="129" t="s">
        <v>33</v>
      </c>
      <c r="AB117" s="29">
        <v>2464</v>
      </c>
      <c r="AC117" s="25" t="s">
        <v>34</v>
      </c>
      <c r="AD117" s="33">
        <v>45441</v>
      </c>
      <c r="AE117" s="32" t="s">
        <v>33</v>
      </c>
      <c r="AF117" s="25" t="s">
        <v>33</v>
      </c>
      <c r="AG117" s="55">
        <v>45442</v>
      </c>
      <c r="AH117" s="25" t="s">
        <v>33</v>
      </c>
      <c r="AI117" s="25"/>
      <c r="AJ117" s="116"/>
      <c r="AK117" s="25"/>
    </row>
    <row r="118" spans="1:37" s="26" customFormat="1" ht="30.75" hidden="1">
      <c r="A118" s="25">
        <f t="shared" si="2"/>
        <v>112</v>
      </c>
      <c r="B118" s="25" t="s">
        <v>390</v>
      </c>
      <c r="C118" s="28"/>
      <c r="D118" s="233" t="s">
        <v>391</v>
      </c>
      <c r="E118" s="28" t="s">
        <v>31</v>
      </c>
      <c r="F118" s="27" t="s">
        <v>64</v>
      </c>
      <c r="G118" s="66">
        <v>70</v>
      </c>
      <c r="H118" s="67">
        <v>77</v>
      </c>
      <c r="I118" s="82"/>
      <c r="J118" s="82"/>
      <c r="K118" s="82"/>
      <c r="L118" s="80"/>
      <c r="M118" s="79"/>
      <c r="N118" s="80"/>
      <c r="O118" s="80"/>
      <c r="P118" s="79"/>
      <c r="Q118" s="80"/>
      <c r="R118" s="79"/>
      <c r="S118" s="80"/>
      <c r="T118" s="80"/>
      <c r="U118" s="80"/>
      <c r="V118" s="80"/>
      <c r="W118" s="129" t="s">
        <v>33</v>
      </c>
      <c r="X118" s="132">
        <v>45446</v>
      </c>
      <c r="Y118" s="132" t="s">
        <v>392</v>
      </c>
      <c r="Z118" s="67">
        <v>70</v>
      </c>
      <c r="AA118" s="129" t="s">
        <v>33</v>
      </c>
      <c r="AB118" s="67">
        <v>77</v>
      </c>
      <c r="AC118" s="25" t="s">
        <v>34</v>
      </c>
      <c r="AD118" s="55">
        <v>45441</v>
      </c>
      <c r="AE118" s="32" t="s">
        <v>33</v>
      </c>
      <c r="AF118" s="25" t="s">
        <v>33</v>
      </c>
      <c r="AG118" s="55">
        <v>45442</v>
      </c>
      <c r="AH118" s="25" t="s">
        <v>33</v>
      </c>
      <c r="AI118" s="25"/>
      <c r="AJ118" s="116"/>
      <c r="AK118" s="25"/>
    </row>
    <row r="119" spans="1:37" s="26" customFormat="1" ht="30.75" hidden="1">
      <c r="A119" s="25">
        <f t="shared" si="2"/>
        <v>113</v>
      </c>
      <c r="B119" s="28" t="s">
        <v>393</v>
      </c>
      <c r="C119" s="54"/>
      <c r="D119" s="267" t="s">
        <v>394</v>
      </c>
      <c r="E119" s="28" t="s">
        <v>31</v>
      </c>
      <c r="F119" s="268" t="s">
        <v>395</v>
      </c>
      <c r="G119" s="66">
        <v>300</v>
      </c>
      <c r="H119" s="67">
        <v>330</v>
      </c>
      <c r="I119" s="175"/>
      <c r="J119" s="64"/>
      <c r="K119" s="64"/>
      <c r="L119" s="64"/>
      <c r="M119" s="170"/>
      <c r="N119" s="64"/>
      <c r="O119" s="64"/>
      <c r="P119" s="170"/>
      <c r="Q119" s="64"/>
      <c r="R119" s="170"/>
      <c r="S119" s="64"/>
      <c r="T119" s="64"/>
      <c r="U119" s="64"/>
      <c r="V119" s="174"/>
      <c r="W119" s="138" t="s">
        <v>33</v>
      </c>
      <c r="X119" s="141">
        <v>45433</v>
      </c>
      <c r="Y119" s="141" t="s">
        <v>396</v>
      </c>
      <c r="Z119" s="67">
        <v>300</v>
      </c>
      <c r="AA119" s="138" t="s">
        <v>33</v>
      </c>
      <c r="AB119" s="67">
        <v>330</v>
      </c>
      <c r="AC119" s="28" t="s">
        <v>34</v>
      </c>
      <c r="AD119" s="55">
        <v>45441</v>
      </c>
      <c r="AE119" s="53" t="s">
        <v>33</v>
      </c>
      <c r="AF119" s="28" t="s">
        <v>33</v>
      </c>
      <c r="AG119" s="55">
        <v>45442</v>
      </c>
      <c r="AH119" s="28" t="s">
        <v>33</v>
      </c>
      <c r="AI119" s="28"/>
      <c r="AJ119" s="128"/>
      <c r="AK119" s="28"/>
    </row>
    <row r="120" spans="1:37" s="26" customFormat="1" ht="30.75" hidden="1">
      <c r="A120" s="54">
        <f t="shared" si="2"/>
        <v>114</v>
      </c>
      <c r="B120" s="224" t="s">
        <v>397</v>
      </c>
      <c r="C120" s="224"/>
      <c r="D120" s="217" t="s">
        <v>398</v>
      </c>
      <c r="E120" s="25" t="s">
        <v>53</v>
      </c>
      <c r="F120" s="24" t="s">
        <v>107</v>
      </c>
      <c r="G120" s="51">
        <v>590000</v>
      </c>
      <c r="H120" s="51">
        <v>649000</v>
      </c>
      <c r="I120" s="168"/>
      <c r="J120" s="168"/>
      <c r="K120" s="168"/>
      <c r="L120" s="168"/>
      <c r="M120" s="169"/>
      <c r="N120" s="168"/>
      <c r="O120" s="168"/>
      <c r="P120" s="169"/>
      <c r="Q120" s="168"/>
      <c r="R120" s="169"/>
      <c r="S120" s="168"/>
      <c r="T120" s="168"/>
      <c r="U120" s="168"/>
      <c r="V120" s="168"/>
      <c r="W120" s="129" t="s">
        <v>33</v>
      </c>
      <c r="X120" s="33">
        <v>45453</v>
      </c>
      <c r="Y120" s="33" t="s">
        <v>399</v>
      </c>
      <c r="Z120" s="265">
        <v>590000</v>
      </c>
      <c r="AA120" s="129" t="s">
        <v>33</v>
      </c>
      <c r="AB120" s="51">
        <v>649000</v>
      </c>
      <c r="AC120" s="25" t="s">
        <v>34</v>
      </c>
      <c r="AD120" s="33">
        <v>45420</v>
      </c>
      <c r="AE120" s="25" t="s">
        <v>33</v>
      </c>
      <c r="AF120" s="25" t="s">
        <v>33</v>
      </c>
      <c r="AG120" s="33">
        <v>45453</v>
      </c>
      <c r="AH120" s="25" t="s">
        <v>33</v>
      </c>
      <c r="AI120" s="25"/>
      <c r="AJ120" s="116"/>
      <c r="AK120" s="25"/>
    </row>
    <row r="121" spans="1:37" s="26" customFormat="1" ht="30.75" hidden="1">
      <c r="A121" s="31">
        <f t="shared" si="2"/>
        <v>115</v>
      </c>
      <c r="B121" s="224" t="s">
        <v>400</v>
      </c>
      <c r="C121" s="224"/>
      <c r="D121" s="217" t="s">
        <v>401</v>
      </c>
      <c r="E121" s="25" t="s">
        <v>53</v>
      </c>
      <c r="F121" s="24" t="s">
        <v>107</v>
      </c>
      <c r="G121" s="51">
        <v>590000</v>
      </c>
      <c r="H121" s="51">
        <v>649000</v>
      </c>
      <c r="I121" s="168"/>
      <c r="J121" s="168"/>
      <c r="K121" s="168"/>
      <c r="L121" s="168"/>
      <c r="M121" s="169"/>
      <c r="N121" s="168"/>
      <c r="O121" s="168"/>
      <c r="P121" s="169"/>
      <c r="Q121" s="168"/>
      <c r="R121" s="169"/>
      <c r="S121" s="168"/>
      <c r="T121" s="168"/>
      <c r="U121" s="168"/>
      <c r="V121" s="168"/>
      <c r="W121" s="129" t="s">
        <v>33</v>
      </c>
      <c r="X121" s="33">
        <v>45453</v>
      </c>
      <c r="Y121" s="33" t="s">
        <v>402</v>
      </c>
      <c r="Z121" s="265">
        <v>590000</v>
      </c>
      <c r="AA121" s="129" t="s">
        <v>33</v>
      </c>
      <c r="AB121" s="51">
        <v>649000</v>
      </c>
      <c r="AC121" s="25" t="s">
        <v>34</v>
      </c>
      <c r="AD121" s="33">
        <v>45420</v>
      </c>
      <c r="AE121" s="25" t="s">
        <v>33</v>
      </c>
      <c r="AF121" s="25" t="s">
        <v>33</v>
      </c>
      <c r="AG121" s="33">
        <v>45453</v>
      </c>
      <c r="AH121" s="25" t="s">
        <v>33</v>
      </c>
      <c r="AI121" s="25"/>
      <c r="AJ121" s="116"/>
      <c r="AK121" s="25"/>
    </row>
    <row r="122" spans="1:37" s="26" customFormat="1" ht="30.75" hidden="1">
      <c r="A122" s="31">
        <f t="shared" si="2"/>
        <v>116</v>
      </c>
      <c r="B122" s="129" t="s">
        <v>403</v>
      </c>
      <c r="C122" s="129"/>
      <c r="D122" s="24" t="s">
        <v>404</v>
      </c>
      <c r="E122" s="25" t="s">
        <v>53</v>
      </c>
      <c r="F122" s="24" t="s">
        <v>58</v>
      </c>
      <c r="G122" s="29"/>
      <c r="H122" s="51"/>
      <c r="I122" s="25"/>
      <c r="J122" s="25"/>
      <c r="K122" s="25"/>
      <c r="L122" s="25"/>
      <c r="M122" s="33"/>
      <c r="N122" s="25"/>
      <c r="O122" s="168"/>
      <c r="P122" s="169"/>
      <c r="Q122" s="168"/>
      <c r="R122" s="33"/>
      <c r="S122" s="25"/>
      <c r="T122" s="25" t="s">
        <v>33</v>
      </c>
      <c r="U122" s="33">
        <v>45434</v>
      </c>
      <c r="V122" s="25" t="s">
        <v>33</v>
      </c>
      <c r="W122" s="25"/>
      <c r="X122" s="33"/>
      <c r="Y122" s="33"/>
      <c r="Z122" s="33"/>
      <c r="AA122" s="25"/>
      <c r="AB122" s="51"/>
      <c r="AC122" s="25"/>
      <c r="AD122" s="33"/>
      <c r="AE122" s="25"/>
      <c r="AF122" s="25"/>
      <c r="AG122" s="33"/>
      <c r="AH122" s="25"/>
      <c r="AI122" s="25"/>
      <c r="AJ122" s="116"/>
      <c r="AK122" s="25"/>
    </row>
    <row r="123" spans="1:37" s="26" customFormat="1" ht="106.5" hidden="1">
      <c r="A123" s="31">
        <v>117</v>
      </c>
      <c r="B123" s="129" t="s">
        <v>405</v>
      </c>
      <c r="C123" s="129"/>
      <c r="D123" s="24" t="s">
        <v>406</v>
      </c>
      <c r="E123" s="25" t="s">
        <v>53</v>
      </c>
      <c r="F123" s="24" t="s">
        <v>58</v>
      </c>
      <c r="G123" s="51">
        <v>16400000</v>
      </c>
      <c r="H123" s="51">
        <v>18040000</v>
      </c>
      <c r="I123" s="25"/>
      <c r="J123" s="25"/>
      <c r="K123" s="25"/>
      <c r="L123" s="25" t="s">
        <v>34</v>
      </c>
      <c r="M123" s="33">
        <v>45462</v>
      </c>
      <c r="N123" s="25" t="s">
        <v>33</v>
      </c>
      <c r="O123" s="168"/>
      <c r="P123" s="169"/>
      <c r="Q123" s="168"/>
      <c r="R123" s="33"/>
      <c r="S123" s="25"/>
      <c r="T123" s="25"/>
      <c r="U123" s="33"/>
      <c r="V123" s="25"/>
      <c r="W123" s="25"/>
      <c r="X123" s="33"/>
      <c r="Y123" s="33"/>
      <c r="Z123" s="33"/>
      <c r="AA123" s="25"/>
      <c r="AB123" s="51"/>
      <c r="AC123" s="25"/>
      <c r="AD123" s="33"/>
      <c r="AE123" s="25"/>
      <c r="AF123" s="25"/>
      <c r="AG123" s="33"/>
      <c r="AH123" s="25"/>
      <c r="AI123" s="25"/>
      <c r="AJ123" s="116"/>
      <c r="AK123" s="25"/>
    </row>
    <row r="124" spans="1:37" s="26" customFormat="1" ht="60.75" hidden="1">
      <c r="A124" s="31">
        <v>118</v>
      </c>
      <c r="B124" s="129" t="s">
        <v>407</v>
      </c>
      <c r="C124" s="129"/>
      <c r="D124" s="24" t="s">
        <v>408</v>
      </c>
      <c r="E124" s="25" t="s">
        <v>53</v>
      </c>
      <c r="F124" s="24" t="s">
        <v>58</v>
      </c>
      <c r="G124" s="51"/>
      <c r="H124" s="51"/>
      <c r="I124" s="25"/>
      <c r="J124" s="25"/>
      <c r="K124" s="25"/>
      <c r="L124" s="24" t="s">
        <v>58</v>
      </c>
      <c r="M124" s="33"/>
      <c r="N124" s="25"/>
      <c r="O124" s="168"/>
      <c r="P124" s="169"/>
      <c r="Q124" s="168"/>
      <c r="R124" s="33"/>
      <c r="S124" s="25"/>
      <c r="T124" s="25"/>
      <c r="U124" s="33"/>
      <c r="V124" s="25"/>
      <c r="W124" s="25"/>
      <c r="X124" s="33"/>
      <c r="Y124" s="33"/>
      <c r="Z124" s="33"/>
      <c r="AA124" s="25"/>
      <c r="AB124" s="51"/>
      <c r="AC124" s="25"/>
      <c r="AD124" s="33"/>
      <c r="AE124" s="25"/>
      <c r="AF124" s="25"/>
      <c r="AG124" s="33"/>
      <c r="AH124" s="25"/>
      <c r="AI124" s="25"/>
      <c r="AJ124" s="116"/>
      <c r="AK124" s="25"/>
    </row>
    <row r="125" spans="1:37" s="26" customFormat="1" ht="45.75" hidden="1">
      <c r="A125" s="31">
        <v>118</v>
      </c>
      <c r="B125" s="129" t="s">
        <v>409</v>
      </c>
      <c r="C125" s="129"/>
      <c r="D125" s="24" t="s">
        <v>410</v>
      </c>
      <c r="E125" s="25" t="s">
        <v>31</v>
      </c>
      <c r="F125" s="24" t="s">
        <v>32</v>
      </c>
      <c r="G125" s="204">
        <v>1720</v>
      </c>
      <c r="H125" s="29">
        <v>1892</v>
      </c>
      <c r="I125" s="25" t="s">
        <v>33</v>
      </c>
      <c r="J125" s="25" t="s">
        <v>34</v>
      </c>
      <c r="K125" s="25" t="s">
        <v>33</v>
      </c>
      <c r="L125" s="25" t="s">
        <v>34</v>
      </c>
      <c r="M125" s="33">
        <v>45464</v>
      </c>
      <c r="N125" s="25"/>
      <c r="O125" s="25"/>
      <c r="P125" s="33"/>
      <c r="Q125" s="25"/>
      <c r="R125" s="33"/>
      <c r="S125" s="25"/>
      <c r="T125" s="25"/>
      <c r="U125" s="25"/>
      <c r="V125" s="25"/>
      <c r="W125" s="25"/>
      <c r="X125" s="33">
        <v>45491</v>
      </c>
      <c r="Y125" s="116" t="s">
        <v>411</v>
      </c>
      <c r="Z125" s="29">
        <v>1892</v>
      </c>
      <c r="AA125" s="25"/>
      <c r="AB125" s="29">
        <v>1892</v>
      </c>
      <c r="AC125" s="25" t="s">
        <v>34</v>
      </c>
      <c r="AD125" s="33">
        <v>45511</v>
      </c>
      <c r="AE125" s="25"/>
      <c r="AF125" s="25"/>
      <c r="AG125" s="25"/>
      <c r="AH125" s="25"/>
      <c r="AI125" s="25"/>
      <c r="AJ125" s="116"/>
      <c r="AK125" s="25"/>
    </row>
    <row r="126" spans="1:37" s="26" customFormat="1" ht="30.75">
      <c r="A126" s="31">
        <v>119</v>
      </c>
      <c r="B126" s="129" t="s">
        <v>412</v>
      </c>
      <c r="C126" s="129"/>
      <c r="D126" s="24" t="s">
        <v>413</v>
      </c>
      <c r="E126" s="25" t="s">
        <v>53</v>
      </c>
      <c r="F126" s="24" t="s">
        <v>414</v>
      </c>
      <c r="G126" s="204"/>
      <c r="H126" s="51">
        <v>6540000</v>
      </c>
      <c r="I126" s="168"/>
      <c r="J126" s="168"/>
      <c r="K126" s="168"/>
      <c r="L126" s="168"/>
      <c r="M126" s="169"/>
      <c r="N126" s="168"/>
      <c r="O126" s="168"/>
      <c r="P126" s="169"/>
      <c r="Q126" s="168"/>
      <c r="R126" s="169"/>
      <c r="S126" s="168"/>
      <c r="T126" s="168"/>
      <c r="U126" s="168"/>
      <c r="V126" s="168"/>
      <c r="W126" s="25"/>
      <c r="X126" s="33"/>
      <c r="Y126" s="33"/>
      <c r="Z126" s="33"/>
      <c r="AA126" s="25"/>
      <c r="AB126" s="29" t="s">
        <v>415</v>
      </c>
      <c r="AC126" s="25" t="s">
        <v>34</v>
      </c>
      <c r="AD126" s="33">
        <v>45470</v>
      </c>
      <c r="AE126" s="25" t="s">
        <v>33</v>
      </c>
      <c r="AF126" s="25"/>
      <c r="AG126" s="25"/>
      <c r="AH126" s="25"/>
      <c r="AI126" s="25"/>
      <c r="AJ126" s="116"/>
      <c r="AK126" s="25"/>
    </row>
    <row r="127" spans="1:37" s="26" customFormat="1" hidden="1">
      <c r="A127" s="31">
        <f t="shared" ref="A127:A133" si="3">A126+1</f>
        <v>120</v>
      </c>
      <c r="B127" s="224" t="s">
        <v>416</v>
      </c>
      <c r="C127" s="224"/>
      <c r="D127" s="130" t="s">
        <v>417</v>
      </c>
      <c r="E127" s="25" t="s">
        <v>53</v>
      </c>
      <c r="F127" s="24" t="s">
        <v>230</v>
      </c>
      <c r="G127" s="29"/>
      <c r="H127" s="51"/>
      <c r="I127" s="168"/>
      <c r="J127" s="168"/>
      <c r="K127" s="168"/>
      <c r="L127" s="168"/>
      <c r="M127" s="169"/>
      <c r="N127" s="168"/>
      <c r="O127" s="168"/>
      <c r="P127" s="169"/>
      <c r="Q127" s="168"/>
      <c r="R127" s="169"/>
      <c r="S127" s="168"/>
      <c r="T127" s="168"/>
      <c r="U127" s="168"/>
      <c r="V127" s="168"/>
      <c r="W127" s="25" t="s">
        <v>33</v>
      </c>
      <c r="X127" s="33">
        <v>45474</v>
      </c>
      <c r="Y127" s="33" t="s">
        <v>418</v>
      </c>
      <c r="Z127" s="262">
        <v>22000000</v>
      </c>
      <c r="AA127" s="262"/>
      <c r="AB127" s="51">
        <v>22000000</v>
      </c>
      <c r="AC127" s="25" t="s">
        <v>34</v>
      </c>
      <c r="AD127" s="33">
        <f ca="1">TODAY()</f>
        <v>46203</v>
      </c>
      <c r="AE127" s="25" t="s">
        <v>33</v>
      </c>
      <c r="AF127" s="25"/>
      <c r="AG127" s="25"/>
      <c r="AH127" s="25"/>
      <c r="AI127" s="25"/>
      <c r="AJ127" s="116"/>
      <c r="AK127" s="25"/>
    </row>
    <row r="128" spans="1:37" s="26" customFormat="1" ht="30.75" hidden="1">
      <c r="A128" s="31">
        <f t="shared" si="3"/>
        <v>121</v>
      </c>
      <c r="B128" s="129" t="s">
        <v>419</v>
      </c>
      <c r="C128" s="129"/>
      <c r="D128" s="24" t="s">
        <v>420</v>
      </c>
      <c r="E128" s="25" t="s">
        <v>31</v>
      </c>
      <c r="F128" s="24" t="s">
        <v>67</v>
      </c>
      <c r="G128" s="29">
        <v>50</v>
      </c>
      <c r="H128" s="29">
        <v>55</v>
      </c>
      <c r="I128" s="83"/>
      <c r="J128" s="83"/>
      <c r="K128" s="83"/>
      <c r="L128" s="35"/>
      <c r="M128" s="61"/>
      <c r="N128" s="35"/>
      <c r="O128" s="35"/>
      <c r="P128" s="61"/>
      <c r="Q128" s="35"/>
      <c r="R128" s="61"/>
      <c r="S128" s="35"/>
      <c r="T128" s="35"/>
      <c r="U128" s="35"/>
      <c r="V128" s="35"/>
      <c r="W128" s="132"/>
      <c r="X128" s="132"/>
      <c r="Y128" s="132"/>
      <c r="Z128" s="132"/>
      <c r="AA128" s="262"/>
      <c r="AB128" s="29">
        <v>55</v>
      </c>
      <c r="AC128" s="25" t="s">
        <v>34</v>
      </c>
      <c r="AD128" s="33">
        <v>45477</v>
      </c>
      <c r="AE128" s="25" t="s">
        <v>33</v>
      </c>
      <c r="AF128" s="25"/>
      <c r="AG128" s="25"/>
      <c r="AH128" s="25"/>
      <c r="AI128" s="25"/>
      <c r="AJ128" s="116"/>
      <c r="AK128" s="25"/>
    </row>
    <row r="129" spans="1:37" s="26" customFormat="1" ht="30.75" hidden="1">
      <c r="A129" s="31">
        <f t="shared" si="3"/>
        <v>122</v>
      </c>
      <c r="B129" s="129" t="s">
        <v>421</v>
      </c>
      <c r="C129" s="129"/>
      <c r="D129" s="24" t="s">
        <v>422</v>
      </c>
      <c r="E129" s="25" t="s">
        <v>31</v>
      </c>
      <c r="F129" s="24" t="s">
        <v>61</v>
      </c>
      <c r="G129" s="29">
        <v>2240</v>
      </c>
      <c r="H129" s="29">
        <v>2464</v>
      </c>
      <c r="I129" s="83"/>
      <c r="J129" s="83"/>
      <c r="K129" s="83"/>
      <c r="L129" s="35"/>
      <c r="M129" s="61"/>
      <c r="N129" s="35"/>
      <c r="O129" s="35"/>
      <c r="P129" s="61"/>
      <c r="Q129" s="35"/>
      <c r="R129" s="61"/>
      <c r="S129" s="35"/>
      <c r="T129" s="35"/>
      <c r="U129" s="35"/>
      <c r="V129" s="35"/>
      <c r="W129" s="25"/>
      <c r="X129" s="132"/>
      <c r="Y129" s="132"/>
      <c r="Z129" s="132"/>
      <c r="AA129" s="262"/>
      <c r="AB129" s="29">
        <v>2464</v>
      </c>
      <c r="AC129" s="25" t="s">
        <v>34</v>
      </c>
      <c r="AD129" s="33">
        <v>45477</v>
      </c>
      <c r="AE129" s="25" t="s">
        <v>33</v>
      </c>
      <c r="AF129" s="25"/>
      <c r="AG129" s="25"/>
      <c r="AH129" s="25"/>
      <c r="AI129" s="25"/>
      <c r="AJ129" s="116"/>
      <c r="AK129" s="25"/>
    </row>
    <row r="130" spans="1:37" s="26" customFormat="1" ht="30.75" hidden="1">
      <c r="A130" s="31">
        <f t="shared" si="3"/>
        <v>123</v>
      </c>
      <c r="B130" s="129" t="s">
        <v>423</v>
      </c>
      <c r="C130" s="129"/>
      <c r="D130" s="24" t="s">
        <v>424</v>
      </c>
      <c r="E130" s="25" t="s">
        <v>31</v>
      </c>
      <c r="F130" s="24" t="s">
        <v>64</v>
      </c>
      <c r="G130" s="204">
        <v>70</v>
      </c>
      <c r="H130" s="29">
        <v>77</v>
      </c>
      <c r="I130" s="83"/>
      <c r="J130" s="83"/>
      <c r="K130" s="83"/>
      <c r="L130" s="35"/>
      <c r="M130" s="61"/>
      <c r="N130" s="35"/>
      <c r="O130" s="35"/>
      <c r="P130" s="61"/>
      <c r="Q130" s="35"/>
      <c r="R130" s="61"/>
      <c r="S130" s="35"/>
      <c r="T130" s="35"/>
      <c r="U130" s="35"/>
      <c r="V130" s="35"/>
      <c r="W130" s="132"/>
      <c r="X130" s="132"/>
      <c r="Y130" s="132"/>
      <c r="Z130" s="132"/>
      <c r="AA130" s="262"/>
      <c r="AB130" s="29">
        <v>77</v>
      </c>
      <c r="AC130" s="25" t="s">
        <v>34</v>
      </c>
      <c r="AD130" s="33">
        <v>45477</v>
      </c>
      <c r="AE130" s="25" t="s">
        <v>33</v>
      </c>
      <c r="AF130" s="25"/>
      <c r="AG130" s="25"/>
      <c r="AH130" s="25"/>
      <c r="AI130" s="25"/>
      <c r="AJ130" s="116"/>
      <c r="AK130" s="25"/>
    </row>
    <row r="131" spans="1:37" s="26" customFormat="1" hidden="1">
      <c r="A131" s="54">
        <f t="shared" si="3"/>
        <v>124</v>
      </c>
      <c r="B131" s="129" t="s">
        <v>425</v>
      </c>
      <c r="C131" s="129"/>
      <c r="D131" s="24" t="s">
        <v>426</v>
      </c>
      <c r="E131" s="25" t="s">
        <v>53</v>
      </c>
      <c r="F131" s="24" t="s">
        <v>427</v>
      </c>
      <c r="G131" s="51">
        <v>250000</v>
      </c>
      <c r="H131" s="51">
        <v>275000</v>
      </c>
      <c r="I131" s="266"/>
      <c r="J131" s="266" t="s">
        <v>34</v>
      </c>
      <c r="K131" s="25" t="s">
        <v>33</v>
      </c>
      <c r="L131" s="129" t="s">
        <v>34</v>
      </c>
      <c r="M131" s="132">
        <v>45481</v>
      </c>
      <c r="N131" s="25" t="s">
        <v>33</v>
      </c>
      <c r="O131" s="129"/>
      <c r="P131" s="132"/>
      <c r="Q131" s="129"/>
      <c r="R131" s="61"/>
      <c r="S131" s="35"/>
      <c r="T131" s="35"/>
      <c r="U131" s="35"/>
      <c r="V131" s="35"/>
      <c r="W131" s="132"/>
      <c r="X131" s="132"/>
      <c r="Y131" s="132"/>
      <c r="Z131" s="132"/>
      <c r="AA131" s="262"/>
      <c r="AB131" s="29"/>
      <c r="AC131" s="25"/>
      <c r="AD131" s="33"/>
      <c r="AE131" s="25"/>
      <c r="AF131" s="25"/>
      <c r="AG131" s="25"/>
      <c r="AH131" s="25"/>
      <c r="AI131" s="25"/>
      <c r="AJ131" s="116"/>
      <c r="AK131" s="25"/>
    </row>
    <row r="132" spans="1:37" s="26" customFormat="1" ht="45.75" hidden="1" customHeight="1">
      <c r="A132" s="54">
        <f t="shared" si="3"/>
        <v>125</v>
      </c>
      <c r="B132" s="129" t="s">
        <v>428</v>
      </c>
      <c r="C132" s="129"/>
      <c r="D132" s="24" t="s">
        <v>429</v>
      </c>
      <c r="E132" s="25" t="s">
        <v>31</v>
      </c>
      <c r="F132" s="24" t="s">
        <v>32</v>
      </c>
      <c r="G132" s="29">
        <v>3806</v>
      </c>
      <c r="H132" s="29">
        <v>4186.6000000000004</v>
      </c>
      <c r="I132" s="25" t="s">
        <v>33</v>
      </c>
      <c r="J132" s="25" t="s">
        <v>34</v>
      </c>
      <c r="K132" s="25" t="s">
        <v>33</v>
      </c>
      <c r="L132" s="25" t="s">
        <v>34</v>
      </c>
      <c r="M132" s="132">
        <v>45481</v>
      </c>
      <c r="N132" s="25" t="s">
        <v>33</v>
      </c>
      <c r="O132" s="25"/>
      <c r="P132" s="33"/>
      <c r="Q132" s="25"/>
      <c r="R132" s="33"/>
      <c r="S132" s="25"/>
      <c r="T132" s="25"/>
      <c r="U132" s="25"/>
      <c r="V132" s="25"/>
      <c r="W132" s="25"/>
      <c r="X132" s="33"/>
      <c r="Y132" s="33"/>
      <c r="Z132" s="33"/>
      <c r="AA132" s="25"/>
      <c r="AB132" s="29"/>
      <c r="AC132" s="25"/>
      <c r="AD132" s="33"/>
      <c r="AE132" s="25"/>
      <c r="AF132" s="25"/>
      <c r="AG132" s="25"/>
      <c r="AH132" s="25"/>
      <c r="AI132" s="25"/>
      <c r="AJ132" s="116"/>
      <c r="AK132" s="25"/>
    </row>
    <row r="133" spans="1:37" s="26" customFormat="1" ht="45.75" hidden="1" customHeight="1">
      <c r="A133" s="54">
        <f t="shared" si="3"/>
        <v>126</v>
      </c>
      <c r="B133" s="129" t="s">
        <v>430</v>
      </c>
      <c r="C133" s="129"/>
      <c r="D133" s="24" t="s">
        <v>431</v>
      </c>
      <c r="E133" s="25" t="s">
        <v>31</v>
      </c>
      <c r="F133" s="24" t="s">
        <v>47</v>
      </c>
      <c r="G133" s="29">
        <v>2750</v>
      </c>
      <c r="H133" s="29">
        <v>3025</v>
      </c>
      <c r="I133" s="25" t="s">
        <v>33</v>
      </c>
      <c r="J133" s="25" t="s">
        <v>34</v>
      </c>
      <c r="K133" s="25" t="s">
        <v>33</v>
      </c>
      <c r="L133" s="25" t="s">
        <v>34</v>
      </c>
      <c r="M133" s="132">
        <v>45481</v>
      </c>
      <c r="N133" s="25" t="s">
        <v>33</v>
      </c>
      <c r="O133" s="25"/>
      <c r="P133" s="33"/>
      <c r="Q133" s="25"/>
      <c r="R133" s="33"/>
      <c r="S133" s="25"/>
      <c r="T133" s="25"/>
      <c r="U133" s="25"/>
      <c r="V133" s="25"/>
      <c r="W133" s="25"/>
      <c r="X133" s="33"/>
      <c r="Y133" s="33"/>
      <c r="Z133" s="33"/>
      <c r="AA133" s="25"/>
      <c r="AB133" s="29"/>
      <c r="AC133" s="25"/>
      <c r="AD133" s="33"/>
      <c r="AE133" s="25"/>
      <c r="AF133" s="25"/>
      <c r="AG133" s="25"/>
      <c r="AH133" s="25"/>
      <c r="AI133" s="25"/>
      <c r="AJ133" s="116"/>
      <c r="AK133" s="25"/>
    </row>
    <row r="134" spans="1:37" s="26" customFormat="1" ht="45.75" customHeight="1">
      <c r="A134" s="320">
        <f>A133+1</f>
        <v>127</v>
      </c>
      <c r="B134" s="319" t="s">
        <v>432</v>
      </c>
      <c r="C134" s="129"/>
      <c r="D134" s="217" t="s">
        <v>433</v>
      </c>
      <c r="E134" s="321" t="s">
        <v>53</v>
      </c>
      <c r="F134" s="322" t="s">
        <v>267</v>
      </c>
      <c r="G134" s="51">
        <v>196700000</v>
      </c>
      <c r="H134" s="51">
        <v>216370000</v>
      </c>
      <c r="I134" s="25" t="s">
        <v>33</v>
      </c>
      <c r="J134" s="25"/>
      <c r="K134" s="25"/>
      <c r="L134" s="25"/>
      <c r="M134" s="132"/>
      <c r="N134" s="25"/>
      <c r="O134" s="25"/>
      <c r="P134" s="33"/>
      <c r="Q134" s="25"/>
      <c r="R134" s="33"/>
      <c r="S134" s="25"/>
      <c r="T134" s="25"/>
      <c r="U134" s="25"/>
      <c r="V134" s="25"/>
      <c r="W134" s="25"/>
      <c r="X134" s="33"/>
      <c r="Y134" s="33"/>
      <c r="Z134" s="33"/>
      <c r="AA134" s="25"/>
      <c r="AB134" s="29"/>
      <c r="AC134" s="25"/>
      <c r="AD134" s="33"/>
      <c r="AE134" s="25"/>
      <c r="AF134" s="25"/>
      <c r="AG134" s="25"/>
      <c r="AH134" s="25"/>
      <c r="AI134" s="25"/>
      <c r="AJ134" s="116"/>
      <c r="AK134" s="25"/>
    </row>
    <row r="135" spans="1:37" s="26" customFormat="1" ht="45.75" hidden="1" customHeight="1">
      <c r="A135" s="320"/>
      <c r="B135" s="319"/>
      <c r="C135" s="129"/>
      <c r="D135" s="217" t="s">
        <v>434</v>
      </c>
      <c r="E135" s="321"/>
      <c r="F135" s="322"/>
      <c r="G135" s="29"/>
      <c r="H135" s="51">
        <v>64911000</v>
      </c>
      <c r="I135" s="25"/>
      <c r="J135" s="25"/>
      <c r="K135" s="25"/>
      <c r="L135" s="25"/>
      <c r="M135" s="132"/>
      <c r="N135" s="25"/>
      <c r="O135" s="25"/>
      <c r="P135" s="33"/>
      <c r="Q135" s="25"/>
      <c r="R135" s="33"/>
      <c r="S135" s="25"/>
      <c r="T135" s="25"/>
      <c r="U135" s="25"/>
      <c r="V135" s="25"/>
      <c r="W135" s="25"/>
      <c r="X135" s="33"/>
      <c r="Y135" s="33"/>
      <c r="Z135" s="33"/>
      <c r="AA135" s="25"/>
      <c r="AB135" s="265">
        <v>64911000</v>
      </c>
      <c r="AC135" s="25" t="s">
        <v>34</v>
      </c>
      <c r="AD135" s="33">
        <v>45516</v>
      </c>
      <c r="AE135" s="25" t="s">
        <v>33</v>
      </c>
      <c r="AF135" s="25"/>
      <c r="AG135" s="25"/>
      <c r="AH135" s="25"/>
      <c r="AI135" s="25"/>
      <c r="AJ135" s="116"/>
      <c r="AK135" s="25"/>
    </row>
    <row r="136" spans="1:37" s="26" customFormat="1" ht="45.75" hidden="1" customHeight="1">
      <c r="A136" s="320"/>
      <c r="B136" s="319"/>
      <c r="C136" s="129"/>
      <c r="D136" s="217" t="s">
        <v>435</v>
      </c>
      <c r="E136" s="321"/>
      <c r="F136" s="322"/>
      <c r="G136" s="29"/>
      <c r="H136" s="51">
        <v>151459000</v>
      </c>
      <c r="I136" s="25"/>
      <c r="J136" s="25"/>
      <c r="K136" s="25"/>
      <c r="L136" s="25"/>
      <c r="M136" s="132"/>
      <c r="N136" s="25"/>
      <c r="O136" s="25"/>
      <c r="P136" s="33"/>
      <c r="Q136" s="25"/>
      <c r="R136" s="33"/>
      <c r="S136" s="25"/>
      <c r="T136" s="25"/>
      <c r="U136" s="25"/>
      <c r="V136" s="25"/>
      <c r="W136" s="25"/>
      <c r="X136" s="33"/>
      <c r="Y136" s="33"/>
      <c r="Z136" s="33"/>
      <c r="AA136" s="25"/>
      <c r="AB136" s="29"/>
      <c r="AC136" s="25"/>
      <c r="AD136" s="33"/>
      <c r="AE136" s="25"/>
      <c r="AF136" s="25"/>
      <c r="AG136" s="25"/>
      <c r="AH136" s="25"/>
      <c r="AI136" s="25"/>
      <c r="AJ136" s="116"/>
      <c r="AK136" s="25"/>
    </row>
    <row r="137" spans="1:37" s="26" customFormat="1" ht="45.75" hidden="1" customHeight="1">
      <c r="A137" s="31">
        <f>A134+1</f>
        <v>128</v>
      </c>
      <c r="B137" s="129" t="s">
        <v>436</v>
      </c>
      <c r="C137" s="129"/>
      <c r="D137" s="217" t="s">
        <v>437</v>
      </c>
      <c r="E137" s="25" t="s">
        <v>31</v>
      </c>
      <c r="F137" s="24" t="s">
        <v>438</v>
      </c>
      <c r="G137" s="29">
        <v>1625</v>
      </c>
      <c r="H137" s="29">
        <v>1787.5</v>
      </c>
      <c r="I137" s="25" t="s">
        <v>33</v>
      </c>
      <c r="J137" s="25" t="s">
        <v>34</v>
      </c>
      <c r="K137" s="25" t="s">
        <v>33</v>
      </c>
      <c r="L137" s="25" t="s">
        <v>34</v>
      </c>
      <c r="M137" s="132">
        <v>45488</v>
      </c>
      <c r="N137" s="25" t="s">
        <v>75</v>
      </c>
      <c r="O137" s="25"/>
      <c r="P137" s="33"/>
      <c r="Q137" s="25"/>
      <c r="R137" s="33"/>
      <c r="S137" s="25"/>
      <c r="T137" s="25"/>
      <c r="U137" s="25"/>
      <c r="V137" s="25"/>
      <c r="W137" s="25" t="s">
        <v>33</v>
      </c>
      <c r="X137" s="33">
        <v>45495</v>
      </c>
      <c r="Y137" s="33" t="s">
        <v>439</v>
      </c>
      <c r="Z137" s="29">
        <v>1625</v>
      </c>
      <c r="AA137" s="25" t="s">
        <v>33</v>
      </c>
      <c r="AB137" s="29">
        <v>1787.5</v>
      </c>
      <c r="AC137" s="25" t="s">
        <v>34</v>
      </c>
      <c r="AD137" s="33" t="s">
        <v>440</v>
      </c>
      <c r="AE137" s="25" t="s">
        <v>75</v>
      </c>
      <c r="AF137" s="25"/>
      <c r="AG137" s="25"/>
      <c r="AH137" s="25"/>
      <c r="AI137" s="25"/>
      <c r="AJ137" s="116"/>
      <c r="AK137" s="25"/>
    </row>
    <row r="138" spans="1:37" s="26" customFormat="1" ht="45.75" hidden="1" customHeight="1">
      <c r="A138" s="31">
        <f>A137+1</f>
        <v>129</v>
      </c>
      <c r="B138" s="129" t="s">
        <v>441</v>
      </c>
      <c r="C138" s="129"/>
      <c r="D138" s="130" t="s">
        <v>442</v>
      </c>
      <c r="E138" s="25" t="s">
        <v>53</v>
      </c>
      <c r="F138" s="24" t="s">
        <v>305</v>
      </c>
      <c r="G138" s="29"/>
      <c r="H138" s="29"/>
      <c r="I138" s="25"/>
      <c r="J138" s="25"/>
      <c r="K138" s="25"/>
      <c r="L138" s="25"/>
      <c r="M138" s="132"/>
      <c r="N138" s="25"/>
      <c r="O138" s="25"/>
      <c r="P138" s="33"/>
      <c r="Q138" s="25"/>
      <c r="R138" s="33"/>
      <c r="S138" s="25"/>
      <c r="T138" s="25"/>
      <c r="U138" s="25"/>
      <c r="V138" s="25"/>
      <c r="W138" s="25"/>
      <c r="X138" s="33"/>
      <c r="Y138" s="33"/>
      <c r="Z138" s="33"/>
      <c r="AA138" s="25"/>
      <c r="AB138" s="51">
        <v>2409000</v>
      </c>
      <c r="AC138" s="25" t="s">
        <v>34</v>
      </c>
      <c r="AD138" s="33">
        <v>45489</v>
      </c>
      <c r="AE138" s="25"/>
      <c r="AF138" s="25"/>
      <c r="AG138" s="25"/>
      <c r="AH138" s="25"/>
      <c r="AI138" s="25"/>
      <c r="AJ138" s="116"/>
      <c r="AK138" s="25"/>
    </row>
    <row r="139" spans="1:37" s="26" customFormat="1" ht="45.75" hidden="1" customHeight="1">
      <c r="A139" s="31">
        <f>A138+1</f>
        <v>130</v>
      </c>
      <c r="B139" s="129" t="s">
        <v>443</v>
      </c>
      <c r="C139" s="129"/>
      <c r="D139" s="130" t="s">
        <v>442</v>
      </c>
      <c r="E139" s="25" t="s">
        <v>53</v>
      </c>
      <c r="F139" s="24" t="s">
        <v>195</v>
      </c>
      <c r="G139" s="29"/>
      <c r="H139" s="29"/>
      <c r="I139" s="25"/>
      <c r="J139" s="25"/>
      <c r="K139" s="25"/>
      <c r="L139" s="25"/>
      <c r="M139" s="132"/>
      <c r="N139" s="25"/>
      <c r="O139" s="25"/>
      <c r="P139" s="33"/>
      <c r="Q139" s="25"/>
      <c r="R139" s="33"/>
      <c r="S139" s="25"/>
      <c r="T139" s="25"/>
      <c r="U139" s="25"/>
      <c r="V139" s="25"/>
      <c r="W139" s="25"/>
      <c r="X139" s="33"/>
      <c r="Y139" s="33"/>
      <c r="Z139" s="33"/>
      <c r="AA139" s="25"/>
      <c r="AB139" s="51">
        <v>5709000</v>
      </c>
      <c r="AC139" s="25" t="s">
        <v>34</v>
      </c>
      <c r="AD139" s="33">
        <v>45489</v>
      </c>
      <c r="AE139" s="25"/>
      <c r="AF139" s="25"/>
      <c r="AG139" s="25"/>
      <c r="AH139" s="25"/>
      <c r="AI139" s="25"/>
      <c r="AJ139" s="116"/>
      <c r="AK139" s="25"/>
    </row>
    <row r="140" spans="1:37" s="26" customFormat="1" ht="45.75" hidden="1" customHeight="1">
      <c r="A140" s="31">
        <f>A139+1</f>
        <v>131</v>
      </c>
      <c r="B140" s="129" t="s">
        <v>444</v>
      </c>
      <c r="C140" s="129"/>
      <c r="D140" s="217" t="s">
        <v>445</v>
      </c>
      <c r="E140" s="25" t="s">
        <v>53</v>
      </c>
      <c r="F140" s="24" t="s">
        <v>230</v>
      </c>
      <c r="G140" s="29"/>
      <c r="H140" s="51"/>
      <c r="I140" s="168"/>
      <c r="J140" s="168"/>
      <c r="K140" s="168"/>
      <c r="L140" s="168"/>
      <c r="M140" s="169"/>
      <c r="N140" s="168"/>
      <c r="O140" s="168"/>
      <c r="P140" s="169"/>
      <c r="Q140" s="168"/>
      <c r="R140" s="169"/>
      <c r="S140" s="168"/>
      <c r="T140" s="168"/>
      <c r="U140" s="168"/>
      <c r="V140" s="168"/>
      <c r="W140" s="25" t="s">
        <v>33</v>
      </c>
      <c r="X140" s="33">
        <v>45446</v>
      </c>
      <c r="Y140" s="33" t="s">
        <v>446</v>
      </c>
      <c r="Z140" s="262">
        <v>22000000</v>
      </c>
      <c r="AA140" s="262"/>
      <c r="AB140" s="51">
        <v>22000000</v>
      </c>
      <c r="AC140" s="25" t="s">
        <v>34</v>
      </c>
      <c r="AD140" s="33">
        <f ca="1">TODAY()</f>
        <v>46203</v>
      </c>
      <c r="AE140" s="25"/>
      <c r="AF140" s="25"/>
      <c r="AG140" s="25"/>
      <c r="AH140" s="25"/>
      <c r="AI140" s="25"/>
      <c r="AJ140" s="116"/>
      <c r="AK140" s="25"/>
    </row>
    <row r="141" spans="1:37" s="26" customFormat="1" ht="45.75" hidden="1" customHeight="1">
      <c r="A141" s="31">
        <f>A140+1</f>
        <v>132</v>
      </c>
      <c r="B141" s="129" t="s">
        <v>447</v>
      </c>
      <c r="C141" s="129"/>
      <c r="D141" s="130" t="s">
        <v>448</v>
      </c>
      <c r="E141" s="25" t="s">
        <v>53</v>
      </c>
      <c r="F141" s="24" t="s">
        <v>107</v>
      </c>
      <c r="G141" s="29"/>
      <c r="H141" s="51"/>
      <c r="I141" s="168"/>
      <c r="J141" s="168"/>
      <c r="K141" s="168"/>
      <c r="L141" s="168"/>
      <c r="M141" s="169"/>
      <c r="N141" s="168"/>
      <c r="O141" s="168"/>
      <c r="P141" s="169"/>
      <c r="Q141" s="168"/>
      <c r="R141" s="169"/>
      <c r="S141" s="168"/>
      <c r="T141" s="168"/>
      <c r="U141" s="168"/>
      <c r="V141" s="168"/>
      <c r="W141" s="25"/>
      <c r="X141" s="33"/>
      <c r="Y141" s="33"/>
      <c r="Z141" s="262"/>
      <c r="AA141" s="262"/>
      <c r="AB141" s="51">
        <v>7920000</v>
      </c>
      <c r="AC141" s="25" t="s">
        <v>34</v>
      </c>
      <c r="AD141" s="33">
        <f ca="1">TODAY()</f>
        <v>46203</v>
      </c>
      <c r="AE141" s="25"/>
      <c r="AF141" s="25"/>
      <c r="AG141" s="25"/>
      <c r="AH141" s="25"/>
      <c r="AI141" s="25"/>
      <c r="AJ141" s="116"/>
      <c r="AK141" s="25"/>
    </row>
    <row r="142" spans="1:37" s="26" customFormat="1" ht="72" hidden="1" customHeight="1">
      <c r="A142" s="31">
        <f>A141+1</f>
        <v>133</v>
      </c>
      <c r="B142" s="129" t="s">
        <v>449</v>
      </c>
      <c r="C142" s="129"/>
      <c r="D142" s="130" t="s">
        <v>450</v>
      </c>
      <c r="E142" s="25" t="s">
        <v>53</v>
      </c>
      <c r="F142" s="24" t="s">
        <v>107</v>
      </c>
      <c r="G142" s="29"/>
      <c r="H142" s="51"/>
      <c r="I142" s="168"/>
      <c r="J142" s="168"/>
      <c r="K142" s="168"/>
      <c r="L142" s="168"/>
      <c r="M142" s="169"/>
      <c r="N142" s="168"/>
      <c r="O142" s="168"/>
      <c r="P142" s="169"/>
      <c r="Q142" s="168"/>
      <c r="R142" s="169"/>
      <c r="S142" s="168"/>
      <c r="T142" s="168"/>
      <c r="U142" s="168"/>
      <c r="V142" s="168"/>
      <c r="W142" s="25"/>
      <c r="X142" s="33"/>
      <c r="Y142" s="33"/>
      <c r="Z142" s="262" t="s">
        <v>451</v>
      </c>
      <c r="AA142" s="262"/>
      <c r="AB142" s="51">
        <v>1298000</v>
      </c>
      <c r="AC142" s="25" t="s">
        <v>34</v>
      </c>
      <c r="AD142" s="33">
        <f ca="1">TODAY()</f>
        <v>46203</v>
      </c>
      <c r="AE142" s="25" t="s">
        <v>33</v>
      </c>
      <c r="AF142" s="25"/>
      <c r="AG142" s="25"/>
      <c r="AH142" s="25"/>
      <c r="AI142" s="25"/>
      <c r="AJ142" s="116"/>
      <c r="AK142" s="25"/>
    </row>
    <row r="143" spans="1:37" s="26" customFormat="1" ht="45.75" hidden="1" customHeight="1">
      <c r="A143" s="31">
        <f>A142+1</f>
        <v>134</v>
      </c>
      <c r="B143" s="129" t="s">
        <v>452</v>
      </c>
      <c r="C143" s="129"/>
      <c r="D143" s="130" t="s">
        <v>453</v>
      </c>
      <c r="E143" s="25" t="s">
        <v>53</v>
      </c>
      <c r="F143" s="24" t="s">
        <v>107</v>
      </c>
      <c r="G143" s="29"/>
      <c r="H143" s="51"/>
      <c r="I143" s="168"/>
      <c r="J143" s="168"/>
      <c r="K143" s="168"/>
      <c r="L143" s="168"/>
      <c r="M143" s="169"/>
      <c r="N143" s="168"/>
      <c r="O143" s="168"/>
      <c r="P143" s="169"/>
      <c r="Q143" s="168"/>
      <c r="R143" s="169"/>
      <c r="S143" s="168"/>
      <c r="T143" s="168"/>
      <c r="U143" s="168"/>
      <c r="V143" s="168"/>
      <c r="W143" s="25"/>
      <c r="X143" s="33"/>
      <c r="Y143" s="33"/>
      <c r="Z143" s="262"/>
      <c r="AA143" s="262"/>
      <c r="AB143" s="51">
        <v>1298000</v>
      </c>
      <c r="AC143" s="25" t="s">
        <v>34</v>
      </c>
      <c r="AD143" s="33">
        <f ca="1">TODAY()</f>
        <v>46203</v>
      </c>
      <c r="AE143" s="25"/>
      <c r="AF143" s="25"/>
      <c r="AG143" s="25"/>
      <c r="AH143" s="25"/>
      <c r="AI143" s="25"/>
      <c r="AJ143" s="116"/>
      <c r="AK143" s="25"/>
    </row>
    <row r="144" spans="1:37" s="26" customFormat="1" ht="45.75" hidden="1" customHeight="1">
      <c r="A144" s="31">
        <f>A143+1</f>
        <v>135</v>
      </c>
      <c r="B144" s="129" t="s">
        <v>454</v>
      </c>
      <c r="C144" s="129"/>
      <c r="D144" s="130" t="s">
        <v>455</v>
      </c>
      <c r="E144" s="25" t="s">
        <v>53</v>
      </c>
      <c r="F144" s="24" t="s">
        <v>191</v>
      </c>
      <c r="G144" s="29"/>
      <c r="H144" s="51"/>
      <c r="I144" s="168"/>
      <c r="J144" s="168"/>
      <c r="K144" s="168"/>
      <c r="L144" s="168"/>
      <c r="M144" s="169"/>
      <c r="N144" s="168"/>
      <c r="O144" s="168"/>
      <c r="P144" s="169"/>
      <c r="Q144" s="168"/>
      <c r="R144" s="169"/>
      <c r="S144" s="168"/>
      <c r="T144" s="168"/>
      <c r="U144" s="168"/>
      <c r="V144" s="168"/>
      <c r="W144" s="25"/>
      <c r="X144" s="33"/>
      <c r="Y144" s="33"/>
      <c r="Z144" s="262"/>
      <c r="AA144" s="262"/>
      <c r="AB144" s="51">
        <v>158969</v>
      </c>
      <c r="AC144" s="25" t="s">
        <v>34</v>
      </c>
      <c r="AD144" s="33">
        <f ca="1">TODAY()</f>
        <v>46203</v>
      </c>
      <c r="AE144" s="25" t="s">
        <v>33</v>
      </c>
      <c r="AF144" s="25"/>
      <c r="AG144" s="25"/>
      <c r="AH144" s="25"/>
      <c r="AI144" s="25"/>
      <c r="AJ144" s="116"/>
      <c r="AK144" s="25"/>
    </row>
    <row r="145" spans="1:37" s="26" customFormat="1" ht="45.75" hidden="1" customHeight="1">
      <c r="A145" s="31">
        <f>A144+1</f>
        <v>136</v>
      </c>
      <c r="B145" s="129" t="s">
        <v>456</v>
      </c>
      <c r="C145" s="129"/>
      <c r="D145" s="130" t="s">
        <v>457</v>
      </c>
      <c r="E145" s="25" t="s">
        <v>53</v>
      </c>
      <c r="F145" s="24" t="s">
        <v>191</v>
      </c>
      <c r="G145" s="29"/>
      <c r="H145" s="51"/>
      <c r="I145" s="168"/>
      <c r="J145" s="168"/>
      <c r="K145" s="168"/>
      <c r="L145" s="168"/>
      <c r="M145" s="169"/>
      <c r="N145" s="168"/>
      <c r="O145" s="168"/>
      <c r="P145" s="169"/>
      <c r="Q145" s="168"/>
      <c r="R145" s="169"/>
      <c r="S145" s="168"/>
      <c r="T145" s="168"/>
      <c r="U145" s="168"/>
      <c r="V145" s="168"/>
      <c r="W145" s="25"/>
      <c r="X145" s="33"/>
      <c r="Y145" s="33"/>
      <c r="Z145" s="262"/>
      <c r="AA145" s="262"/>
      <c r="AB145" s="51">
        <v>6600000</v>
      </c>
      <c r="AC145" s="25" t="s">
        <v>34</v>
      </c>
      <c r="AD145" s="33">
        <f ca="1">TODAY()</f>
        <v>46203</v>
      </c>
      <c r="AE145" s="25"/>
      <c r="AF145" s="25"/>
      <c r="AG145" s="25"/>
      <c r="AH145" s="25"/>
      <c r="AI145" s="25"/>
      <c r="AJ145" s="116"/>
      <c r="AK145" s="25"/>
    </row>
    <row r="146" spans="1:37" s="26" customFormat="1" ht="45.75" hidden="1" customHeight="1">
      <c r="A146" s="26">
        <v>137</v>
      </c>
      <c r="B146" s="129" t="s">
        <v>458</v>
      </c>
      <c r="C146" s="129"/>
      <c r="D146" s="130" t="s">
        <v>459</v>
      </c>
      <c r="E146" s="25" t="s">
        <v>53</v>
      </c>
      <c r="F146" s="24" t="s">
        <v>191</v>
      </c>
      <c r="G146" s="29"/>
      <c r="H146" s="51"/>
      <c r="I146" s="168"/>
      <c r="J146" s="168"/>
      <c r="K146" s="168"/>
      <c r="L146" s="168"/>
      <c r="M146" s="169"/>
      <c r="N146" s="168"/>
      <c r="O146" s="168"/>
      <c r="P146" s="169"/>
      <c r="Q146" s="168"/>
      <c r="R146" s="169"/>
      <c r="S146" s="168"/>
      <c r="T146" s="168"/>
      <c r="U146" s="168"/>
      <c r="V146" s="168"/>
      <c r="W146" s="25"/>
      <c r="X146" s="33"/>
      <c r="Y146" s="33"/>
      <c r="Z146" s="262"/>
      <c r="AA146" s="262"/>
      <c r="AB146" s="51">
        <v>151470000</v>
      </c>
      <c r="AC146" s="25" t="s">
        <v>34</v>
      </c>
      <c r="AD146" s="33">
        <f ca="1">TODAY()</f>
        <v>46203</v>
      </c>
      <c r="AE146" s="25" t="s">
        <v>33</v>
      </c>
      <c r="AF146" s="25"/>
      <c r="AG146" s="25"/>
      <c r="AH146" s="25"/>
      <c r="AI146" s="25"/>
      <c r="AJ146" s="116"/>
      <c r="AK146" s="25"/>
    </row>
    <row r="147" spans="1:37" s="26" customFormat="1" ht="30.75" hidden="1">
      <c r="A147" s="31">
        <f t="shared" ref="A147:A150" si="4">A146+1</f>
        <v>138</v>
      </c>
      <c r="B147" s="129" t="s">
        <v>460</v>
      </c>
      <c r="C147" s="129"/>
      <c r="D147" s="24" t="s">
        <v>461</v>
      </c>
      <c r="E147" s="25" t="s">
        <v>31</v>
      </c>
      <c r="F147" s="24" t="s">
        <v>67</v>
      </c>
      <c r="G147" s="29">
        <v>50</v>
      </c>
      <c r="H147" s="29">
        <v>55</v>
      </c>
      <c r="I147" s="83"/>
      <c r="J147" s="83"/>
      <c r="K147" s="83"/>
      <c r="L147" s="35"/>
      <c r="M147" s="61"/>
      <c r="N147" s="35"/>
      <c r="O147" s="35"/>
      <c r="P147" s="61"/>
      <c r="Q147" s="35"/>
      <c r="R147" s="61"/>
      <c r="S147" s="35"/>
      <c r="T147" s="35"/>
      <c r="U147" s="35"/>
      <c r="V147" s="35"/>
      <c r="W147" s="132"/>
      <c r="X147" s="132"/>
      <c r="Y147" s="132"/>
      <c r="Z147" s="132"/>
      <c r="AA147" s="262"/>
      <c r="AB147" s="29">
        <v>55</v>
      </c>
      <c r="AC147" s="25" t="s">
        <v>34</v>
      </c>
      <c r="AD147" s="33">
        <v>45497</v>
      </c>
      <c r="AE147" s="25" t="s">
        <v>33</v>
      </c>
      <c r="AF147" s="25"/>
      <c r="AG147" s="25"/>
      <c r="AH147" s="25"/>
      <c r="AI147" s="25"/>
      <c r="AJ147" s="116"/>
      <c r="AK147" s="25"/>
    </row>
    <row r="148" spans="1:37" s="26" customFormat="1" ht="30.75" hidden="1">
      <c r="A148" s="54">
        <f t="shared" si="4"/>
        <v>139</v>
      </c>
      <c r="B148" s="129" t="s">
        <v>462</v>
      </c>
      <c r="C148" s="129"/>
      <c r="D148" s="24" t="s">
        <v>463</v>
      </c>
      <c r="E148" s="25" t="s">
        <v>31</v>
      </c>
      <c r="F148" s="24" t="s">
        <v>61</v>
      </c>
      <c r="G148" s="29">
        <v>2240</v>
      </c>
      <c r="H148" s="29">
        <v>2464</v>
      </c>
      <c r="I148" s="83"/>
      <c r="J148" s="83"/>
      <c r="K148" s="83"/>
      <c r="L148" s="35"/>
      <c r="M148" s="61"/>
      <c r="N148" s="35"/>
      <c r="O148" s="35"/>
      <c r="P148" s="61"/>
      <c r="Q148" s="35"/>
      <c r="R148" s="61"/>
      <c r="S148" s="35"/>
      <c r="T148" s="35"/>
      <c r="U148" s="35"/>
      <c r="V148" s="35"/>
      <c r="W148" s="25"/>
      <c r="X148" s="132"/>
      <c r="Y148" s="132"/>
      <c r="Z148" s="132"/>
      <c r="AA148" s="262"/>
      <c r="AB148" s="29">
        <v>2464</v>
      </c>
      <c r="AC148" s="25" t="s">
        <v>34</v>
      </c>
      <c r="AD148" s="33">
        <v>45497</v>
      </c>
      <c r="AE148" s="25" t="s">
        <v>33</v>
      </c>
      <c r="AF148" s="25"/>
      <c r="AG148" s="25"/>
      <c r="AH148" s="25"/>
      <c r="AI148" s="25"/>
      <c r="AJ148" s="116"/>
      <c r="AK148" s="25"/>
    </row>
    <row r="149" spans="1:37" s="26" customFormat="1" ht="30.75" hidden="1">
      <c r="A149" s="31">
        <f t="shared" si="4"/>
        <v>140</v>
      </c>
      <c r="B149" s="129" t="s">
        <v>464</v>
      </c>
      <c r="C149" s="129"/>
      <c r="D149" s="24" t="s">
        <v>465</v>
      </c>
      <c r="E149" s="25" t="s">
        <v>31</v>
      </c>
      <c r="F149" s="24" t="s">
        <v>64</v>
      </c>
      <c r="G149" s="204">
        <v>70</v>
      </c>
      <c r="H149" s="29">
        <v>77</v>
      </c>
      <c r="I149" s="83"/>
      <c r="J149" s="83"/>
      <c r="K149" s="83"/>
      <c r="L149" s="35"/>
      <c r="M149" s="61"/>
      <c r="N149" s="35"/>
      <c r="O149" s="35"/>
      <c r="P149" s="61"/>
      <c r="Q149" s="35"/>
      <c r="R149" s="61"/>
      <c r="S149" s="35"/>
      <c r="T149" s="35"/>
      <c r="U149" s="35"/>
      <c r="V149" s="35"/>
      <c r="W149" s="132"/>
      <c r="X149" s="132"/>
      <c r="Y149" s="132"/>
      <c r="Z149" s="132"/>
      <c r="AA149" s="262"/>
      <c r="AB149" s="29">
        <v>77</v>
      </c>
      <c r="AC149" s="25" t="s">
        <v>34</v>
      </c>
      <c r="AD149" s="33">
        <v>45497</v>
      </c>
      <c r="AE149" s="25"/>
      <c r="AF149" s="25"/>
      <c r="AG149" s="25"/>
      <c r="AH149" s="25"/>
      <c r="AI149" s="25"/>
      <c r="AJ149" s="116"/>
      <c r="AK149" s="25"/>
    </row>
    <row r="150" spans="1:37" s="26" customFormat="1" ht="60.75" hidden="1">
      <c r="A150" s="31">
        <f t="shared" si="4"/>
        <v>141</v>
      </c>
      <c r="B150" s="129" t="s">
        <v>466</v>
      </c>
      <c r="C150" s="129"/>
      <c r="D150" s="24" t="s">
        <v>467</v>
      </c>
      <c r="E150" s="25" t="s">
        <v>31</v>
      </c>
      <c r="F150" s="24" t="s">
        <v>468</v>
      </c>
      <c r="G150" s="204"/>
      <c r="H150" s="29"/>
      <c r="I150" s="83"/>
      <c r="J150" s="83"/>
      <c r="K150" s="83"/>
      <c r="L150" s="35"/>
      <c r="M150" s="61"/>
      <c r="N150" s="35"/>
      <c r="O150" s="35"/>
      <c r="P150" s="61"/>
      <c r="Q150" s="35"/>
      <c r="R150" s="61"/>
      <c r="S150" s="35"/>
      <c r="T150" s="35"/>
      <c r="U150" s="35"/>
      <c r="V150" s="35"/>
      <c r="W150" s="132"/>
      <c r="X150" s="132"/>
      <c r="Y150" s="132"/>
      <c r="Z150" s="132"/>
      <c r="AA150" s="262"/>
      <c r="AB150" s="29">
        <v>528</v>
      </c>
      <c r="AC150" s="25" t="s">
        <v>34</v>
      </c>
      <c r="AD150" s="33">
        <v>45497</v>
      </c>
      <c r="AE150" s="25" t="s">
        <v>33</v>
      </c>
      <c r="AF150" s="25"/>
      <c r="AG150" s="25"/>
      <c r="AH150" s="25"/>
      <c r="AI150" s="25"/>
      <c r="AJ150" s="116"/>
      <c r="AK150" s="25"/>
    </row>
    <row r="151" spans="1:37" s="26" customFormat="1" ht="30.75" hidden="1">
      <c r="A151" s="25">
        <v>142</v>
      </c>
      <c r="B151" s="269" t="s">
        <v>469</v>
      </c>
      <c r="C151" s="269"/>
      <c r="D151" s="270" t="s">
        <v>470</v>
      </c>
      <c r="E151" s="264" t="s">
        <v>53</v>
      </c>
      <c r="F151" s="48" t="s">
        <v>58</v>
      </c>
      <c r="G151" s="63">
        <v>20900000</v>
      </c>
      <c r="H151" s="63">
        <v>22990000</v>
      </c>
      <c r="I151" s="264"/>
      <c r="J151" s="264" t="s">
        <v>34</v>
      </c>
      <c r="K151" s="264" t="s">
        <v>33</v>
      </c>
      <c r="L151" s="264" t="s">
        <v>34</v>
      </c>
      <c r="M151" s="271">
        <v>45509</v>
      </c>
      <c r="N151" s="264" t="s">
        <v>33</v>
      </c>
      <c r="O151" s="264"/>
      <c r="P151" s="263"/>
      <c r="Q151" s="264"/>
      <c r="R151" s="263"/>
      <c r="S151" s="264"/>
      <c r="T151" s="264"/>
      <c r="U151" s="264"/>
      <c r="V151" s="264"/>
      <c r="W151" s="264"/>
      <c r="X151" s="263"/>
      <c r="Y151" s="263"/>
      <c r="Z151" s="263"/>
      <c r="AA151" s="264"/>
      <c r="AB151" s="63"/>
      <c r="AC151" s="264"/>
      <c r="AD151" s="263"/>
      <c r="AE151" s="264"/>
      <c r="AF151" s="264"/>
      <c r="AG151" s="264"/>
      <c r="AH151" s="264"/>
      <c r="AI151" s="264"/>
      <c r="AJ151" s="272"/>
      <c r="AK151" s="264"/>
    </row>
    <row r="152" spans="1:37" s="26" customFormat="1" hidden="1">
      <c r="A152" s="54">
        <f t="shared" ref="A152" si="5">A151+1</f>
        <v>143</v>
      </c>
      <c r="B152" s="138" t="s">
        <v>471</v>
      </c>
      <c r="C152" s="138"/>
      <c r="D152" s="139" t="s">
        <v>472</v>
      </c>
      <c r="E152" s="28" t="s">
        <v>53</v>
      </c>
      <c r="F152" s="27" t="s">
        <v>230</v>
      </c>
      <c r="G152" s="67"/>
      <c r="H152" s="58"/>
      <c r="I152" s="64"/>
      <c r="J152" s="64"/>
      <c r="K152" s="64"/>
      <c r="L152" s="64"/>
      <c r="M152" s="170"/>
      <c r="N152" s="64"/>
      <c r="O152" s="64"/>
      <c r="P152" s="170"/>
      <c r="Q152" s="64"/>
      <c r="R152" s="170"/>
      <c r="S152" s="64"/>
      <c r="T152" s="64"/>
      <c r="U152" s="64"/>
      <c r="V152" s="64"/>
      <c r="W152" s="28" t="s">
        <v>33</v>
      </c>
      <c r="X152" s="55">
        <v>45505</v>
      </c>
      <c r="Y152" s="55" t="s">
        <v>473</v>
      </c>
      <c r="Z152" s="273">
        <v>22000000</v>
      </c>
      <c r="AA152" s="273"/>
      <c r="AB152" s="58">
        <v>22000000</v>
      </c>
      <c r="AC152" s="28" t="s">
        <v>34</v>
      </c>
      <c r="AD152" s="55">
        <v>45516</v>
      </c>
      <c r="AE152" s="28"/>
      <c r="AF152" s="28"/>
      <c r="AG152" s="28"/>
      <c r="AH152" s="28"/>
      <c r="AI152" s="28"/>
      <c r="AJ152" s="128"/>
      <c r="AK152" s="28"/>
    </row>
    <row r="153" spans="1:37" s="26" customFormat="1" ht="60.75" hidden="1">
      <c r="A153" s="28">
        <v>144</v>
      </c>
      <c r="B153" s="138" t="s">
        <v>474</v>
      </c>
      <c r="C153" s="138"/>
      <c r="D153" s="139" t="s">
        <v>475</v>
      </c>
      <c r="E153" s="28" t="s">
        <v>53</v>
      </c>
      <c r="F153" s="27" t="s">
        <v>107</v>
      </c>
      <c r="G153" s="67"/>
      <c r="H153" s="58"/>
      <c r="I153" s="28"/>
      <c r="J153" s="28"/>
      <c r="K153" s="28"/>
      <c r="L153" s="28"/>
      <c r="M153" s="55"/>
      <c r="N153" s="28"/>
      <c r="O153" s="28"/>
      <c r="P153" s="55"/>
      <c r="Q153" s="28"/>
      <c r="R153" s="55"/>
      <c r="S153" s="28"/>
      <c r="T153" s="28"/>
      <c r="U153" s="28"/>
      <c r="V153" s="28"/>
      <c r="W153" s="28"/>
      <c r="X153" s="55"/>
      <c r="Y153" s="55"/>
      <c r="Z153" s="55"/>
      <c r="AA153" s="28"/>
      <c r="AB153" s="58">
        <v>1298000</v>
      </c>
      <c r="AC153" s="28" t="s">
        <v>34</v>
      </c>
      <c r="AD153" s="55">
        <v>45516</v>
      </c>
      <c r="AE153" s="28" t="s">
        <v>33</v>
      </c>
      <c r="AF153" s="28"/>
      <c r="AG153" s="55"/>
      <c r="AH153" s="28"/>
      <c r="AI153" s="28"/>
      <c r="AJ153" s="128"/>
      <c r="AK153" s="28"/>
    </row>
    <row r="154" spans="1:37" s="26" customFormat="1" ht="91.5" hidden="1">
      <c r="A154" s="25">
        <v>145</v>
      </c>
      <c r="B154" s="129" t="s">
        <v>476</v>
      </c>
      <c r="C154" s="129"/>
      <c r="D154" s="130" t="s">
        <v>477</v>
      </c>
      <c r="E154" s="25" t="s">
        <v>53</v>
      </c>
      <c r="F154" s="24" t="s">
        <v>191</v>
      </c>
      <c r="G154" s="29"/>
      <c r="H154" s="51"/>
      <c r="I154" s="25"/>
      <c r="J154" s="25"/>
      <c r="K154" s="25"/>
      <c r="L154" s="25"/>
      <c r="M154" s="33"/>
      <c r="N154" s="25"/>
      <c r="O154" s="25"/>
      <c r="P154" s="33"/>
      <c r="Q154" s="25"/>
      <c r="R154" s="33"/>
      <c r="S154" s="25"/>
      <c r="T154" s="25"/>
      <c r="U154" s="25"/>
      <c r="V154" s="25"/>
      <c r="W154" s="25"/>
      <c r="X154" s="33"/>
      <c r="Y154" s="33"/>
      <c r="Z154" s="33"/>
      <c r="AA154" s="25"/>
      <c r="AB154" s="51">
        <v>729690</v>
      </c>
      <c r="AC154" s="25" t="s">
        <v>34</v>
      </c>
      <c r="AD154" s="55">
        <v>45516</v>
      </c>
      <c r="AE154" s="25" t="s">
        <v>33</v>
      </c>
      <c r="AF154" s="25"/>
      <c r="AG154" s="33"/>
      <c r="AH154" s="25"/>
      <c r="AI154" s="25"/>
      <c r="AJ154" s="116"/>
      <c r="AK154" s="25"/>
    </row>
    <row r="155" spans="1:37" s="26" customFormat="1" ht="45.75" hidden="1">
      <c r="A155" s="28">
        <v>146</v>
      </c>
      <c r="B155" s="138" t="s">
        <v>478</v>
      </c>
      <c r="C155" s="138"/>
      <c r="D155" s="139" t="s">
        <v>479</v>
      </c>
      <c r="E155" s="28" t="s">
        <v>53</v>
      </c>
      <c r="F155" s="27" t="s">
        <v>195</v>
      </c>
      <c r="G155" s="67"/>
      <c r="H155" s="58"/>
      <c r="I155" s="28"/>
      <c r="J155" s="28"/>
      <c r="K155" s="28"/>
      <c r="L155" s="28"/>
      <c r="M155" s="55"/>
      <c r="N155" s="28"/>
      <c r="O155" s="28"/>
      <c r="P155" s="55"/>
      <c r="Q155" s="28"/>
      <c r="R155" s="55"/>
      <c r="S155" s="28"/>
      <c r="T155" s="28"/>
      <c r="U155" s="28"/>
      <c r="V155" s="28"/>
      <c r="W155" s="28"/>
      <c r="X155" s="55"/>
      <c r="Y155" s="55"/>
      <c r="Z155" s="55"/>
      <c r="AA155" s="28"/>
      <c r="AB155" s="58" t="s">
        <v>480</v>
      </c>
      <c r="AC155" s="28" t="s">
        <v>34</v>
      </c>
      <c r="AD155" s="55">
        <v>45516</v>
      </c>
      <c r="AE155" s="28" t="s">
        <v>33</v>
      </c>
      <c r="AF155" s="28"/>
      <c r="AG155" s="55"/>
      <c r="AH155" s="28"/>
      <c r="AI155" s="28"/>
      <c r="AJ155" s="128"/>
      <c r="AK155" s="28"/>
    </row>
    <row r="156" spans="1:37" s="26" customFormat="1" ht="30.75" hidden="1">
      <c r="A156" s="25">
        <v>147</v>
      </c>
      <c r="B156" s="129" t="s">
        <v>481</v>
      </c>
      <c r="C156" s="129"/>
      <c r="D156" s="130" t="s">
        <v>482</v>
      </c>
      <c r="E156" s="25" t="s">
        <v>31</v>
      </c>
      <c r="F156" s="24" t="s">
        <v>47</v>
      </c>
      <c r="G156" s="29"/>
      <c r="H156" s="51"/>
      <c r="I156" s="25"/>
      <c r="J156" s="25"/>
      <c r="K156" s="25"/>
      <c r="L156" s="25"/>
      <c r="M156" s="33"/>
      <c r="N156" s="25"/>
      <c r="O156" s="25"/>
      <c r="P156" s="33"/>
      <c r="Q156" s="25"/>
      <c r="R156" s="33"/>
      <c r="S156" s="25"/>
      <c r="T156" s="25"/>
      <c r="U156" s="25"/>
      <c r="V156" s="25"/>
      <c r="W156" s="25"/>
      <c r="X156" s="33"/>
      <c r="Y156" s="33"/>
      <c r="Z156" s="33"/>
      <c r="AA156" s="25"/>
      <c r="AB156" s="29">
        <v>1375</v>
      </c>
      <c r="AC156" s="25" t="s">
        <v>34</v>
      </c>
      <c r="AD156" s="55">
        <v>45516</v>
      </c>
      <c r="AE156" s="25"/>
      <c r="AF156" s="25"/>
      <c r="AG156" s="33"/>
      <c r="AH156" s="25"/>
      <c r="AI156" s="25"/>
      <c r="AJ156" s="116"/>
      <c r="AK156" s="25"/>
    </row>
    <row r="157" spans="1:37" s="26" customFormat="1" hidden="1">
      <c r="A157" s="28">
        <v>148</v>
      </c>
      <c r="B157" s="138" t="s">
        <v>483</v>
      </c>
      <c r="C157" s="138"/>
      <c r="D157" s="130" t="s">
        <v>484</v>
      </c>
      <c r="E157" s="25" t="s">
        <v>31</v>
      </c>
      <c r="F157" s="24" t="s">
        <v>47</v>
      </c>
      <c r="G157" s="29"/>
      <c r="H157" s="51"/>
      <c r="I157" s="25"/>
      <c r="J157" s="25"/>
      <c r="K157" s="25"/>
      <c r="L157" s="25"/>
      <c r="M157" s="33"/>
      <c r="N157" s="25"/>
      <c r="O157" s="25"/>
      <c r="P157" s="33"/>
      <c r="Q157" s="25"/>
      <c r="R157" s="33"/>
      <c r="S157" s="25"/>
      <c r="T157" s="25"/>
      <c r="U157" s="25"/>
      <c r="V157" s="25"/>
      <c r="W157" s="25"/>
      <c r="X157" s="33"/>
      <c r="Y157" s="33"/>
      <c r="Z157" s="33"/>
      <c r="AA157" s="25"/>
      <c r="AB157" s="29">
        <v>1375</v>
      </c>
      <c r="AC157" s="25" t="s">
        <v>34</v>
      </c>
      <c r="AD157" s="55">
        <v>45516</v>
      </c>
      <c r="AE157" s="25" t="s">
        <v>33</v>
      </c>
      <c r="AF157" s="25"/>
      <c r="AG157" s="33"/>
      <c r="AH157" s="25"/>
      <c r="AI157" s="25"/>
      <c r="AJ157" s="116"/>
      <c r="AK157" s="25"/>
    </row>
    <row r="158" spans="1:37" s="26" customFormat="1" ht="45.75" hidden="1">
      <c r="A158" s="28">
        <v>149</v>
      </c>
      <c r="B158" s="138" t="s">
        <v>485</v>
      </c>
      <c r="C158" s="279"/>
      <c r="D158" s="274" t="s">
        <v>486</v>
      </c>
      <c r="E158" s="28" t="s">
        <v>31</v>
      </c>
      <c r="F158" s="27" t="s">
        <v>64</v>
      </c>
      <c r="G158" s="67"/>
      <c r="H158" s="58"/>
      <c r="I158" s="28"/>
      <c r="J158" s="28"/>
      <c r="K158" s="28"/>
      <c r="L158" s="28"/>
      <c r="M158" s="55"/>
      <c r="N158" s="28"/>
      <c r="O158" s="28"/>
      <c r="P158" s="55"/>
      <c r="Q158" s="28"/>
      <c r="R158" s="55"/>
      <c r="S158" s="28"/>
      <c r="T158" s="28"/>
      <c r="U158" s="28"/>
      <c r="V158" s="28"/>
      <c r="W158" s="28"/>
      <c r="X158" s="55"/>
      <c r="Y158" s="55"/>
      <c r="Z158" s="55"/>
      <c r="AA158" s="28"/>
      <c r="AB158" s="67">
        <v>17.600000000000001</v>
      </c>
      <c r="AC158" s="28" t="s">
        <v>34</v>
      </c>
      <c r="AD158" s="55">
        <v>45516</v>
      </c>
      <c r="AE158" s="28" t="s">
        <v>33</v>
      </c>
      <c r="AF158" s="28"/>
      <c r="AG158" s="55"/>
      <c r="AH158" s="28"/>
      <c r="AI158" s="28"/>
      <c r="AJ158" s="128"/>
      <c r="AK158" s="28"/>
    </row>
    <row r="159" spans="1:37" s="26" customFormat="1" ht="60.75" hidden="1">
      <c r="A159" s="25">
        <v>150</v>
      </c>
      <c r="B159" s="276" t="s">
        <v>487</v>
      </c>
      <c r="C159" s="276"/>
      <c r="D159" s="147" t="s">
        <v>488</v>
      </c>
      <c r="E159" s="25" t="s">
        <v>53</v>
      </c>
      <c r="F159" s="46" t="s">
        <v>58</v>
      </c>
      <c r="G159" s="29"/>
      <c r="H159" s="51" t="s">
        <v>489</v>
      </c>
      <c r="I159" s="25"/>
      <c r="J159" s="25" t="s">
        <v>34</v>
      </c>
      <c r="K159" s="25" t="s">
        <v>33</v>
      </c>
      <c r="L159" s="25" t="s">
        <v>34</v>
      </c>
      <c r="M159" s="33">
        <v>45520</v>
      </c>
      <c r="N159" s="25" t="s">
        <v>33</v>
      </c>
      <c r="O159" s="25"/>
      <c r="P159" s="33"/>
      <c r="Q159" s="25"/>
      <c r="R159" s="33"/>
      <c r="S159" s="25"/>
      <c r="T159" s="25"/>
      <c r="U159" s="25"/>
      <c r="V159" s="25"/>
      <c r="W159" s="25"/>
      <c r="X159" s="33"/>
      <c r="Y159" s="33"/>
      <c r="Z159" s="33"/>
      <c r="AA159" s="25"/>
      <c r="AB159" s="29"/>
      <c r="AC159" s="25"/>
      <c r="AD159" s="33"/>
      <c r="AE159" s="25"/>
      <c r="AF159" s="25"/>
      <c r="AG159" s="33"/>
      <c r="AH159" s="25"/>
      <c r="AI159" s="25"/>
      <c r="AJ159" s="116"/>
      <c r="AK159" s="25"/>
    </row>
    <row r="160" spans="1:37" s="26" customFormat="1" ht="30.75" hidden="1">
      <c r="A160" s="26">
        <v>151</v>
      </c>
      <c r="B160" s="277" t="s">
        <v>490</v>
      </c>
      <c r="C160" s="277"/>
      <c r="D160" s="147" t="s">
        <v>491</v>
      </c>
      <c r="E160" s="25" t="s">
        <v>31</v>
      </c>
      <c r="F160" s="37" t="s">
        <v>47</v>
      </c>
      <c r="G160" s="30"/>
      <c r="H160" s="212"/>
      <c r="M160" s="34"/>
      <c r="P160" s="34"/>
      <c r="R160" s="34"/>
      <c r="X160" s="34"/>
      <c r="Y160" s="34"/>
      <c r="Z160" s="34"/>
      <c r="AB160" s="67">
        <v>1375</v>
      </c>
      <c r="AC160" s="28" t="s">
        <v>34</v>
      </c>
      <c r="AD160" s="55" t="s">
        <v>492</v>
      </c>
      <c r="AE160" s="28" t="s">
        <v>33</v>
      </c>
      <c r="AG160" s="34"/>
      <c r="AJ160" s="121"/>
    </row>
    <row r="161" spans="1:37" s="26" customFormat="1" ht="45.75" hidden="1">
      <c r="A161" s="25">
        <v>152</v>
      </c>
      <c r="B161" s="276" t="s">
        <v>493</v>
      </c>
      <c r="C161" s="276"/>
      <c r="D161" s="147" t="s">
        <v>494</v>
      </c>
      <c r="E161" s="25" t="s">
        <v>31</v>
      </c>
      <c r="F161" s="46" t="s">
        <v>32</v>
      </c>
      <c r="G161" s="29">
        <v>3665.99</v>
      </c>
      <c r="H161" s="29">
        <v>4032.59</v>
      </c>
      <c r="I161" s="25"/>
      <c r="J161" s="25" t="s">
        <v>34</v>
      </c>
      <c r="K161" s="25" t="s">
        <v>33</v>
      </c>
      <c r="L161" s="25"/>
      <c r="M161" s="33"/>
      <c r="N161" s="25"/>
      <c r="O161" s="25"/>
      <c r="P161" s="33"/>
      <c r="Q161" s="25"/>
      <c r="R161" s="33"/>
      <c r="S161" s="25"/>
      <c r="T161" s="25"/>
      <c r="U161" s="25"/>
      <c r="V161" s="25"/>
      <c r="W161" s="25"/>
      <c r="X161" s="33"/>
      <c r="Y161" s="33"/>
      <c r="Z161" s="33"/>
      <c r="AA161" s="25"/>
      <c r="AB161" s="29">
        <v>4032.59</v>
      </c>
      <c r="AC161" s="25" t="s">
        <v>34</v>
      </c>
      <c r="AD161" s="33">
        <v>45586</v>
      </c>
      <c r="AE161" s="25" t="s">
        <v>33</v>
      </c>
      <c r="AF161" s="25"/>
      <c r="AG161" s="33"/>
      <c r="AH161" s="25"/>
      <c r="AI161" s="25"/>
      <c r="AJ161" s="116"/>
      <c r="AK161" s="25"/>
    </row>
    <row r="162" spans="1:37" s="26" customFormat="1" ht="45.75" hidden="1">
      <c r="A162" s="25">
        <v>153</v>
      </c>
      <c r="B162" s="129" t="s">
        <v>495</v>
      </c>
      <c r="C162" s="269"/>
      <c r="D162" s="275" t="s">
        <v>496</v>
      </c>
      <c r="E162" s="264" t="s">
        <v>31</v>
      </c>
      <c r="F162" s="24" t="s">
        <v>32</v>
      </c>
      <c r="G162" s="29">
        <v>3665.99</v>
      </c>
      <c r="H162" s="29">
        <v>4032.59</v>
      </c>
      <c r="I162" s="25"/>
      <c r="J162" s="25" t="s">
        <v>34</v>
      </c>
      <c r="K162" s="25" t="s">
        <v>33</v>
      </c>
      <c r="L162" s="25"/>
      <c r="M162" s="33"/>
      <c r="N162" s="25"/>
      <c r="O162" s="25"/>
      <c r="P162" s="33"/>
      <c r="Q162" s="25"/>
      <c r="R162" s="33"/>
      <c r="S162" s="25"/>
      <c r="T162" s="25"/>
      <c r="U162" s="25"/>
      <c r="V162" s="25"/>
      <c r="W162" s="25"/>
      <c r="X162" s="33"/>
      <c r="Y162" s="33"/>
      <c r="Z162" s="33"/>
      <c r="AA162" s="25"/>
      <c r="AB162" s="29">
        <v>4032.59</v>
      </c>
      <c r="AC162" s="25" t="s">
        <v>34</v>
      </c>
      <c r="AD162" s="33">
        <v>45586</v>
      </c>
      <c r="AE162" s="25" t="s">
        <v>33</v>
      </c>
      <c r="AF162" s="25"/>
      <c r="AG162" s="33"/>
      <c r="AH162" s="25"/>
      <c r="AI162" s="25"/>
      <c r="AJ162" s="116"/>
      <c r="AK162" s="25"/>
    </row>
    <row r="163" spans="1:37" s="26" customFormat="1" ht="30.75" hidden="1">
      <c r="A163" s="31">
        <f t="shared" ref="A163:A169" si="6">A162+1</f>
        <v>154</v>
      </c>
      <c r="B163" s="276" t="s">
        <v>497</v>
      </c>
      <c r="C163" s="276"/>
      <c r="D163" s="24" t="s">
        <v>498</v>
      </c>
      <c r="E163" s="25" t="s">
        <v>31</v>
      </c>
      <c r="F163" s="24" t="s">
        <v>67</v>
      </c>
      <c r="G163" s="29">
        <v>50</v>
      </c>
      <c r="H163" s="29">
        <v>55</v>
      </c>
      <c r="I163" s="83"/>
      <c r="J163" s="83"/>
      <c r="K163" s="83"/>
      <c r="L163" s="35"/>
      <c r="M163" s="61"/>
      <c r="N163" s="35"/>
      <c r="O163" s="35"/>
      <c r="P163" s="61"/>
      <c r="Q163" s="35"/>
      <c r="R163" s="61"/>
      <c r="S163" s="35"/>
      <c r="T163" s="35"/>
      <c r="U163" s="35"/>
      <c r="V163" s="35"/>
      <c r="W163" s="132"/>
      <c r="X163" s="132"/>
      <c r="Y163" s="132"/>
      <c r="Z163" s="132"/>
      <c r="AA163" s="262"/>
      <c r="AB163" s="29">
        <v>55</v>
      </c>
      <c r="AC163" s="25" t="s">
        <v>34</v>
      </c>
      <c r="AD163" s="33">
        <v>45497</v>
      </c>
      <c r="AE163" s="25" t="s">
        <v>33</v>
      </c>
      <c r="AF163" s="25"/>
      <c r="AG163" s="25"/>
      <c r="AH163" s="25"/>
      <c r="AI163" s="25"/>
      <c r="AJ163" s="116"/>
      <c r="AK163" s="25"/>
    </row>
    <row r="164" spans="1:37" s="26" customFormat="1" ht="30.75" hidden="1">
      <c r="A164" s="54">
        <f t="shared" si="6"/>
        <v>155</v>
      </c>
      <c r="B164" s="129" t="s">
        <v>499</v>
      </c>
      <c r="C164" s="129"/>
      <c r="D164" s="24" t="s">
        <v>500</v>
      </c>
      <c r="E164" s="25" t="s">
        <v>31</v>
      </c>
      <c r="F164" s="24" t="s">
        <v>61</v>
      </c>
      <c r="G164" s="29">
        <v>2240</v>
      </c>
      <c r="H164" s="29">
        <v>2464</v>
      </c>
      <c r="I164" s="83"/>
      <c r="J164" s="83"/>
      <c r="K164" s="83"/>
      <c r="L164" s="35"/>
      <c r="M164" s="61"/>
      <c r="N164" s="35"/>
      <c r="O164" s="35"/>
      <c r="P164" s="61"/>
      <c r="Q164" s="35"/>
      <c r="R164" s="61"/>
      <c r="S164" s="35"/>
      <c r="T164" s="35"/>
      <c r="U164" s="35"/>
      <c r="V164" s="35"/>
      <c r="W164" s="25"/>
      <c r="X164" s="132"/>
      <c r="Y164" s="132"/>
      <c r="Z164" s="132"/>
      <c r="AA164" s="262"/>
      <c r="AB164" s="29">
        <v>2464</v>
      </c>
      <c r="AC164" s="25" t="s">
        <v>34</v>
      </c>
      <c r="AD164" s="33">
        <v>45497</v>
      </c>
      <c r="AE164" s="25" t="s">
        <v>33</v>
      </c>
      <c r="AF164" s="25"/>
      <c r="AG164" s="25"/>
      <c r="AH164" s="25"/>
      <c r="AI164" s="25"/>
      <c r="AJ164" s="116"/>
      <c r="AK164" s="25"/>
    </row>
    <row r="165" spans="1:37" s="26" customFormat="1" ht="30.75" hidden="1">
      <c r="A165" s="54">
        <f t="shared" si="6"/>
        <v>156</v>
      </c>
      <c r="B165" s="277" t="s">
        <v>501</v>
      </c>
      <c r="C165" s="277"/>
      <c r="D165" s="27" t="s">
        <v>502</v>
      </c>
      <c r="E165" s="28" t="s">
        <v>31</v>
      </c>
      <c r="F165" s="27" t="s">
        <v>64</v>
      </c>
      <c r="G165" s="66">
        <v>70</v>
      </c>
      <c r="H165" s="67">
        <v>77</v>
      </c>
      <c r="I165" s="82"/>
      <c r="J165" s="82"/>
      <c r="K165" s="82"/>
      <c r="L165" s="80"/>
      <c r="M165" s="79"/>
      <c r="N165" s="80"/>
      <c r="O165" s="80"/>
      <c r="P165" s="79"/>
      <c r="Q165" s="80"/>
      <c r="R165" s="79"/>
      <c r="S165" s="80"/>
      <c r="T165" s="80"/>
      <c r="U165" s="80"/>
      <c r="V165" s="80"/>
      <c r="W165" s="141"/>
      <c r="X165" s="141"/>
      <c r="Y165" s="141"/>
      <c r="Z165" s="141"/>
      <c r="AA165" s="273"/>
      <c r="AB165" s="67">
        <v>77</v>
      </c>
      <c r="AC165" s="28" t="s">
        <v>34</v>
      </c>
      <c r="AD165" s="55">
        <v>45497</v>
      </c>
      <c r="AE165" s="25" t="s">
        <v>33</v>
      </c>
      <c r="AF165" s="28"/>
      <c r="AG165" s="28"/>
      <c r="AH165" s="28"/>
      <c r="AI165" s="28"/>
      <c r="AJ165" s="128"/>
      <c r="AK165" s="25"/>
    </row>
    <row r="166" spans="1:37" s="26" customFormat="1" ht="30.75" hidden="1">
      <c r="A166" s="25">
        <f t="shared" si="6"/>
        <v>157</v>
      </c>
      <c r="B166" s="138" t="s">
        <v>503</v>
      </c>
      <c r="C166" s="138"/>
      <c r="D166" s="27" t="s">
        <v>504</v>
      </c>
      <c r="E166" s="28" t="s">
        <v>31</v>
      </c>
      <c r="F166" s="27" t="s">
        <v>468</v>
      </c>
      <c r="G166" s="66"/>
      <c r="H166" s="67"/>
      <c r="I166" s="82"/>
      <c r="J166" s="82"/>
      <c r="K166" s="82"/>
      <c r="L166" s="80"/>
      <c r="M166" s="79"/>
      <c r="N166" s="80"/>
      <c r="O166" s="80"/>
      <c r="P166" s="79"/>
      <c r="Q166" s="80"/>
      <c r="R166" s="79"/>
      <c r="S166" s="80"/>
      <c r="T166" s="80"/>
      <c r="U166" s="80"/>
      <c r="V166" s="80"/>
      <c r="W166" s="141"/>
      <c r="X166" s="141"/>
      <c r="Y166" s="141"/>
      <c r="Z166" s="141"/>
      <c r="AA166" s="273"/>
      <c r="AB166" s="67">
        <v>1056</v>
      </c>
      <c r="AC166" s="28" t="s">
        <v>34</v>
      </c>
      <c r="AD166" s="55">
        <v>45530</v>
      </c>
      <c r="AE166" s="28" t="s">
        <v>33</v>
      </c>
      <c r="AF166" s="28"/>
      <c r="AG166" s="28"/>
      <c r="AH166" s="28"/>
      <c r="AI166" s="28"/>
      <c r="AJ166" s="128"/>
    </row>
    <row r="167" spans="1:37" s="26" customFormat="1" ht="30.75" hidden="1">
      <c r="A167" s="54">
        <f t="shared" si="6"/>
        <v>158</v>
      </c>
      <c r="B167" s="129" t="s">
        <v>505</v>
      </c>
      <c r="C167" s="129"/>
      <c r="D167" s="24" t="s">
        <v>506</v>
      </c>
      <c r="E167" s="28" t="s">
        <v>31</v>
      </c>
      <c r="F167" s="24" t="s">
        <v>47</v>
      </c>
      <c r="G167" s="204"/>
      <c r="H167" s="29"/>
      <c r="I167" s="83"/>
      <c r="J167" s="83"/>
      <c r="K167" s="83"/>
      <c r="L167" s="35"/>
      <c r="M167" s="61"/>
      <c r="N167" s="35"/>
      <c r="O167" s="35"/>
      <c r="P167" s="61"/>
      <c r="Q167" s="35"/>
      <c r="R167" s="61"/>
      <c r="S167" s="35"/>
      <c r="T167" s="35"/>
      <c r="U167" s="35"/>
      <c r="V167" s="35"/>
      <c r="W167" s="132"/>
      <c r="X167" s="132"/>
      <c r="Y167" s="132"/>
      <c r="Z167" s="132"/>
      <c r="AA167" s="262"/>
      <c r="AB167" s="29">
        <v>1512.5</v>
      </c>
      <c r="AC167" s="25" t="s">
        <v>34</v>
      </c>
      <c r="AD167" s="33">
        <v>45544</v>
      </c>
      <c r="AE167" s="25"/>
      <c r="AF167" s="25"/>
      <c r="AG167" s="25"/>
      <c r="AH167" s="25"/>
      <c r="AI167" s="25"/>
      <c r="AJ167" s="116"/>
      <c r="AK167" s="25"/>
    </row>
    <row r="168" spans="1:37" s="26" customFormat="1" ht="30.75" hidden="1">
      <c r="A168" s="54">
        <f t="shared" si="6"/>
        <v>159</v>
      </c>
      <c r="B168" s="129" t="s">
        <v>507</v>
      </c>
      <c r="C168" s="129"/>
      <c r="D168" s="24" t="s">
        <v>508</v>
      </c>
      <c r="E168" s="28" t="s">
        <v>31</v>
      </c>
      <c r="F168" s="24" t="s">
        <v>509</v>
      </c>
      <c r="G168" s="204"/>
      <c r="H168" s="29"/>
      <c r="I168" s="83"/>
      <c r="J168" s="83"/>
      <c r="K168" s="83"/>
      <c r="L168" s="35"/>
      <c r="M168" s="61"/>
      <c r="N168" s="35"/>
      <c r="O168" s="35"/>
      <c r="P168" s="61"/>
      <c r="Q168" s="35"/>
      <c r="R168" s="61"/>
      <c r="S168" s="35"/>
      <c r="T168" s="35"/>
      <c r="U168" s="35"/>
      <c r="V168" s="35"/>
      <c r="W168" s="132"/>
      <c r="X168" s="132"/>
      <c r="Y168" s="132"/>
      <c r="Z168" s="132"/>
      <c r="AA168" s="262"/>
      <c r="AB168" s="29">
        <v>363</v>
      </c>
      <c r="AC168" s="25" t="s">
        <v>34</v>
      </c>
      <c r="AD168" s="33">
        <v>45544</v>
      </c>
      <c r="AE168" s="28" t="s">
        <v>33</v>
      </c>
      <c r="AF168" s="25"/>
      <c r="AG168" s="25"/>
      <c r="AH168" s="25"/>
      <c r="AI168" s="25"/>
      <c r="AJ168" s="116"/>
      <c r="AK168" s="25"/>
    </row>
    <row r="169" spans="1:37" s="26" customFormat="1" ht="30.75" hidden="1">
      <c r="A169" s="54">
        <f t="shared" si="6"/>
        <v>160</v>
      </c>
      <c r="B169" s="138" t="s">
        <v>510</v>
      </c>
      <c r="C169" s="138"/>
      <c r="D169" s="27" t="s">
        <v>511</v>
      </c>
      <c r="E169" s="28" t="s">
        <v>31</v>
      </c>
      <c r="F169" s="27" t="s">
        <v>47</v>
      </c>
      <c r="G169" s="66"/>
      <c r="H169" s="67"/>
      <c r="I169" s="82"/>
      <c r="J169" s="82"/>
      <c r="K169" s="82"/>
      <c r="L169" s="80"/>
      <c r="M169" s="79"/>
      <c r="N169" s="80"/>
      <c r="O169" s="80"/>
      <c r="P169" s="79"/>
      <c r="Q169" s="80"/>
      <c r="R169" s="79"/>
      <c r="S169" s="80"/>
      <c r="T169" s="80"/>
      <c r="U169" s="80"/>
      <c r="V169" s="80"/>
      <c r="W169" s="141"/>
      <c r="X169" s="141"/>
      <c r="Y169" s="141"/>
      <c r="Z169" s="141"/>
      <c r="AA169" s="273"/>
      <c r="AB169" s="67">
        <v>1623</v>
      </c>
      <c r="AC169" s="28" t="s">
        <v>34</v>
      </c>
      <c r="AD169" s="55">
        <v>45544</v>
      </c>
      <c r="AE169" s="28" t="s">
        <v>33</v>
      </c>
      <c r="AF169" s="28"/>
      <c r="AG169" s="28"/>
      <c r="AH169" s="28"/>
      <c r="AI169" s="28"/>
      <c r="AJ169" s="128"/>
      <c r="AK169" s="28"/>
    </row>
    <row r="170" spans="1:37" s="26" customFormat="1" ht="235.5" hidden="1" customHeight="1">
      <c r="A170" s="28">
        <v>161</v>
      </c>
      <c r="B170" s="138" t="s">
        <v>512</v>
      </c>
      <c r="C170" s="138"/>
      <c r="D170" s="27" t="s">
        <v>513</v>
      </c>
      <c r="E170" s="28" t="s">
        <v>53</v>
      </c>
      <c r="F170" s="27" t="s">
        <v>230</v>
      </c>
      <c r="G170" s="66"/>
      <c r="H170" s="67"/>
      <c r="I170" s="82"/>
      <c r="J170" s="82"/>
      <c r="K170" s="82"/>
      <c r="L170" s="80"/>
      <c r="M170" s="79"/>
      <c r="N170" s="80"/>
      <c r="O170" s="80"/>
      <c r="P170" s="79"/>
      <c r="Q170" s="80"/>
      <c r="R170" s="79"/>
      <c r="S170" s="80"/>
      <c r="T170" s="80"/>
      <c r="U170" s="80"/>
      <c r="V170" s="80"/>
      <c r="W170" s="141"/>
      <c r="X170" s="141"/>
      <c r="Y170" s="141"/>
      <c r="Z170" s="141"/>
      <c r="AA170" s="273"/>
      <c r="AB170" s="58">
        <v>33528722</v>
      </c>
      <c r="AC170" s="28" t="s">
        <v>34</v>
      </c>
      <c r="AD170" s="55">
        <v>45544</v>
      </c>
      <c r="AE170" s="26" t="s">
        <v>33</v>
      </c>
      <c r="AF170" s="28"/>
      <c r="AG170" s="28"/>
      <c r="AH170" s="28"/>
      <c r="AI170" s="28"/>
      <c r="AJ170" s="128"/>
      <c r="AK170" s="28"/>
    </row>
    <row r="171" spans="1:37" s="26" customFormat="1" ht="29.25" hidden="1" customHeight="1">
      <c r="A171" s="25">
        <v>162</v>
      </c>
      <c r="B171" s="138" t="s">
        <v>514</v>
      </c>
      <c r="C171" s="138"/>
      <c r="D171" s="27" t="s">
        <v>515</v>
      </c>
      <c r="E171" s="28" t="s">
        <v>53</v>
      </c>
      <c r="F171" s="27" t="s">
        <v>191</v>
      </c>
      <c r="G171" s="66"/>
      <c r="H171" s="67"/>
      <c r="I171" s="82"/>
      <c r="J171" s="82"/>
      <c r="K171" s="82"/>
      <c r="L171" s="80"/>
      <c r="M171" s="79"/>
      <c r="N171" s="80"/>
      <c r="O171" s="80"/>
      <c r="P171" s="79"/>
      <c r="Q171" s="80"/>
      <c r="R171" s="79"/>
      <c r="S171" s="80"/>
      <c r="T171" s="80"/>
      <c r="U171" s="80"/>
      <c r="V171" s="80"/>
      <c r="W171" s="141"/>
      <c r="X171" s="141"/>
      <c r="Y171" s="141"/>
      <c r="Z171" s="141"/>
      <c r="AA171" s="273"/>
      <c r="AB171" s="58">
        <v>2411200</v>
      </c>
      <c r="AC171" s="28" t="s">
        <v>34</v>
      </c>
      <c r="AD171" s="55">
        <v>45544</v>
      </c>
      <c r="AE171" s="26" t="s">
        <v>33</v>
      </c>
      <c r="AF171" s="28"/>
      <c r="AG171" s="28"/>
      <c r="AH171" s="28"/>
      <c r="AI171" s="28"/>
      <c r="AJ171" s="128"/>
      <c r="AK171" s="28"/>
    </row>
    <row r="172" spans="1:37" s="26" customFormat="1" ht="92.25" hidden="1" customHeight="1">
      <c r="A172" s="31">
        <v>163</v>
      </c>
      <c r="B172" s="129" t="s">
        <v>516</v>
      </c>
      <c r="C172" s="129"/>
      <c r="D172" s="130" t="s">
        <v>475</v>
      </c>
      <c r="E172" s="25" t="s">
        <v>53</v>
      </c>
      <c r="F172" s="24" t="s">
        <v>107</v>
      </c>
      <c r="G172" s="29"/>
      <c r="H172" s="51"/>
      <c r="I172" s="25"/>
      <c r="J172" s="25"/>
      <c r="K172" s="25"/>
      <c r="L172" s="25"/>
      <c r="M172" s="33"/>
      <c r="N172" s="25"/>
      <c r="O172" s="25"/>
      <c r="P172" s="33"/>
      <c r="Q172" s="25"/>
      <c r="R172" s="33"/>
      <c r="S172" s="25"/>
      <c r="T172" s="25"/>
      <c r="U172" s="25"/>
      <c r="V172" s="25"/>
      <c r="W172" s="25"/>
      <c r="X172" s="33"/>
      <c r="Y172" s="33"/>
      <c r="Z172" s="33"/>
      <c r="AA172" s="25"/>
      <c r="AB172" s="51">
        <v>1298000</v>
      </c>
      <c r="AC172" s="25" t="s">
        <v>34</v>
      </c>
      <c r="AD172" s="33">
        <v>45544</v>
      </c>
      <c r="AE172" s="25" t="s">
        <v>33</v>
      </c>
      <c r="AF172" s="25"/>
      <c r="AG172" s="33"/>
      <c r="AH172" s="25"/>
      <c r="AI172" s="25"/>
      <c r="AJ172" s="116"/>
      <c r="AK172" s="25"/>
    </row>
    <row r="173" spans="1:37" s="26" customFormat="1" ht="92.25" hidden="1" customHeight="1">
      <c r="A173" s="26">
        <v>164</v>
      </c>
      <c r="B173" s="129" t="s">
        <v>517</v>
      </c>
      <c r="C173" s="129"/>
      <c r="D173" s="130" t="s">
        <v>518</v>
      </c>
      <c r="E173" s="25"/>
      <c r="F173" s="24"/>
      <c r="G173" s="29"/>
      <c r="H173" s="51"/>
      <c r="I173" s="25"/>
      <c r="J173" s="25"/>
      <c r="K173" s="25"/>
      <c r="L173" s="25"/>
      <c r="M173" s="33"/>
      <c r="N173" s="25"/>
      <c r="O173" s="25"/>
      <c r="P173" s="33"/>
      <c r="Q173" s="25"/>
      <c r="R173" s="33"/>
      <c r="S173" s="25"/>
      <c r="T173" s="25"/>
      <c r="U173" s="25"/>
      <c r="V173" s="25"/>
      <c r="W173" s="25"/>
      <c r="X173" s="33"/>
      <c r="Y173" s="33"/>
      <c r="Z173" s="33"/>
      <c r="AA173" s="25"/>
      <c r="AB173" s="51">
        <v>300000</v>
      </c>
      <c r="AC173" s="25" t="s">
        <v>34</v>
      </c>
      <c r="AD173" s="33">
        <v>45544</v>
      </c>
      <c r="AE173" s="25" t="s">
        <v>33</v>
      </c>
      <c r="AF173" s="25"/>
      <c r="AG173" s="33"/>
      <c r="AH173" s="25"/>
      <c r="AI173" s="25"/>
      <c r="AJ173" s="116"/>
      <c r="AK173" s="25"/>
    </row>
    <row r="174" spans="1:37" s="26" customFormat="1" ht="93" hidden="1" customHeight="1">
      <c r="A174" s="26">
        <v>165</v>
      </c>
      <c r="B174" s="129" t="s">
        <v>519</v>
      </c>
      <c r="C174" s="129"/>
      <c r="D174" s="130" t="s">
        <v>520</v>
      </c>
      <c r="E174" s="25" t="s">
        <v>31</v>
      </c>
      <c r="F174" s="24" t="s">
        <v>47</v>
      </c>
      <c r="G174" s="29"/>
      <c r="H174" s="51"/>
      <c r="I174" s="25"/>
      <c r="J174" s="25"/>
      <c r="K174" s="25"/>
      <c r="L174" s="25"/>
      <c r="M174" s="33"/>
      <c r="N174" s="25"/>
      <c r="O174" s="25"/>
      <c r="P174" s="33"/>
      <c r="Q174" s="25"/>
      <c r="R174" s="33"/>
      <c r="S174" s="25"/>
      <c r="T174" s="25"/>
      <c r="U174" s="25"/>
      <c r="V174" s="25"/>
      <c r="W174" s="25"/>
      <c r="X174" s="33"/>
      <c r="Y174" s="33"/>
      <c r="Z174" s="33"/>
      <c r="AA174" s="25"/>
      <c r="AB174" s="29">
        <v>1623.6</v>
      </c>
      <c r="AC174" s="25" t="s">
        <v>34</v>
      </c>
      <c r="AD174" s="33">
        <v>45546</v>
      </c>
      <c r="AE174" s="25"/>
      <c r="AF174" s="25"/>
      <c r="AG174" s="33"/>
      <c r="AH174" s="25"/>
      <c r="AI174" s="25"/>
      <c r="AJ174" s="116"/>
      <c r="AK174" s="25"/>
    </row>
    <row r="175" spans="1:37" s="26" customFormat="1" ht="110.25" hidden="1" customHeight="1">
      <c r="A175" s="26">
        <v>166</v>
      </c>
      <c r="B175" s="129" t="s">
        <v>521</v>
      </c>
      <c r="C175" s="129"/>
      <c r="D175" s="130" t="s">
        <v>522</v>
      </c>
      <c r="E175" s="25" t="s">
        <v>53</v>
      </c>
      <c r="F175" s="24" t="s">
        <v>58</v>
      </c>
      <c r="G175" s="29"/>
      <c r="H175" s="51">
        <v>5887000</v>
      </c>
      <c r="I175" s="25"/>
      <c r="J175" s="25" t="s">
        <v>34</v>
      </c>
      <c r="K175" s="25" t="s">
        <v>33</v>
      </c>
      <c r="L175" s="25" t="s">
        <v>80</v>
      </c>
      <c r="M175" s="33">
        <v>45551</v>
      </c>
      <c r="N175" s="25"/>
      <c r="O175" s="25"/>
      <c r="P175" s="33"/>
      <c r="Q175" s="25"/>
      <c r="R175" s="33"/>
      <c r="S175" s="25"/>
      <c r="T175" s="25"/>
      <c r="U175" s="25"/>
      <c r="V175" s="25"/>
      <c r="W175" s="25"/>
      <c r="X175" s="33"/>
      <c r="Y175" s="33"/>
      <c r="Z175" s="33"/>
      <c r="AA175" s="25"/>
      <c r="AB175" s="29"/>
      <c r="AC175" s="25"/>
      <c r="AD175" s="33"/>
      <c r="AE175" s="25"/>
      <c r="AF175" s="25"/>
      <c r="AG175" s="33"/>
      <c r="AH175" s="25"/>
      <c r="AI175" s="25"/>
      <c r="AJ175" s="116"/>
      <c r="AK175" s="25"/>
    </row>
    <row r="176" spans="1:37" s="26" customFormat="1" ht="93" hidden="1" customHeight="1">
      <c r="A176" s="26">
        <v>167</v>
      </c>
      <c r="B176" s="129" t="s">
        <v>523</v>
      </c>
      <c r="C176" s="129"/>
      <c r="D176" s="130" t="s">
        <v>524</v>
      </c>
      <c r="E176" s="25" t="s">
        <v>53</v>
      </c>
      <c r="F176" s="24" t="s">
        <v>58</v>
      </c>
      <c r="G176" s="29"/>
      <c r="H176" s="51">
        <v>1914000</v>
      </c>
      <c r="I176" s="25"/>
      <c r="J176" s="25" t="s">
        <v>34</v>
      </c>
      <c r="K176" s="25" t="s">
        <v>33</v>
      </c>
      <c r="L176" s="25" t="s">
        <v>80</v>
      </c>
      <c r="M176" s="33">
        <v>45551</v>
      </c>
      <c r="N176" s="25"/>
      <c r="O176" s="25"/>
      <c r="P176" s="33"/>
      <c r="Q176" s="25"/>
      <c r="R176" s="33"/>
      <c r="S176" s="25"/>
      <c r="T176" s="25"/>
      <c r="U176" s="25"/>
      <c r="V176" s="25"/>
      <c r="W176" s="25"/>
      <c r="X176" s="33"/>
      <c r="Y176" s="33"/>
      <c r="Z176" s="33"/>
      <c r="AA176" s="25"/>
      <c r="AB176" s="29"/>
      <c r="AC176" s="25"/>
      <c r="AD176" s="33"/>
      <c r="AE176" s="25"/>
      <c r="AF176" s="25"/>
      <c r="AG176" s="33"/>
      <c r="AH176" s="25"/>
      <c r="AI176" s="25"/>
      <c r="AJ176" s="116"/>
      <c r="AK176" s="25"/>
    </row>
    <row r="177" spans="1:37" s="26" customFormat="1" ht="93" hidden="1" customHeight="1">
      <c r="A177" s="26">
        <v>168</v>
      </c>
      <c r="B177" s="129" t="s">
        <v>525</v>
      </c>
      <c r="C177" s="129"/>
      <c r="D177" s="130" t="s">
        <v>526</v>
      </c>
      <c r="E177" s="25" t="s">
        <v>53</v>
      </c>
      <c r="F177" s="24" t="s">
        <v>58</v>
      </c>
      <c r="G177" s="29"/>
      <c r="H177" s="51">
        <v>2750000</v>
      </c>
      <c r="I177" s="25"/>
      <c r="J177" s="25" t="s">
        <v>34</v>
      </c>
      <c r="K177" s="25" t="s">
        <v>33</v>
      </c>
      <c r="L177" s="25" t="s">
        <v>80</v>
      </c>
      <c r="M177" s="33" t="s">
        <v>151</v>
      </c>
      <c r="N177" s="25"/>
      <c r="O177" s="25"/>
      <c r="P177" s="33"/>
      <c r="Q177" s="25"/>
      <c r="R177" s="33"/>
      <c r="S177" s="25"/>
      <c r="T177" s="25"/>
      <c r="U177" s="25"/>
      <c r="V177" s="25"/>
      <c r="W177" s="25"/>
      <c r="X177" s="33"/>
      <c r="Y177" s="33"/>
      <c r="Z177" s="33"/>
      <c r="AA177" s="25"/>
      <c r="AB177" s="29"/>
      <c r="AC177" s="25"/>
      <c r="AD177" s="33"/>
      <c r="AE177" s="25"/>
      <c r="AF177" s="25"/>
      <c r="AG177" s="33"/>
      <c r="AH177" s="25"/>
      <c r="AI177" s="25"/>
      <c r="AJ177" s="116"/>
      <c r="AK177" s="25"/>
    </row>
    <row r="178" spans="1:37" s="26" customFormat="1" ht="93" hidden="1" customHeight="1">
      <c r="A178" s="54">
        <f t="shared" ref="A178:A181" si="7">A177+1</f>
        <v>169</v>
      </c>
      <c r="B178" s="129" t="s">
        <v>527</v>
      </c>
      <c r="C178" s="129"/>
      <c r="D178" s="24" t="s">
        <v>528</v>
      </c>
      <c r="E178" s="28" t="s">
        <v>31</v>
      </c>
      <c r="F178" s="24" t="s">
        <v>509</v>
      </c>
      <c r="G178" s="204"/>
      <c r="H178" s="29"/>
      <c r="I178" s="83"/>
      <c r="J178" s="83"/>
      <c r="K178" s="83"/>
      <c r="L178" s="35"/>
      <c r="M178" s="61"/>
      <c r="N178" s="35"/>
      <c r="O178" s="35"/>
      <c r="P178" s="61"/>
      <c r="Q178" s="35"/>
      <c r="R178" s="61"/>
      <c r="S178" s="35"/>
      <c r="T178" s="35"/>
      <c r="U178" s="35"/>
      <c r="V178" s="35"/>
      <c r="W178" s="132"/>
      <c r="X178" s="132"/>
      <c r="Y178" s="132"/>
      <c r="Z178" s="132"/>
      <c r="AA178" s="262"/>
      <c r="AB178" s="29">
        <v>363</v>
      </c>
      <c r="AC178" s="25" t="s">
        <v>34</v>
      </c>
      <c r="AD178" s="33">
        <v>45551</v>
      </c>
      <c r="AE178" s="28" t="s">
        <v>33</v>
      </c>
      <c r="AF178" s="25"/>
      <c r="AG178" s="25"/>
      <c r="AH178" s="25"/>
      <c r="AI178" s="25"/>
      <c r="AJ178" s="116"/>
      <c r="AK178" s="25"/>
    </row>
    <row r="179" spans="1:37" s="26" customFormat="1" ht="93" hidden="1" customHeight="1">
      <c r="A179" s="31">
        <f t="shared" si="7"/>
        <v>170</v>
      </c>
      <c r="B179" s="129" t="s">
        <v>529</v>
      </c>
      <c r="C179" s="129"/>
      <c r="D179" s="24" t="s">
        <v>530</v>
      </c>
      <c r="E179" s="25" t="s">
        <v>31</v>
      </c>
      <c r="F179" s="24" t="s">
        <v>67</v>
      </c>
      <c r="G179" s="29">
        <v>50</v>
      </c>
      <c r="H179" s="29">
        <v>55</v>
      </c>
      <c r="I179" s="83"/>
      <c r="J179" s="83"/>
      <c r="K179" s="83"/>
      <c r="L179" s="35"/>
      <c r="M179" s="61"/>
      <c r="N179" s="35"/>
      <c r="O179" s="35"/>
      <c r="P179" s="61"/>
      <c r="Q179" s="35"/>
      <c r="R179" s="61"/>
      <c r="S179" s="35"/>
      <c r="T179" s="35"/>
      <c r="U179" s="35"/>
      <c r="V179" s="35"/>
      <c r="W179" s="132"/>
      <c r="X179" s="132"/>
      <c r="Y179" s="132"/>
      <c r="Z179" s="132"/>
      <c r="AA179" s="262"/>
      <c r="AB179" s="29">
        <v>75</v>
      </c>
      <c r="AC179" s="25" t="s">
        <v>34</v>
      </c>
      <c r="AD179" s="33">
        <v>45555</v>
      </c>
      <c r="AE179" s="25"/>
      <c r="AF179" s="25"/>
      <c r="AG179" s="25"/>
      <c r="AH179" s="25"/>
      <c r="AI179" s="25"/>
      <c r="AJ179" s="116"/>
      <c r="AK179" s="25"/>
    </row>
    <row r="180" spans="1:37" s="26" customFormat="1" ht="93" hidden="1" customHeight="1">
      <c r="A180" s="54">
        <f t="shared" si="7"/>
        <v>171</v>
      </c>
      <c r="B180" s="129" t="s">
        <v>531</v>
      </c>
      <c r="C180" s="129"/>
      <c r="D180" s="24" t="s">
        <v>532</v>
      </c>
      <c r="E180" s="25" t="s">
        <v>31</v>
      </c>
      <c r="F180" s="24" t="s">
        <v>61</v>
      </c>
      <c r="G180" s="29">
        <v>2240</v>
      </c>
      <c r="H180" s="29">
        <v>2464</v>
      </c>
      <c r="I180" s="83"/>
      <c r="J180" s="83"/>
      <c r="K180" s="83"/>
      <c r="L180" s="35"/>
      <c r="M180" s="61"/>
      <c r="N180" s="35"/>
      <c r="O180" s="35"/>
      <c r="P180" s="61"/>
      <c r="Q180" s="35"/>
      <c r="R180" s="61"/>
      <c r="S180" s="35"/>
      <c r="T180" s="35"/>
      <c r="U180" s="35"/>
      <c r="V180" s="35"/>
      <c r="W180" s="25"/>
      <c r="X180" s="132"/>
      <c r="Y180" s="132"/>
      <c r="Z180" s="132"/>
      <c r="AA180" s="262"/>
      <c r="AB180" s="29">
        <v>3080</v>
      </c>
      <c r="AC180" s="25" t="s">
        <v>34</v>
      </c>
      <c r="AD180" s="33">
        <v>45555</v>
      </c>
      <c r="AE180" s="25"/>
      <c r="AF180" s="25"/>
      <c r="AG180" s="25"/>
      <c r="AH180" s="25"/>
      <c r="AI180" s="25"/>
      <c r="AJ180" s="116"/>
      <c r="AK180" s="25"/>
    </row>
    <row r="181" spans="1:37" s="26" customFormat="1" ht="93" hidden="1" customHeight="1">
      <c r="A181" s="54">
        <f t="shared" si="7"/>
        <v>172</v>
      </c>
      <c r="B181" s="138" t="s">
        <v>533</v>
      </c>
      <c r="C181" s="138"/>
      <c r="D181" s="27" t="s">
        <v>502</v>
      </c>
      <c r="E181" s="28" t="s">
        <v>31</v>
      </c>
      <c r="F181" s="27" t="s">
        <v>64</v>
      </c>
      <c r="G181" s="66">
        <v>70</v>
      </c>
      <c r="H181" s="67">
        <v>77</v>
      </c>
      <c r="I181" s="82"/>
      <c r="J181" s="82"/>
      <c r="K181" s="82"/>
      <c r="L181" s="80"/>
      <c r="M181" s="79"/>
      <c r="N181" s="80"/>
      <c r="O181" s="80"/>
      <c r="P181" s="79"/>
      <c r="Q181" s="80"/>
      <c r="R181" s="79"/>
      <c r="S181" s="80"/>
      <c r="T181" s="80"/>
      <c r="U181" s="80"/>
      <c r="V181" s="80"/>
      <c r="W181" s="141"/>
      <c r="X181" s="141"/>
      <c r="Y181" s="141"/>
      <c r="Z181" s="141"/>
      <c r="AA181" s="273"/>
      <c r="AB181" s="67">
        <v>77</v>
      </c>
      <c r="AC181" s="28" t="s">
        <v>34</v>
      </c>
      <c r="AD181" s="55">
        <v>45555</v>
      </c>
      <c r="AE181" s="28"/>
      <c r="AF181" s="28"/>
      <c r="AG181" s="28"/>
      <c r="AH181" s="28"/>
      <c r="AI181" s="28"/>
      <c r="AJ181" s="128"/>
      <c r="AK181" s="28"/>
    </row>
    <row r="182" spans="1:37" s="26" customFormat="1" ht="93" hidden="1" customHeight="1">
      <c r="A182" s="25">
        <v>174</v>
      </c>
      <c r="B182" s="138" t="s">
        <v>534</v>
      </c>
      <c r="C182" s="138"/>
      <c r="D182" s="27" t="s">
        <v>535</v>
      </c>
      <c r="E182" s="28" t="s">
        <v>31</v>
      </c>
      <c r="F182" s="27" t="s">
        <v>395</v>
      </c>
      <c r="G182" s="58"/>
      <c r="H182" s="58"/>
      <c r="I182" s="278"/>
      <c r="J182" s="278"/>
      <c r="K182" s="278"/>
      <c r="L182" s="138"/>
      <c r="M182" s="141"/>
      <c r="N182" s="138"/>
      <c r="O182" s="138"/>
      <c r="P182" s="141"/>
      <c r="Q182" s="138"/>
      <c r="R182" s="141"/>
      <c r="S182" s="138"/>
      <c r="T182" s="138"/>
      <c r="U182" s="138"/>
      <c r="V182" s="138"/>
      <c r="W182" s="141"/>
      <c r="X182" s="141"/>
      <c r="Y182" s="141"/>
      <c r="Z182" s="141"/>
      <c r="AA182" s="273"/>
      <c r="AB182" s="67">
        <v>330</v>
      </c>
      <c r="AC182" s="28" t="s">
        <v>34</v>
      </c>
      <c r="AD182" s="55">
        <v>45574</v>
      </c>
      <c r="AE182" s="28" t="s">
        <v>33</v>
      </c>
      <c r="AF182" s="28"/>
      <c r="AG182" s="28"/>
      <c r="AH182" s="28"/>
      <c r="AI182" s="28"/>
      <c r="AJ182" s="128"/>
      <c r="AK182" s="28"/>
    </row>
    <row r="183" spans="1:37" s="26" customFormat="1" ht="93" hidden="1" customHeight="1">
      <c r="A183" s="26">
        <v>175</v>
      </c>
      <c r="B183" s="129" t="s">
        <v>536</v>
      </c>
      <c r="C183" s="129"/>
      <c r="D183" s="24" t="s">
        <v>537</v>
      </c>
      <c r="E183" s="25" t="s">
        <v>31</v>
      </c>
      <c r="F183" s="24"/>
      <c r="G183" s="51"/>
      <c r="H183" s="51"/>
      <c r="I183" s="266"/>
      <c r="J183" s="266"/>
      <c r="K183" s="266"/>
      <c r="L183" s="129"/>
      <c r="M183" s="132"/>
      <c r="N183" s="129"/>
      <c r="O183" s="129"/>
      <c r="P183" s="132"/>
      <c r="Q183" s="129"/>
      <c r="R183" s="132"/>
      <c r="S183" s="129"/>
      <c r="T183" s="129"/>
      <c r="U183" s="129"/>
      <c r="V183" s="129"/>
      <c r="W183" s="132"/>
      <c r="X183" s="132"/>
      <c r="Y183" s="132"/>
      <c r="Z183" s="132"/>
      <c r="AA183" s="262"/>
      <c r="AB183" s="29">
        <v>28</v>
      </c>
      <c r="AC183" s="28" t="s">
        <v>34</v>
      </c>
      <c r="AD183" s="33">
        <v>45574</v>
      </c>
      <c r="AE183" s="28" t="s">
        <v>33</v>
      </c>
      <c r="AF183" s="25"/>
      <c r="AG183" s="25"/>
      <c r="AH183" s="25"/>
      <c r="AI183" s="25"/>
      <c r="AJ183" s="116"/>
      <c r="AK183" s="25"/>
    </row>
    <row r="184" spans="1:37" s="26" customFormat="1" ht="93" hidden="1" customHeight="1">
      <c r="A184" s="26">
        <v>176</v>
      </c>
      <c r="B184" s="138" t="s">
        <v>538</v>
      </c>
      <c r="C184" s="138"/>
      <c r="D184" s="27" t="s">
        <v>539</v>
      </c>
      <c r="E184" s="28" t="s">
        <v>53</v>
      </c>
      <c r="F184" s="27" t="s">
        <v>107</v>
      </c>
      <c r="G184" s="58"/>
      <c r="H184" s="58"/>
      <c r="I184" s="278"/>
      <c r="J184" s="278"/>
      <c r="K184" s="278"/>
      <c r="L184" s="138"/>
      <c r="M184" s="141"/>
      <c r="N184" s="138"/>
      <c r="O184" s="138"/>
      <c r="P184" s="141"/>
      <c r="Q184" s="138"/>
      <c r="R184" s="141"/>
      <c r="S184" s="138"/>
      <c r="T184" s="138"/>
      <c r="U184" s="138"/>
      <c r="V184" s="138"/>
      <c r="W184" s="141"/>
      <c r="X184" s="141"/>
      <c r="Y184" s="141"/>
      <c r="Z184" s="141"/>
      <c r="AA184" s="273"/>
      <c r="AB184" s="58">
        <v>1298000</v>
      </c>
      <c r="AC184" s="28" t="s">
        <v>34</v>
      </c>
      <c r="AD184" s="55">
        <v>45579</v>
      </c>
      <c r="AE184" s="28" t="s">
        <v>33</v>
      </c>
      <c r="AF184" s="28"/>
      <c r="AG184" s="28"/>
      <c r="AH184" s="28"/>
      <c r="AI184" s="28"/>
      <c r="AJ184" s="128"/>
      <c r="AK184" s="28"/>
    </row>
    <row r="185" spans="1:37" s="26" customFormat="1" ht="93" hidden="1" customHeight="1">
      <c r="A185" s="25">
        <v>177</v>
      </c>
      <c r="B185" s="129" t="s">
        <v>540</v>
      </c>
      <c r="C185" s="129"/>
      <c r="D185" s="24" t="s">
        <v>541</v>
      </c>
      <c r="E185" s="25" t="s">
        <v>53</v>
      </c>
      <c r="F185" s="24" t="s">
        <v>191</v>
      </c>
      <c r="G185" s="51"/>
      <c r="H185" s="51"/>
      <c r="I185" s="266"/>
      <c r="J185" s="266"/>
      <c r="K185" s="266"/>
      <c r="L185" s="129"/>
      <c r="M185" s="132"/>
      <c r="N185" s="129"/>
      <c r="O185" s="129"/>
      <c r="P185" s="132"/>
      <c r="Q185" s="129"/>
      <c r="R185" s="132"/>
      <c r="S185" s="129"/>
      <c r="T185" s="129"/>
      <c r="U185" s="129"/>
      <c r="V185" s="129"/>
      <c r="W185" s="132"/>
      <c r="X185" s="132"/>
      <c r="Y185" s="132"/>
      <c r="Z185" s="132"/>
      <c r="AA185" s="262"/>
      <c r="AB185" s="51">
        <v>5115270</v>
      </c>
      <c r="AC185" s="28" t="s">
        <v>34</v>
      </c>
      <c r="AD185" s="33">
        <v>45579</v>
      </c>
      <c r="AE185" s="28" t="s">
        <v>33</v>
      </c>
      <c r="AF185" s="25"/>
      <c r="AG185" s="25"/>
      <c r="AH185" s="25"/>
      <c r="AI185" s="25"/>
      <c r="AJ185" s="116"/>
      <c r="AK185" s="25"/>
    </row>
    <row r="186" spans="1:37" s="26" customFormat="1" ht="93" hidden="1" customHeight="1">
      <c r="A186" s="25">
        <v>178</v>
      </c>
      <c r="B186" s="129" t="s">
        <v>542</v>
      </c>
      <c r="C186" s="129"/>
      <c r="D186" s="24" t="s">
        <v>543</v>
      </c>
      <c r="E186" s="25" t="s">
        <v>53</v>
      </c>
      <c r="F186" s="24" t="s">
        <v>230</v>
      </c>
      <c r="G186" s="51"/>
      <c r="H186" s="51"/>
      <c r="I186" s="266"/>
      <c r="J186" s="266"/>
      <c r="K186" s="266"/>
      <c r="L186" s="129"/>
      <c r="M186" s="132"/>
      <c r="N186" s="129"/>
      <c r="O186" s="129"/>
      <c r="P186" s="132"/>
      <c r="Q186" s="129"/>
      <c r="R186" s="132"/>
      <c r="S186" s="129"/>
      <c r="T186" s="129"/>
      <c r="U186" s="129"/>
      <c r="V186" s="129"/>
      <c r="W186" s="132"/>
      <c r="X186" s="132"/>
      <c r="Y186" s="132"/>
      <c r="Z186" s="132"/>
      <c r="AA186" s="262"/>
      <c r="AB186" s="51">
        <v>23980000</v>
      </c>
      <c r="AC186" s="28" t="s">
        <v>34</v>
      </c>
      <c r="AD186" s="33">
        <v>45579</v>
      </c>
      <c r="AE186" s="28" t="s">
        <v>33</v>
      </c>
      <c r="AF186" s="25"/>
      <c r="AG186" s="25"/>
      <c r="AH186" s="25"/>
      <c r="AI186" s="25"/>
      <c r="AJ186" s="116"/>
      <c r="AK186" s="25"/>
    </row>
    <row r="187" spans="1:37" s="26" customFormat="1" ht="93" hidden="1" customHeight="1">
      <c r="A187" s="25">
        <v>179</v>
      </c>
      <c r="B187" s="129" t="s">
        <v>544</v>
      </c>
      <c r="C187" s="129"/>
      <c r="D187" s="24" t="s">
        <v>545</v>
      </c>
      <c r="E187" s="25" t="s">
        <v>53</v>
      </c>
      <c r="F187" s="24" t="s">
        <v>546</v>
      </c>
      <c r="G187" s="51"/>
      <c r="H187" s="51"/>
      <c r="I187" s="266"/>
      <c r="J187" s="266"/>
      <c r="K187" s="266"/>
      <c r="L187" s="129"/>
      <c r="M187" s="132"/>
      <c r="N187" s="129"/>
      <c r="O187" s="129"/>
      <c r="P187" s="132"/>
      <c r="Q187" s="129"/>
      <c r="R187" s="132"/>
      <c r="S187" s="129"/>
      <c r="T187" s="129"/>
      <c r="U187" s="129"/>
      <c r="V187" s="129"/>
      <c r="W187" s="132"/>
      <c r="X187" s="132"/>
      <c r="Y187" s="132"/>
      <c r="Z187" s="132"/>
      <c r="AA187" s="262"/>
      <c r="AB187" s="51">
        <v>13200000</v>
      </c>
      <c r="AC187" s="28" t="s">
        <v>34</v>
      </c>
      <c r="AD187" s="33">
        <v>45579</v>
      </c>
      <c r="AE187" s="28" t="s">
        <v>33</v>
      </c>
      <c r="AF187" s="25"/>
      <c r="AG187" s="25"/>
      <c r="AH187" s="25"/>
      <c r="AI187" s="25"/>
      <c r="AJ187" s="116"/>
      <c r="AK187" s="25"/>
    </row>
    <row r="188" spans="1:37" s="26" customFormat="1" ht="93" hidden="1" customHeight="1">
      <c r="A188" s="25">
        <v>179</v>
      </c>
      <c r="B188" s="129" t="s">
        <v>547</v>
      </c>
      <c r="C188" s="129"/>
      <c r="D188" s="24" t="s">
        <v>548</v>
      </c>
      <c r="E188" s="25" t="s">
        <v>53</v>
      </c>
      <c r="F188" s="24" t="s">
        <v>58</v>
      </c>
      <c r="G188" s="51"/>
      <c r="H188" s="51"/>
      <c r="I188" s="266"/>
      <c r="J188" s="266"/>
      <c r="K188" s="266"/>
      <c r="L188" s="129"/>
      <c r="M188" s="132"/>
      <c r="N188" s="129"/>
      <c r="O188" s="129"/>
      <c r="P188" s="132"/>
      <c r="Q188" s="129"/>
      <c r="R188" s="132"/>
      <c r="S188" s="129"/>
      <c r="T188" s="129"/>
      <c r="U188" s="129"/>
      <c r="V188" s="129"/>
      <c r="W188" s="132"/>
      <c r="X188" s="132"/>
      <c r="Y188" s="132"/>
      <c r="Z188" s="132"/>
      <c r="AA188" s="262"/>
      <c r="AB188" s="51">
        <v>37850000</v>
      </c>
      <c r="AC188" s="28" t="s">
        <v>34</v>
      </c>
      <c r="AD188" s="33">
        <v>45579</v>
      </c>
      <c r="AE188" s="28" t="s">
        <v>33</v>
      </c>
      <c r="AF188" s="25"/>
      <c r="AG188" s="25"/>
      <c r="AH188" s="25"/>
      <c r="AI188" s="25"/>
      <c r="AJ188" s="116"/>
      <c r="AK188" s="25"/>
    </row>
    <row r="189" spans="1:37" s="26" customFormat="1" ht="93" hidden="1" customHeight="1">
      <c r="A189" s="25">
        <v>180</v>
      </c>
      <c r="B189" s="129" t="s">
        <v>549</v>
      </c>
      <c r="C189" s="129"/>
      <c r="D189" s="24" t="s">
        <v>550</v>
      </c>
      <c r="E189" s="25" t="s">
        <v>31</v>
      </c>
      <c r="F189" s="24" t="s">
        <v>47</v>
      </c>
      <c r="G189" s="51"/>
      <c r="H189" s="51"/>
      <c r="I189" s="266"/>
      <c r="J189" s="266"/>
      <c r="K189" s="266"/>
      <c r="L189" s="129"/>
      <c r="M189" s="132"/>
      <c r="N189" s="129"/>
      <c r="O189" s="129"/>
      <c r="P189" s="132"/>
      <c r="Q189" s="129"/>
      <c r="R189" s="132"/>
      <c r="S189" s="129"/>
      <c r="T189" s="129"/>
      <c r="U189" s="129"/>
      <c r="V189" s="129"/>
      <c r="W189" s="132"/>
      <c r="X189" s="132"/>
      <c r="Y189" s="132"/>
      <c r="Z189" s="132"/>
      <c r="AA189" s="262"/>
      <c r="AB189" s="29">
        <v>1512</v>
      </c>
      <c r="AC189" s="28" t="s">
        <v>34</v>
      </c>
      <c r="AD189" s="33">
        <v>45579</v>
      </c>
      <c r="AE189" s="28" t="s">
        <v>33</v>
      </c>
      <c r="AF189" s="25"/>
      <c r="AG189" s="25"/>
      <c r="AH189" s="25"/>
      <c r="AI189" s="25"/>
      <c r="AJ189" s="116"/>
      <c r="AK189" s="25"/>
    </row>
    <row r="190" spans="1:37" s="26" customFormat="1" ht="77.25" hidden="1" customHeight="1">
      <c r="A190" s="25">
        <v>181</v>
      </c>
      <c r="B190" s="129" t="s">
        <v>551</v>
      </c>
      <c r="C190" s="129"/>
      <c r="D190" s="24" t="s">
        <v>552</v>
      </c>
      <c r="E190" s="25" t="s">
        <v>31</v>
      </c>
      <c r="F190" s="24" t="s">
        <v>64</v>
      </c>
      <c r="G190" s="51"/>
      <c r="H190" s="51"/>
      <c r="I190" s="266"/>
      <c r="J190" s="266"/>
      <c r="K190" s="266"/>
      <c r="L190" s="129"/>
      <c r="M190" s="132"/>
      <c r="N190" s="129"/>
      <c r="O190" s="129"/>
      <c r="P190" s="132"/>
      <c r="Q190" s="129"/>
      <c r="R190" s="132"/>
      <c r="S190" s="129"/>
      <c r="T190" s="129"/>
      <c r="U190" s="129"/>
      <c r="V190" s="129"/>
      <c r="W190" s="132"/>
      <c r="X190" s="132"/>
      <c r="Y190" s="132"/>
      <c r="Z190" s="132"/>
      <c r="AA190" s="262"/>
      <c r="AB190" s="29">
        <v>8.8000000000000007</v>
      </c>
      <c r="AC190" s="28" t="s">
        <v>34</v>
      </c>
      <c r="AD190" s="33">
        <v>45579</v>
      </c>
      <c r="AE190" s="28" t="s">
        <v>33</v>
      </c>
      <c r="AF190" s="25"/>
      <c r="AG190" s="25"/>
      <c r="AH190" s="25"/>
      <c r="AI190" s="25"/>
      <c r="AJ190" s="116"/>
      <c r="AK190" s="25"/>
    </row>
    <row r="191" spans="1:37" s="26" customFormat="1" ht="93" hidden="1" customHeight="1">
      <c r="A191" s="25">
        <v>182</v>
      </c>
      <c r="B191" s="129" t="s">
        <v>553</v>
      </c>
      <c r="C191" s="129"/>
      <c r="D191" s="24" t="s">
        <v>554</v>
      </c>
      <c r="E191" s="25" t="s">
        <v>53</v>
      </c>
      <c r="F191" s="24" t="s">
        <v>58</v>
      </c>
      <c r="G191" s="51"/>
      <c r="H191" s="51">
        <v>2908000</v>
      </c>
      <c r="I191" s="266"/>
      <c r="J191" s="266" t="s">
        <v>34</v>
      </c>
      <c r="K191" s="266" t="s">
        <v>33</v>
      </c>
      <c r="L191" s="129" t="s">
        <v>34</v>
      </c>
      <c r="M191" s="132">
        <v>45595</v>
      </c>
      <c r="N191" s="129"/>
      <c r="O191" s="129"/>
      <c r="P191" s="132"/>
      <c r="Q191" s="129"/>
      <c r="R191" s="132"/>
      <c r="S191" s="129"/>
      <c r="T191" s="129"/>
      <c r="U191" s="129"/>
      <c r="V191" s="129"/>
      <c r="W191" s="132"/>
      <c r="X191" s="132"/>
      <c r="Y191" s="132"/>
      <c r="Z191" s="132"/>
      <c r="AA191" s="262"/>
      <c r="AB191" s="29"/>
      <c r="AC191" s="28"/>
      <c r="AD191" s="33"/>
      <c r="AE191" s="28"/>
      <c r="AF191" s="25"/>
      <c r="AG191" s="25"/>
      <c r="AH191" s="25"/>
      <c r="AI191" s="25"/>
      <c r="AJ191" s="116"/>
      <c r="AK191" s="25"/>
    </row>
    <row r="192" spans="1:37" s="26" customFormat="1" ht="93" hidden="1" customHeight="1">
      <c r="A192" s="25">
        <v>183</v>
      </c>
      <c r="B192" s="129" t="s">
        <v>555</v>
      </c>
      <c r="C192" s="129"/>
      <c r="D192" s="24" t="s">
        <v>556</v>
      </c>
      <c r="E192" s="25" t="s">
        <v>53</v>
      </c>
      <c r="F192" s="24" t="s">
        <v>58</v>
      </c>
      <c r="G192" s="51"/>
      <c r="H192" s="51">
        <v>2486000</v>
      </c>
      <c r="I192" s="266"/>
      <c r="J192" s="266" t="s">
        <v>34</v>
      </c>
      <c r="K192" s="266" t="s">
        <v>33</v>
      </c>
      <c r="L192" s="129" t="s">
        <v>34</v>
      </c>
      <c r="M192" s="132">
        <v>45603</v>
      </c>
      <c r="N192" s="129"/>
      <c r="O192" s="129"/>
      <c r="P192" s="132"/>
      <c r="Q192" s="129"/>
      <c r="R192" s="132"/>
      <c r="S192" s="129"/>
      <c r="T192" s="129"/>
      <c r="U192" s="129"/>
      <c r="V192" s="129"/>
      <c r="W192" s="132"/>
      <c r="X192" s="132"/>
      <c r="Y192" s="132"/>
      <c r="Z192" s="132"/>
      <c r="AA192" s="262"/>
      <c r="AB192" s="29"/>
      <c r="AC192" s="28"/>
      <c r="AD192" s="33"/>
      <c r="AE192" s="28"/>
      <c r="AF192" s="25"/>
      <c r="AG192" s="25"/>
      <c r="AH192" s="25"/>
      <c r="AI192" s="25"/>
      <c r="AJ192" s="116"/>
      <c r="AK192" s="25"/>
    </row>
    <row r="193" spans="1:37" s="26" customFormat="1" ht="93" hidden="1" customHeight="1">
      <c r="A193" s="25">
        <v>184</v>
      </c>
      <c r="B193" s="129" t="s">
        <v>557</v>
      </c>
      <c r="C193" s="138"/>
      <c r="D193" s="27" t="s">
        <v>558</v>
      </c>
      <c r="E193" s="28" t="s">
        <v>53</v>
      </c>
      <c r="F193" s="27" t="s">
        <v>107</v>
      </c>
      <c r="G193" s="58"/>
      <c r="H193" s="58"/>
      <c r="I193" s="278"/>
      <c r="J193" s="278"/>
      <c r="K193" s="278"/>
      <c r="L193" s="138"/>
      <c r="M193" s="141"/>
      <c r="N193" s="138"/>
      <c r="O193" s="138"/>
      <c r="P193" s="141"/>
      <c r="Q193" s="138"/>
      <c r="R193" s="141"/>
      <c r="S193" s="138"/>
      <c r="T193" s="138"/>
      <c r="U193" s="138"/>
      <c r="V193" s="138"/>
      <c r="W193" s="141"/>
      <c r="X193" s="141"/>
      <c r="Y193" s="141"/>
      <c r="Z193" s="141"/>
      <c r="AA193" s="273"/>
      <c r="AB193" s="58">
        <v>1659936</v>
      </c>
      <c r="AC193" s="28" t="s">
        <v>34</v>
      </c>
      <c r="AD193" s="55">
        <v>45610</v>
      </c>
      <c r="AE193" s="28"/>
      <c r="AF193" s="28"/>
      <c r="AG193" s="28"/>
      <c r="AH193" s="28"/>
      <c r="AI193" s="28"/>
      <c r="AJ193" s="128"/>
      <c r="AK193" s="28"/>
    </row>
    <row r="194" spans="1:37" s="26" customFormat="1" ht="93" hidden="1" customHeight="1">
      <c r="A194" s="25">
        <v>185</v>
      </c>
      <c r="B194" s="129" t="s">
        <v>559</v>
      </c>
      <c r="C194" s="129"/>
      <c r="D194" s="24" t="s">
        <v>560</v>
      </c>
      <c r="E194" s="25" t="s">
        <v>53</v>
      </c>
      <c r="F194" s="24" t="s">
        <v>191</v>
      </c>
      <c r="G194" s="51"/>
      <c r="H194" s="51"/>
      <c r="I194" s="266"/>
      <c r="J194" s="266"/>
      <c r="K194" s="266"/>
      <c r="L194" s="129"/>
      <c r="M194" s="132"/>
      <c r="N194" s="129"/>
      <c r="O194" s="129"/>
      <c r="P194" s="132"/>
      <c r="Q194" s="129"/>
      <c r="R194" s="132"/>
      <c r="S194" s="129"/>
      <c r="T194" s="129"/>
      <c r="U194" s="129"/>
      <c r="V194" s="129"/>
      <c r="W194" s="132"/>
      <c r="X194" s="132"/>
      <c r="Y194" s="132"/>
      <c r="Z194" s="132"/>
      <c r="AA194" s="262"/>
      <c r="AB194" s="51">
        <v>10796039</v>
      </c>
      <c r="AC194" s="28" t="s">
        <v>34</v>
      </c>
      <c r="AD194" s="55">
        <v>45610</v>
      </c>
      <c r="AE194" s="28"/>
      <c r="AF194" s="25"/>
      <c r="AG194" s="25"/>
      <c r="AH194" s="25"/>
      <c r="AI194" s="25"/>
      <c r="AJ194" s="116"/>
      <c r="AK194" s="25"/>
    </row>
    <row r="195" spans="1:37" s="26" customFormat="1" ht="93" hidden="1" customHeight="1">
      <c r="A195" s="25">
        <v>186</v>
      </c>
      <c r="B195" s="129" t="s">
        <v>561</v>
      </c>
      <c r="C195" s="129"/>
      <c r="D195" s="24" t="s">
        <v>543</v>
      </c>
      <c r="E195" s="25" t="s">
        <v>53</v>
      </c>
      <c r="F195" s="24" t="s">
        <v>230</v>
      </c>
      <c r="G195" s="51"/>
      <c r="H195" s="51"/>
      <c r="I195" s="266"/>
      <c r="J195" s="266"/>
      <c r="K195" s="266"/>
      <c r="L195" s="129"/>
      <c r="M195" s="132"/>
      <c r="N195" s="129"/>
      <c r="O195" s="129"/>
      <c r="P195" s="132"/>
      <c r="Q195" s="129"/>
      <c r="R195" s="132"/>
      <c r="S195" s="129"/>
      <c r="T195" s="129"/>
      <c r="U195" s="129"/>
      <c r="V195" s="129"/>
      <c r="W195" s="132"/>
      <c r="X195" s="132"/>
      <c r="Y195" s="132"/>
      <c r="Z195" s="132"/>
      <c r="AA195" s="262"/>
      <c r="AB195" s="51">
        <v>23980000</v>
      </c>
      <c r="AC195" s="28" t="s">
        <v>34</v>
      </c>
      <c r="AD195" s="55">
        <v>45610</v>
      </c>
      <c r="AE195" s="28" t="s">
        <v>33</v>
      </c>
      <c r="AF195" s="25"/>
      <c r="AG195" s="25"/>
      <c r="AH195" s="25"/>
      <c r="AI195" s="25"/>
      <c r="AJ195" s="116"/>
      <c r="AK195" s="25"/>
    </row>
    <row r="196" spans="1:37" s="26" customFormat="1" ht="93" hidden="1" customHeight="1">
      <c r="A196" s="31">
        <f t="shared" ref="A196:A201" si="8">A195+1</f>
        <v>187</v>
      </c>
      <c r="B196" s="129" t="s">
        <v>562</v>
      </c>
      <c r="C196" s="129"/>
      <c r="D196" s="24" t="s">
        <v>563</v>
      </c>
      <c r="E196" s="25" t="s">
        <v>31</v>
      </c>
      <c r="F196" s="24" t="s">
        <v>67</v>
      </c>
      <c r="G196" s="29">
        <v>50</v>
      </c>
      <c r="H196" s="29">
        <v>55</v>
      </c>
      <c r="I196" s="83"/>
      <c r="J196" s="83"/>
      <c r="K196" s="83"/>
      <c r="L196" s="35"/>
      <c r="M196" s="61"/>
      <c r="N196" s="35"/>
      <c r="O196" s="35"/>
      <c r="P196" s="61"/>
      <c r="Q196" s="35"/>
      <c r="R196" s="61"/>
      <c r="S196" s="35"/>
      <c r="T196" s="35"/>
      <c r="U196" s="35"/>
      <c r="V196" s="35"/>
      <c r="W196" s="132"/>
      <c r="X196" s="132"/>
      <c r="Y196" s="132"/>
      <c r="Z196" s="132"/>
      <c r="AA196" s="262"/>
      <c r="AB196" s="29">
        <v>70</v>
      </c>
      <c r="AC196" s="25" t="s">
        <v>34</v>
      </c>
      <c r="AD196" s="33">
        <v>45555</v>
      </c>
      <c r="AE196" s="25"/>
      <c r="AF196" s="25"/>
      <c r="AG196" s="25"/>
      <c r="AH196" s="25"/>
      <c r="AI196" s="25"/>
      <c r="AJ196" s="116"/>
      <c r="AK196" s="25"/>
    </row>
    <row r="197" spans="1:37" s="26" customFormat="1" ht="93" hidden="1" customHeight="1">
      <c r="A197" s="54">
        <f t="shared" si="8"/>
        <v>188</v>
      </c>
      <c r="B197" s="129" t="s">
        <v>564</v>
      </c>
      <c r="C197" s="129"/>
      <c r="D197" s="24" t="s">
        <v>565</v>
      </c>
      <c r="E197" s="25" t="s">
        <v>31</v>
      </c>
      <c r="F197" s="24" t="s">
        <v>61</v>
      </c>
      <c r="G197" s="29">
        <v>2800</v>
      </c>
      <c r="H197" s="29">
        <v>3080</v>
      </c>
      <c r="I197" s="83"/>
      <c r="J197" s="83"/>
      <c r="K197" s="83"/>
      <c r="L197" s="35"/>
      <c r="M197" s="61"/>
      <c r="N197" s="35"/>
      <c r="O197" s="35"/>
      <c r="P197" s="61"/>
      <c r="Q197" s="35"/>
      <c r="R197" s="61"/>
      <c r="S197" s="35"/>
      <c r="T197" s="35"/>
      <c r="U197" s="35"/>
      <c r="V197" s="35"/>
      <c r="W197" s="25"/>
      <c r="X197" s="132"/>
      <c r="Y197" s="132"/>
      <c r="Z197" s="132"/>
      <c r="AA197" s="262"/>
      <c r="AB197" s="29">
        <v>3080</v>
      </c>
      <c r="AC197" s="25" t="s">
        <v>34</v>
      </c>
      <c r="AD197" s="33">
        <v>45555</v>
      </c>
      <c r="AE197" s="25"/>
      <c r="AF197" s="25"/>
      <c r="AG197" s="25"/>
      <c r="AH197" s="25"/>
      <c r="AI197" s="25"/>
      <c r="AJ197" s="116"/>
      <c r="AK197" s="25"/>
    </row>
    <row r="198" spans="1:37" s="26" customFormat="1" ht="93" hidden="1" customHeight="1">
      <c r="A198" s="54">
        <f t="shared" si="8"/>
        <v>189</v>
      </c>
      <c r="B198" s="129" t="s">
        <v>566</v>
      </c>
      <c r="C198" s="138"/>
      <c r="D198" s="27" t="s">
        <v>567</v>
      </c>
      <c r="E198" s="28" t="s">
        <v>31</v>
      </c>
      <c r="F198" s="27" t="s">
        <v>64</v>
      </c>
      <c r="G198" s="66">
        <v>70</v>
      </c>
      <c r="H198" s="67">
        <v>77</v>
      </c>
      <c r="I198" s="82"/>
      <c r="J198" s="82"/>
      <c r="K198" s="82"/>
      <c r="L198" s="80"/>
      <c r="M198" s="79"/>
      <c r="N198" s="80"/>
      <c r="O198" s="80"/>
      <c r="P198" s="79"/>
      <c r="Q198" s="80"/>
      <c r="R198" s="79"/>
      <c r="S198" s="80"/>
      <c r="T198" s="80"/>
      <c r="U198" s="80"/>
      <c r="V198" s="80"/>
      <c r="W198" s="141"/>
      <c r="X198" s="141"/>
      <c r="Y198" s="141"/>
      <c r="Z198" s="141"/>
      <c r="AA198" s="273"/>
      <c r="AB198" s="67">
        <v>77</v>
      </c>
      <c r="AC198" s="28" t="s">
        <v>34</v>
      </c>
      <c r="AD198" s="55">
        <v>45555</v>
      </c>
      <c r="AE198" s="28"/>
      <c r="AF198" s="28"/>
      <c r="AG198" s="28"/>
      <c r="AH198" s="28"/>
      <c r="AI198" s="28"/>
      <c r="AJ198" s="128"/>
      <c r="AK198" s="28"/>
    </row>
    <row r="199" spans="1:37" s="26" customFormat="1" ht="93" hidden="1" customHeight="1">
      <c r="A199" s="54">
        <f t="shared" si="8"/>
        <v>190</v>
      </c>
      <c r="B199" s="129" t="s">
        <v>568</v>
      </c>
      <c r="C199" s="129"/>
      <c r="D199" s="24" t="s">
        <v>569</v>
      </c>
      <c r="E199" s="25" t="s">
        <v>53</v>
      </c>
      <c r="F199" s="24" t="s">
        <v>58</v>
      </c>
      <c r="G199" s="51"/>
      <c r="H199" s="51"/>
      <c r="I199" s="266"/>
      <c r="J199" s="266"/>
      <c r="K199" s="266"/>
      <c r="L199" s="129"/>
      <c r="M199" s="132"/>
      <c r="N199" s="129"/>
      <c r="O199" s="129"/>
      <c r="P199" s="132"/>
      <c r="Q199" s="129"/>
      <c r="R199" s="132"/>
      <c r="S199" s="129"/>
      <c r="T199" s="129"/>
      <c r="U199" s="129"/>
      <c r="V199" s="129"/>
      <c r="W199" s="132"/>
      <c r="X199" s="132"/>
      <c r="Y199" s="132"/>
      <c r="Z199" s="132"/>
      <c r="AA199" s="262"/>
      <c r="AB199" s="51">
        <v>4400000</v>
      </c>
      <c r="AC199" s="28" t="s">
        <v>34</v>
      </c>
      <c r="AD199" s="55">
        <v>45622</v>
      </c>
      <c r="AE199" s="28"/>
      <c r="AF199" s="25"/>
      <c r="AG199" s="25"/>
      <c r="AH199" s="25"/>
      <c r="AI199" s="25"/>
      <c r="AJ199" s="116"/>
      <c r="AK199" s="25"/>
    </row>
    <row r="200" spans="1:37" s="26" customFormat="1" ht="200.25" hidden="1" customHeight="1">
      <c r="A200" s="54">
        <f t="shared" si="8"/>
        <v>191</v>
      </c>
      <c r="B200" s="129" t="s">
        <v>570</v>
      </c>
      <c r="C200" s="129"/>
      <c r="D200" s="24" t="s">
        <v>571</v>
      </c>
      <c r="E200" s="25" t="s">
        <v>53</v>
      </c>
      <c r="F200" s="24" t="s">
        <v>58</v>
      </c>
      <c r="G200" s="51"/>
      <c r="H200" s="51" t="s">
        <v>572</v>
      </c>
      <c r="I200" s="266"/>
      <c r="J200" s="266" t="s">
        <v>34</v>
      </c>
      <c r="K200" s="266" t="s">
        <v>33</v>
      </c>
      <c r="L200" s="129" t="s">
        <v>34</v>
      </c>
      <c r="M200" s="132">
        <v>45628</v>
      </c>
      <c r="N200" s="129" t="s">
        <v>33</v>
      </c>
      <c r="O200" s="129"/>
      <c r="P200" s="132"/>
      <c r="Q200" s="129"/>
      <c r="R200" s="132"/>
      <c r="S200" s="129"/>
      <c r="T200" s="129"/>
      <c r="U200" s="129"/>
      <c r="V200" s="129"/>
      <c r="W200" s="132"/>
      <c r="X200" s="132"/>
      <c r="Y200" s="132"/>
      <c r="Z200" s="132"/>
      <c r="AA200" s="262"/>
      <c r="AB200" s="51"/>
      <c r="AC200" s="28"/>
      <c r="AD200" s="55"/>
      <c r="AE200" s="28"/>
      <c r="AF200" s="25"/>
      <c r="AG200" s="25"/>
      <c r="AH200" s="25"/>
      <c r="AI200" s="25"/>
      <c r="AJ200" s="116"/>
      <c r="AK200" s="25"/>
    </row>
    <row r="201" spans="1:37" s="26" customFormat="1" ht="200.25" hidden="1" customHeight="1">
      <c r="A201" s="54">
        <f t="shared" si="8"/>
        <v>192</v>
      </c>
      <c r="B201" s="129" t="s">
        <v>573</v>
      </c>
      <c r="C201" s="129"/>
      <c r="D201" s="24" t="s">
        <v>574</v>
      </c>
      <c r="E201" s="25" t="s">
        <v>31</v>
      </c>
      <c r="F201" s="24" t="s">
        <v>32</v>
      </c>
      <c r="G201" s="29">
        <v>39</v>
      </c>
      <c r="H201" s="29">
        <v>42.9</v>
      </c>
      <c r="I201" s="266"/>
      <c r="J201" s="266" t="s">
        <v>34</v>
      </c>
      <c r="K201" s="266"/>
      <c r="L201" s="129"/>
      <c r="M201" s="132"/>
      <c r="N201" s="129"/>
      <c r="O201" s="129"/>
      <c r="P201" s="132"/>
      <c r="Q201" s="129"/>
      <c r="R201" s="132"/>
      <c r="S201" s="129"/>
      <c r="T201" s="129"/>
      <c r="U201" s="129"/>
      <c r="V201" s="129"/>
      <c r="W201" s="132"/>
      <c r="X201" s="132"/>
      <c r="Y201" s="132"/>
      <c r="Z201" s="132"/>
      <c r="AA201" s="262"/>
      <c r="AB201" s="51"/>
      <c r="AC201" s="28"/>
      <c r="AD201" s="55"/>
      <c r="AE201" s="28"/>
      <c r="AF201" s="25"/>
      <c r="AG201" s="25"/>
      <c r="AH201" s="25"/>
      <c r="AI201" s="25"/>
      <c r="AJ201" s="116"/>
      <c r="AK201" s="25"/>
    </row>
    <row r="202" spans="1:37" s="26" customFormat="1" ht="123" hidden="1" customHeight="1">
      <c r="A202" s="31">
        <f t="shared" ref="A202:A204" si="9">A201+1</f>
        <v>193</v>
      </c>
      <c r="B202" s="129" t="s">
        <v>575</v>
      </c>
      <c r="C202" s="129"/>
      <c r="D202" s="24" t="s">
        <v>576</v>
      </c>
      <c r="E202" s="25" t="s">
        <v>31</v>
      </c>
      <c r="F202" s="24" t="s">
        <v>67</v>
      </c>
      <c r="G202" s="29">
        <v>50</v>
      </c>
      <c r="H202" s="29">
        <v>55</v>
      </c>
      <c r="I202" s="83"/>
      <c r="J202" s="83"/>
      <c r="K202" s="83"/>
      <c r="L202" s="35"/>
      <c r="M202" s="61"/>
      <c r="N202" s="35"/>
      <c r="O202" s="35"/>
      <c r="P202" s="61"/>
      <c r="Q202" s="35"/>
      <c r="R202" s="61"/>
      <c r="S202" s="35"/>
      <c r="T202" s="35"/>
      <c r="U202" s="35"/>
      <c r="V202" s="35"/>
      <c r="W202" s="132"/>
      <c r="X202" s="132"/>
      <c r="Y202" s="132"/>
      <c r="Z202" s="132"/>
      <c r="AA202" s="262"/>
      <c r="AB202" s="29">
        <v>70</v>
      </c>
      <c r="AC202" s="28" t="s">
        <v>34</v>
      </c>
      <c r="AD202" s="33">
        <v>45555</v>
      </c>
      <c r="AE202" s="25"/>
      <c r="AF202" s="25"/>
      <c r="AG202" s="25"/>
      <c r="AH202" s="25"/>
      <c r="AI202" s="25"/>
      <c r="AJ202" s="116"/>
      <c r="AK202" s="25"/>
    </row>
    <row r="203" spans="1:37" s="26" customFormat="1" ht="129.75" hidden="1" customHeight="1">
      <c r="A203" s="54">
        <f t="shared" si="9"/>
        <v>194</v>
      </c>
      <c r="B203" s="129" t="s">
        <v>577</v>
      </c>
      <c r="C203" s="129"/>
      <c r="D203" s="24" t="s">
        <v>578</v>
      </c>
      <c r="E203" s="25" t="s">
        <v>31</v>
      </c>
      <c r="F203" s="24" t="s">
        <v>61</v>
      </c>
      <c r="G203" s="29">
        <v>2800</v>
      </c>
      <c r="H203" s="29">
        <v>3080</v>
      </c>
      <c r="I203" s="83"/>
      <c r="J203" s="83"/>
      <c r="K203" s="83"/>
      <c r="L203" s="35"/>
      <c r="M203" s="61"/>
      <c r="N203" s="35"/>
      <c r="O203" s="35"/>
      <c r="P203" s="61"/>
      <c r="Q203" s="35"/>
      <c r="R203" s="61"/>
      <c r="S203" s="35"/>
      <c r="T203" s="35"/>
      <c r="U203" s="35"/>
      <c r="V203" s="35"/>
      <c r="W203" s="25"/>
      <c r="X203" s="132"/>
      <c r="Y203" s="132"/>
      <c r="Z203" s="132"/>
      <c r="AA203" s="262"/>
      <c r="AB203" s="29">
        <v>3080</v>
      </c>
      <c r="AC203" s="28" t="s">
        <v>34</v>
      </c>
      <c r="AD203" s="33">
        <v>45555</v>
      </c>
      <c r="AE203" s="25"/>
      <c r="AF203" s="25"/>
      <c r="AG203" s="25"/>
      <c r="AH203" s="25"/>
      <c r="AI203" s="25"/>
      <c r="AJ203" s="116"/>
      <c r="AK203" s="25"/>
    </row>
    <row r="204" spans="1:37" s="26" customFormat="1" ht="69.75" hidden="1" customHeight="1">
      <c r="A204" s="54">
        <f t="shared" si="9"/>
        <v>195</v>
      </c>
      <c r="B204" s="129" t="s">
        <v>579</v>
      </c>
      <c r="C204" s="138"/>
      <c r="D204" s="27" t="s">
        <v>580</v>
      </c>
      <c r="E204" s="28" t="s">
        <v>31</v>
      </c>
      <c r="F204" s="27" t="s">
        <v>64</v>
      </c>
      <c r="G204" s="66">
        <v>70</v>
      </c>
      <c r="H204" s="67">
        <v>77</v>
      </c>
      <c r="I204" s="82"/>
      <c r="J204" s="82"/>
      <c r="K204" s="82"/>
      <c r="L204" s="80"/>
      <c r="M204" s="79"/>
      <c r="N204" s="80"/>
      <c r="O204" s="80"/>
      <c r="P204" s="79"/>
      <c r="Q204" s="80"/>
      <c r="R204" s="79"/>
      <c r="S204" s="80"/>
      <c r="T204" s="80"/>
      <c r="U204" s="80"/>
      <c r="V204" s="80"/>
      <c r="W204" s="141"/>
      <c r="X204" s="141"/>
      <c r="Y204" s="141"/>
      <c r="Z204" s="141"/>
      <c r="AA204" s="273"/>
      <c r="AB204" s="67">
        <v>77</v>
      </c>
      <c r="AC204" s="28" t="s">
        <v>34</v>
      </c>
      <c r="AD204" s="55">
        <v>45555</v>
      </c>
      <c r="AE204" s="28"/>
      <c r="AF204" s="28"/>
      <c r="AG204" s="28"/>
      <c r="AH204" s="28"/>
      <c r="AI204" s="28"/>
      <c r="AJ204" s="128"/>
      <c r="AK204" s="28"/>
    </row>
    <row r="205" spans="1:37" s="26" customFormat="1" ht="69.75" hidden="1" customHeight="1">
      <c r="A205" s="26">
        <v>196</v>
      </c>
      <c r="B205" s="279" t="s">
        <v>581</v>
      </c>
      <c r="C205" s="279"/>
      <c r="D205" s="15" t="s">
        <v>582</v>
      </c>
      <c r="E205" s="26" t="s">
        <v>31</v>
      </c>
      <c r="F205" s="15" t="s">
        <v>47</v>
      </c>
      <c r="G205" s="280"/>
      <c r="H205" s="30"/>
      <c r="I205" s="281"/>
      <c r="J205" s="281"/>
      <c r="K205" s="281"/>
      <c r="L205" s="282"/>
      <c r="M205" s="283"/>
      <c r="N205" s="282"/>
      <c r="O205" s="282"/>
      <c r="P205" s="283"/>
      <c r="Q205" s="282"/>
      <c r="R205" s="283"/>
      <c r="S205" s="282"/>
      <c r="T205" s="282"/>
      <c r="U205" s="282"/>
      <c r="V205" s="282"/>
      <c r="W205" s="284"/>
      <c r="X205" s="284"/>
      <c r="Y205" s="284"/>
      <c r="Z205" s="284"/>
      <c r="AA205" s="285"/>
      <c r="AB205" s="67">
        <v>1512.5</v>
      </c>
      <c r="AC205" s="28" t="s">
        <v>34</v>
      </c>
      <c r="AD205" s="34">
        <v>45630</v>
      </c>
      <c r="AJ205" s="121"/>
    </row>
    <row r="206" spans="1:37" s="26" customFormat="1" ht="69.75" hidden="1" customHeight="1">
      <c r="A206" s="28">
        <f t="shared" ref="A206" si="10">A205+1</f>
        <v>197</v>
      </c>
      <c r="B206" s="108" t="s">
        <v>583</v>
      </c>
      <c r="C206" s="108"/>
      <c r="D206" s="24" t="s">
        <v>104</v>
      </c>
      <c r="E206" s="25" t="s">
        <v>53</v>
      </c>
      <c r="F206" s="24" t="s">
        <v>86</v>
      </c>
      <c r="G206" s="51">
        <v>397800000</v>
      </c>
      <c r="H206" s="58">
        <v>437580000</v>
      </c>
      <c r="I206" s="249"/>
      <c r="J206" s="249"/>
      <c r="K206" s="35"/>
      <c r="L206" s="35"/>
      <c r="M206" s="61"/>
      <c r="N206" s="35"/>
      <c r="O206" s="35"/>
      <c r="P206" s="61"/>
      <c r="Q206" s="35"/>
      <c r="R206" s="61"/>
      <c r="S206" s="35"/>
      <c r="T206" s="35"/>
      <c r="U206" s="35"/>
      <c r="V206" s="35"/>
      <c r="W206" s="25"/>
      <c r="X206" s="33"/>
      <c r="Y206" s="33"/>
      <c r="Z206" s="33"/>
      <c r="AA206" s="25"/>
      <c r="AB206" s="51">
        <v>437580000</v>
      </c>
      <c r="AC206" s="25" t="s">
        <v>34</v>
      </c>
      <c r="AD206" s="33">
        <v>45632</v>
      </c>
      <c r="AE206" s="25"/>
      <c r="AF206" s="25"/>
      <c r="AG206" s="25"/>
      <c r="AH206" s="31"/>
      <c r="AI206" s="25"/>
      <c r="AJ206" s="116"/>
      <c r="AK206" s="24"/>
    </row>
    <row r="207" spans="1:37" ht="91.5" hidden="1">
      <c r="A207" s="25">
        <v>198</v>
      </c>
      <c r="B207" s="279" t="s">
        <v>584</v>
      </c>
      <c r="C207" s="279"/>
      <c r="D207" s="27" t="s">
        <v>558</v>
      </c>
      <c r="E207" s="28" t="s">
        <v>53</v>
      </c>
      <c r="F207" s="27" t="s">
        <v>107</v>
      </c>
      <c r="G207" s="58"/>
      <c r="H207" s="58"/>
      <c r="I207" s="278"/>
      <c r="J207" s="278"/>
      <c r="K207" s="278"/>
      <c r="L207" s="138"/>
      <c r="M207" s="141"/>
      <c r="N207" s="138"/>
      <c r="O207" s="138"/>
      <c r="P207" s="141"/>
      <c r="Q207" s="138"/>
      <c r="R207" s="141"/>
      <c r="S207" s="138"/>
      <c r="T207" s="138"/>
      <c r="U207" s="138"/>
      <c r="V207" s="138"/>
      <c r="W207" s="141"/>
      <c r="X207" s="141"/>
      <c r="Y207" s="141"/>
      <c r="Z207" s="141"/>
      <c r="AA207" s="273"/>
      <c r="AB207" s="58">
        <v>1958000</v>
      </c>
      <c r="AC207" s="28" t="s">
        <v>34</v>
      </c>
      <c r="AD207" s="55">
        <v>45638</v>
      </c>
      <c r="AE207" s="28"/>
      <c r="AF207" s="28"/>
      <c r="AG207" s="28"/>
      <c r="AH207" s="28"/>
      <c r="AI207" s="28"/>
      <c r="AJ207" s="128"/>
      <c r="AK207" s="28"/>
    </row>
    <row r="208" spans="1:37" hidden="1">
      <c r="A208" s="25">
        <v>199</v>
      </c>
      <c r="B208" s="108" t="s">
        <v>585</v>
      </c>
      <c r="C208" s="108"/>
      <c r="D208" s="24" t="s">
        <v>560</v>
      </c>
      <c r="E208" s="25" t="s">
        <v>53</v>
      </c>
      <c r="F208" s="24" t="s">
        <v>191</v>
      </c>
      <c r="G208" s="51"/>
      <c r="H208" s="51"/>
      <c r="I208" s="266"/>
      <c r="J208" s="266"/>
      <c r="K208" s="266"/>
      <c r="L208" s="129"/>
      <c r="M208" s="132"/>
      <c r="N208" s="129"/>
      <c r="O208" s="129"/>
      <c r="P208" s="132"/>
      <c r="Q208" s="129"/>
      <c r="R208" s="132"/>
      <c r="S208" s="129"/>
      <c r="T208" s="129"/>
      <c r="U208" s="129"/>
      <c r="V208" s="129"/>
      <c r="W208" s="132"/>
      <c r="X208" s="132"/>
      <c r="Y208" s="132"/>
      <c r="Z208" s="132"/>
      <c r="AA208" s="262"/>
      <c r="AB208" s="51">
        <v>14990374</v>
      </c>
      <c r="AC208" s="28" t="s">
        <v>34</v>
      </c>
      <c r="AD208" s="55">
        <v>45640</v>
      </c>
      <c r="AE208" s="28"/>
      <c r="AF208" s="25"/>
      <c r="AG208" s="25"/>
      <c r="AH208" s="25"/>
      <c r="AI208" s="25"/>
      <c r="AJ208" s="116"/>
      <c r="AK208" s="25"/>
    </row>
    <row r="209" spans="1:37" ht="60.75" hidden="1" customHeight="1">
      <c r="A209" s="25">
        <v>200</v>
      </c>
      <c r="B209" s="279" t="s">
        <v>586</v>
      </c>
      <c r="C209" s="279"/>
      <c r="D209" s="24" t="s">
        <v>543</v>
      </c>
      <c r="E209" s="25" t="s">
        <v>53</v>
      </c>
      <c r="F209" s="24" t="s">
        <v>230</v>
      </c>
      <c r="G209" s="51"/>
      <c r="H209" s="51"/>
      <c r="I209" s="266"/>
      <c r="J209" s="266"/>
      <c r="K209" s="266"/>
      <c r="L209" s="129"/>
      <c r="M209" s="132"/>
      <c r="N209" s="129"/>
      <c r="O209" s="129"/>
      <c r="P209" s="132"/>
      <c r="Q209" s="129"/>
      <c r="R209" s="132"/>
      <c r="S209" s="129"/>
      <c r="T209" s="129"/>
      <c r="U209" s="129"/>
      <c r="V209" s="129"/>
      <c r="W209" s="132"/>
      <c r="X209" s="132"/>
      <c r="Y209" s="132"/>
      <c r="Z209" s="132"/>
      <c r="AA209" s="262"/>
      <c r="AB209" s="51">
        <v>23980000</v>
      </c>
      <c r="AC209" s="28" t="s">
        <v>34</v>
      </c>
      <c r="AD209" s="55">
        <v>45640</v>
      </c>
      <c r="AE209" s="28"/>
      <c r="AF209" s="25"/>
      <c r="AG209" s="25"/>
      <c r="AH209" s="25"/>
      <c r="AI209" s="25"/>
      <c r="AJ209" s="116"/>
      <c r="AK209" s="25"/>
    </row>
    <row r="210" spans="1:37" s="26" customFormat="1" ht="93" hidden="1" customHeight="1">
      <c r="A210" s="31">
        <f t="shared" ref="A210:A212" si="11">A209+1</f>
        <v>201</v>
      </c>
      <c r="B210" s="129" t="s">
        <v>587</v>
      </c>
      <c r="C210" s="129"/>
      <c r="D210" s="24" t="s">
        <v>563</v>
      </c>
      <c r="E210" s="25" t="s">
        <v>31</v>
      </c>
      <c r="F210" s="24" t="s">
        <v>67</v>
      </c>
      <c r="G210" s="29">
        <v>10</v>
      </c>
      <c r="H210" s="29">
        <v>10</v>
      </c>
      <c r="I210" s="83"/>
      <c r="J210" s="83"/>
      <c r="K210" s="83"/>
      <c r="L210" s="35"/>
      <c r="M210" s="61"/>
      <c r="N210" s="35"/>
      <c r="O210" s="35"/>
      <c r="P210" s="61"/>
      <c r="Q210" s="35"/>
      <c r="R210" s="61"/>
      <c r="S210" s="35"/>
      <c r="T210" s="35"/>
      <c r="U210" s="35"/>
      <c r="V210" s="35"/>
      <c r="W210" s="132"/>
      <c r="X210" s="132"/>
      <c r="Y210" s="132"/>
      <c r="Z210" s="132"/>
      <c r="AA210" s="262"/>
      <c r="AB210" s="29">
        <v>10</v>
      </c>
      <c r="AC210" s="25" t="s">
        <v>34</v>
      </c>
      <c r="AD210" s="33">
        <v>45663</v>
      </c>
      <c r="AE210" s="25"/>
      <c r="AF210" s="25"/>
      <c r="AG210" s="25"/>
      <c r="AH210" s="25"/>
      <c r="AI210" s="25"/>
      <c r="AJ210" s="116"/>
      <c r="AK210" s="25"/>
    </row>
    <row r="211" spans="1:37" s="26" customFormat="1" ht="93" hidden="1" customHeight="1">
      <c r="A211" s="54">
        <f t="shared" si="11"/>
        <v>202</v>
      </c>
      <c r="B211" s="129" t="s">
        <v>588</v>
      </c>
      <c r="C211" s="129"/>
      <c r="D211" s="24" t="s">
        <v>565</v>
      </c>
      <c r="E211" s="25" t="s">
        <v>31</v>
      </c>
      <c r="F211" s="24" t="s">
        <v>61</v>
      </c>
      <c r="G211" s="29">
        <v>2800</v>
      </c>
      <c r="H211" s="29">
        <v>3080</v>
      </c>
      <c r="I211" s="83"/>
      <c r="J211" s="83"/>
      <c r="K211" s="83"/>
      <c r="L211" s="35"/>
      <c r="M211" s="61"/>
      <c r="N211" s="35"/>
      <c r="O211" s="35"/>
      <c r="P211" s="61"/>
      <c r="Q211" s="35"/>
      <c r="R211" s="61"/>
      <c r="S211" s="35"/>
      <c r="T211" s="35"/>
      <c r="U211" s="35"/>
      <c r="V211" s="35"/>
      <c r="W211" s="25"/>
      <c r="X211" s="132"/>
      <c r="Y211" s="132"/>
      <c r="Z211" s="132"/>
      <c r="AA211" s="262"/>
      <c r="AB211" s="29">
        <v>3080</v>
      </c>
      <c r="AC211" s="25" t="s">
        <v>34</v>
      </c>
      <c r="AD211" s="33">
        <v>45663</v>
      </c>
      <c r="AE211" s="25"/>
      <c r="AF211" s="25"/>
      <c r="AG211" s="25"/>
      <c r="AH211" s="25"/>
      <c r="AI211" s="25"/>
      <c r="AJ211" s="116"/>
      <c r="AK211" s="25"/>
    </row>
    <row r="212" spans="1:37" s="26" customFormat="1" ht="93" hidden="1" customHeight="1">
      <c r="A212" s="54">
        <f t="shared" si="11"/>
        <v>203</v>
      </c>
      <c r="B212" s="129" t="s">
        <v>589</v>
      </c>
      <c r="C212" s="138"/>
      <c r="D212" s="27" t="s">
        <v>567</v>
      </c>
      <c r="E212" s="28" t="s">
        <v>31</v>
      </c>
      <c r="F212" s="27" t="s">
        <v>64</v>
      </c>
      <c r="G212" s="66">
        <v>70</v>
      </c>
      <c r="H212" s="67">
        <v>77</v>
      </c>
      <c r="I212" s="82"/>
      <c r="J212" s="82"/>
      <c r="K212" s="82"/>
      <c r="L212" s="80"/>
      <c r="M212" s="79"/>
      <c r="N212" s="80"/>
      <c r="O212" s="80"/>
      <c r="P212" s="79"/>
      <c r="Q212" s="80"/>
      <c r="R212" s="79"/>
      <c r="S212" s="80"/>
      <c r="T212" s="80"/>
      <c r="U212" s="80"/>
      <c r="V212" s="80"/>
      <c r="W212" s="141"/>
      <c r="X212" s="141"/>
      <c r="Y212" s="141"/>
      <c r="Z212" s="141"/>
      <c r="AA212" s="273"/>
      <c r="AB212" s="67">
        <v>77</v>
      </c>
      <c r="AC212" s="25" t="s">
        <v>34</v>
      </c>
      <c r="AD212" s="33">
        <v>45663</v>
      </c>
      <c r="AE212" s="28"/>
      <c r="AF212" s="28"/>
      <c r="AG212" s="28"/>
      <c r="AH212" s="28"/>
      <c r="AI212" s="28"/>
      <c r="AJ212" s="128"/>
      <c r="AK212" s="28"/>
    </row>
    <row r="213" spans="1:37" s="26" customFormat="1" ht="93" hidden="1" customHeight="1">
      <c r="A213" s="54">
        <v>204</v>
      </c>
      <c r="B213" s="129" t="s">
        <v>590</v>
      </c>
      <c r="C213" s="138"/>
      <c r="D213" s="27" t="s">
        <v>591</v>
      </c>
      <c r="E213" s="28" t="s">
        <v>31</v>
      </c>
      <c r="F213" s="27"/>
      <c r="G213" s="66"/>
      <c r="H213" s="67"/>
      <c r="I213" s="82"/>
      <c r="J213" s="82"/>
      <c r="K213" s="82"/>
      <c r="L213" s="80"/>
      <c r="M213" s="79"/>
      <c r="N213" s="80"/>
      <c r="O213" s="80"/>
      <c r="P213" s="79"/>
      <c r="Q213" s="80"/>
      <c r="R213" s="79"/>
      <c r="S213" s="80"/>
      <c r="T213" s="80"/>
      <c r="U213" s="80"/>
      <c r="V213" s="80"/>
      <c r="W213" s="141"/>
      <c r="X213" s="141"/>
      <c r="Y213" s="141"/>
      <c r="Z213" s="141"/>
      <c r="AA213" s="273"/>
      <c r="AB213" s="67">
        <v>7.01</v>
      </c>
      <c r="AC213" s="25" t="s">
        <v>34</v>
      </c>
      <c r="AD213" s="33"/>
      <c r="AE213" s="28"/>
      <c r="AF213" s="28"/>
      <c r="AG213" s="28"/>
      <c r="AH213" s="28"/>
      <c r="AI213" s="28"/>
      <c r="AJ213" s="128"/>
      <c r="AK213" s="28"/>
    </row>
    <row r="214" spans="1:37" s="26" customFormat="1" ht="93" hidden="1" customHeight="1">
      <c r="A214" s="54">
        <v>205</v>
      </c>
      <c r="B214" s="129" t="s">
        <v>592</v>
      </c>
      <c r="C214" s="138"/>
      <c r="D214" s="27" t="s">
        <v>593</v>
      </c>
      <c r="E214" s="28" t="s">
        <v>31</v>
      </c>
      <c r="F214" s="27"/>
      <c r="G214" s="66"/>
      <c r="H214" s="67"/>
      <c r="I214" s="82"/>
      <c r="J214" s="82"/>
      <c r="K214" s="82"/>
      <c r="L214" s="80"/>
      <c r="M214" s="79"/>
      <c r="N214" s="80"/>
      <c r="O214" s="80"/>
      <c r="P214" s="79"/>
      <c r="Q214" s="80"/>
      <c r="R214" s="79"/>
      <c r="S214" s="80"/>
      <c r="T214" s="80"/>
      <c r="U214" s="80"/>
      <c r="V214" s="80"/>
      <c r="W214" s="141"/>
      <c r="X214" s="141"/>
      <c r="Y214" s="141"/>
      <c r="Z214" s="141"/>
      <c r="AA214" s="273"/>
      <c r="AB214" s="67">
        <v>16.54</v>
      </c>
      <c r="AC214" s="25" t="s">
        <v>34</v>
      </c>
      <c r="AD214" s="33"/>
      <c r="AE214" s="28"/>
      <c r="AF214" s="28"/>
      <c r="AG214" s="28"/>
      <c r="AH214" s="28"/>
      <c r="AI214" s="28"/>
      <c r="AJ214" s="128"/>
      <c r="AK214" s="28"/>
    </row>
    <row r="215" spans="1:37" s="26" customFormat="1" ht="93" hidden="1" customHeight="1">
      <c r="A215" s="25">
        <v>206</v>
      </c>
      <c r="B215" s="129" t="s">
        <v>594</v>
      </c>
      <c r="C215" s="129"/>
      <c r="D215" s="24" t="s">
        <v>595</v>
      </c>
      <c r="E215" s="25" t="s">
        <v>53</v>
      </c>
      <c r="F215" s="24"/>
      <c r="G215" s="51"/>
      <c r="H215" s="51"/>
      <c r="I215" s="266"/>
      <c r="J215" s="266"/>
      <c r="K215" s="266"/>
      <c r="L215" s="129"/>
      <c r="M215" s="132"/>
      <c r="N215" s="129"/>
      <c r="O215" s="129"/>
      <c r="P215" s="132"/>
      <c r="Q215" s="129"/>
      <c r="R215" s="132"/>
      <c r="S215" s="129"/>
      <c r="T215" s="129"/>
      <c r="U215" s="129"/>
      <c r="V215" s="129"/>
      <c r="W215" s="132"/>
      <c r="X215" s="132"/>
      <c r="Y215" s="132"/>
      <c r="Z215" s="132"/>
      <c r="AA215" s="262"/>
      <c r="AB215" s="51">
        <v>649000</v>
      </c>
      <c r="AC215" s="28" t="s">
        <v>34</v>
      </c>
      <c r="AD215" s="55">
        <v>45670</v>
      </c>
      <c r="AE215" s="28"/>
      <c r="AF215" s="25"/>
      <c r="AG215" s="25"/>
      <c r="AH215" s="25"/>
      <c r="AI215" s="25"/>
      <c r="AJ215" s="116"/>
      <c r="AK215" s="25"/>
    </row>
    <row r="216" spans="1:37" s="26" customFormat="1" ht="93" hidden="1" customHeight="1">
      <c r="A216" s="25">
        <v>207</v>
      </c>
      <c r="B216" s="129" t="s">
        <v>596</v>
      </c>
      <c r="C216" s="129"/>
      <c r="D216" s="24" t="s">
        <v>597</v>
      </c>
      <c r="E216" s="25" t="s">
        <v>53</v>
      </c>
      <c r="F216" s="24" t="s">
        <v>230</v>
      </c>
      <c r="G216" s="51"/>
      <c r="H216" s="51"/>
      <c r="I216" s="266"/>
      <c r="J216" s="266"/>
      <c r="K216" s="266"/>
      <c r="L216" s="129"/>
      <c r="M216" s="132"/>
      <c r="N216" s="129"/>
      <c r="O216" s="129"/>
      <c r="P216" s="132"/>
      <c r="Q216" s="129"/>
      <c r="R216" s="132"/>
      <c r="S216" s="129"/>
      <c r="T216" s="129"/>
      <c r="U216" s="129"/>
      <c r="V216" s="129"/>
      <c r="W216" s="132"/>
      <c r="X216" s="132"/>
      <c r="Y216" s="132"/>
      <c r="Z216" s="132"/>
      <c r="AA216" s="262"/>
      <c r="AB216" s="51">
        <v>25300000</v>
      </c>
      <c r="AC216" s="28" t="s">
        <v>34</v>
      </c>
      <c r="AD216" s="55">
        <v>45670</v>
      </c>
      <c r="AE216" s="28"/>
      <c r="AF216" s="25"/>
      <c r="AG216" s="25"/>
      <c r="AH216" s="25"/>
      <c r="AI216" s="25"/>
      <c r="AJ216" s="116"/>
      <c r="AK216" s="25"/>
    </row>
    <row r="217" spans="1:37" s="26" customFormat="1" ht="93" hidden="1" customHeight="1">
      <c r="A217" s="25">
        <v>208</v>
      </c>
      <c r="B217" s="129" t="s">
        <v>598</v>
      </c>
      <c r="C217" s="129"/>
      <c r="D217" s="24" t="s">
        <v>599</v>
      </c>
      <c r="E217" s="25" t="s">
        <v>53</v>
      </c>
      <c r="F217" s="24"/>
      <c r="G217" s="51"/>
      <c r="H217" s="51"/>
      <c r="I217" s="266"/>
      <c r="J217" s="266"/>
      <c r="K217" s="266"/>
      <c r="L217" s="129"/>
      <c r="M217" s="132"/>
      <c r="N217" s="129"/>
      <c r="O217" s="129"/>
      <c r="P217" s="132"/>
      <c r="Q217" s="129"/>
      <c r="R217" s="132"/>
      <c r="S217" s="129"/>
      <c r="T217" s="129"/>
      <c r="U217" s="129"/>
      <c r="V217" s="129"/>
      <c r="W217" s="132"/>
      <c r="X217" s="132"/>
      <c r="Y217" s="132"/>
      <c r="Z217" s="132"/>
      <c r="AA217" s="262"/>
      <c r="AB217" s="51">
        <v>660000</v>
      </c>
      <c r="AC217" s="28" t="s">
        <v>34</v>
      </c>
      <c r="AD217" s="55">
        <v>45670</v>
      </c>
      <c r="AE217" s="28"/>
      <c r="AF217" s="25"/>
      <c r="AG217" s="25"/>
      <c r="AH217" s="25"/>
      <c r="AI217" s="25"/>
      <c r="AJ217" s="116"/>
      <c r="AK217" s="25"/>
    </row>
    <row r="218" spans="1:37" s="26" customFormat="1" ht="93" hidden="1" customHeight="1">
      <c r="A218" s="25">
        <v>109</v>
      </c>
      <c r="B218" s="129" t="s">
        <v>600</v>
      </c>
      <c r="C218" s="129"/>
      <c r="D218" s="24" t="s">
        <v>601</v>
      </c>
      <c r="E218" s="25" t="s">
        <v>53</v>
      </c>
      <c r="F218" s="24" t="s">
        <v>191</v>
      </c>
      <c r="G218" s="51"/>
      <c r="H218" s="51"/>
      <c r="I218" s="266"/>
      <c r="J218" s="266"/>
      <c r="K218" s="266"/>
      <c r="L218" s="129"/>
      <c r="M218" s="132"/>
      <c r="N218" s="129"/>
      <c r="O218" s="129"/>
      <c r="P218" s="132"/>
      <c r="Q218" s="129"/>
      <c r="R218" s="132"/>
      <c r="S218" s="129"/>
      <c r="T218" s="129"/>
      <c r="U218" s="129"/>
      <c r="V218" s="129"/>
      <c r="W218" s="132"/>
      <c r="X218" s="132"/>
      <c r="Y218" s="132"/>
      <c r="Z218" s="132"/>
      <c r="AA218" s="262"/>
      <c r="AB218" s="51">
        <v>15804517</v>
      </c>
      <c r="AC218" s="28" t="s">
        <v>34</v>
      </c>
      <c r="AD218" s="55">
        <v>45670</v>
      </c>
      <c r="AE218" s="28"/>
      <c r="AF218" s="25"/>
      <c r="AG218" s="25"/>
      <c r="AH218" s="25"/>
      <c r="AI218" s="25"/>
      <c r="AJ218" s="116"/>
      <c r="AK218" s="25"/>
    </row>
    <row r="219" spans="1:37" s="26" customFormat="1" ht="93" hidden="1" customHeight="1">
      <c r="A219" s="25"/>
      <c r="B219" s="129" t="s">
        <v>602</v>
      </c>
      <c r="C219" s="129"/>
      <c r="D219" s="24" t="s">
        <v>603</v>
      </c>
      <c r="E219" s="25" t="s">
        <v>53</v>
      </c>
      <c r="F219" s="24" t="s">
        <v>58</v>
      </c>
      <c r="G219" s="51"/>
      <c r="H219" s="51"/>
      <c r="I219" s="266"/>
      <c r="J219" s="266"/>
      <c r="K219" s="266"/>
      <c r="L219" s="129"/>
      <c r="M219" s="132"/>
      <c r="N219" s="129"/>
      <c r="O219" s="129"/>
      <c r="P219" s="132"/>
      <c r="Q219" s="129"/>
      <c r="R219" s="132"/>
      <c r="S219" s="129"/>
      <c r="T219" s="129"/>
      <c r="U219" s="129"/>
      <c r="V219" s="129"/>
      <c r="W219" s="132"/>
      <c r="X219" s="132"/>
      <c r="Y219" s="132"/>
      <c r="Z219" s="132"/>
      <c r="AA219" s="262"/>
      <c r="AB219" s="51"/>
      <c r="AC219" s="28"/>
      <c r="AD219" s="55"/>
      <c r="AE219" s="28"/>
      <c r="AF219" s="25"/>
      <c r="AG219" s="25"/>
      <c r="AH219" s="25"/>
      <c r="AI219" s="25"/>
      <c r="AJ219" s="116"/>
      <c r="AK219" s="25"/>
    </row>
    <row r="220" spans="1:37" s="26" customFormat="1" ht="168.75" hidden="1" customHeight="1">
      <c r="A220" s="25">
        <v>109</v>
      </c>
      <c r="B220" s="129" t="s">
        <v>604</v>
      </c>
      <c r="C220" s="129"/>
      <c r="D220" s="24" t="s">
        <v>605</v>
      </c>
      <c r="E220" s="25" t="s">
        <v>53</v>
      </c>
      <c r="F220" s="24" t="s">
        <v>58</v>
      </c>
      <c r="G220" s="51">
        <v>5200000</v>
      </c>
      <c r="H220" s="51">
        <v>5616000</v>
      </c>
      <c r="I220" s="266"/>
      <c r="J220" s="266"/>
      <c r="K220" s="266"/>
      <c r="L220" s="129"/>
      <c r="M220" s="132"/>
      <c r="N220" s="129"/>
      <c r="O220" s="129"/>
      <c r="P220" s="132"/>
      <c r="Q220" s="129"/>
      <c r="R220" s="132"/>
      <c r="S220" s="129"/>
      <c r="T220" s="129"/>
      <c r="U220" s="129"/>
      <c r="V220" s="129"/>
      <c r="W220" s="132"/>
      <c r="X220" s="132"/>
      <c r="Y220" s="132"/>
      <c r="Z220" s="132"/>
      <c r="AA220" s="262"/>
      <c r="AB220" s="51">
        <v>5616000</v>
      </c>
      <c r="AC220" s="28" t="s">
        <v>34</v>
      </c>
      <c r="AD220" s="55">
        <v>45670</v>
      </c>
      <c r="AE220" s="28"/>
      <c r="AF220" s="25"/>
      <c r="AG220" s="25"/>
      <c r="AH220" s="25"/>
      <c r="AI220" s="25"/>
      <c r="AJ220" s="116"/>
      <c r="AK220" s="25"/>
    </row>
    <row r="221" spans="1:37" s="26" customFormat="1" ht="93" hidden="1" customHeight="1">
      <c r="A221" s="31">
        <f t="shared" ref="A221:A223" si="12">A220+1</f>
        <v>110</v>
      </c>
      <c r="B221" s="129" t="s">
        <v>606</v>
      </c>
      <c r="C221" s="129"/>
      <c r="D221" s="24" t="s">
        <v>607</v>
      </c>
      <c r="E221" s="25" t="s">
        <v>31</v>
      </c>
      <c r="F221" s="24" t="s">
        <v>67</v>
      </c>
      <c r="G221" s="29">
        <v>10</v>
      </c>
      <c r="H221" s="29">
        <v>10</v>
      </c>
      <c r="I221" s="83"/>
      <c r="J221" s="83"/>
      <c r="K221" s="83"/>
      <c r="L221" s="35"/>
      <c r="M221" s="61"/>
      <c r="N221" s="35"/>
      <c r="O221" s="35"/>
      <c r="P221" s="61"/>
      <c r="Q221" s="35"/>
      <c r="R221" s="61"/>
      <c r="S221" s="35"/>
      <c r="T221" s="35"/>
      <c r="U221" s="35"/>
      <c r="V221" s="35"/>
      <c r="W221" s="132"/>
      <c r="X221" s="132"/>
      <c r="Y221" s="132"/>
      <c r="Z221" s="132"/>
      <c r="AA221" s="262"/>
      <c r="AB221" s="29">
        <v>10</v>
      </c>
      <c r="AC221" s="28" t="s">
        <v>34</v>
      </c>
      <c r="AD221" s="33">
        <v>45698</v>
      </c>
      <c r="AE221" s="25" t="s">
        <v>33</v>
      </c>
      <c r="AF221" s="25"/>
      <c r="AG221" s="25"/>
      <c r="AH221" s="25"/>
      <c r="AI221" s="25"/>
      <c r="AJ221" s="116"/>
      <c r="AK221" s="25"/>
    </row>
    <row r="222" spans="1:37" s="26" customFormat="1" ht="93" hidden="1" customHeight="1">
      <c r="A222" s="54">
        <f t="shared" si="12"/>
        <v>111</v>
      </c>
      <c r="B222" s="129" t="s">
        <v>608</v>
      </c>
      <c r="C222" s="129"/>
      <c r="D222" s="24" t="s">
        <v>609</v>
      </c>
      <c r="E222" s="25" t="s">
        <v>31</v>
      </c>
      <c r="F222" s="24" t="s">
        <v>61</v>
      </c>
      <c r="G222" s="29">
        <v>3080</v>
      </c>
      <c r="H222" s="29">
        <v>3380</v>
      </c>
      <c r="I222" s="83"/>
      <c r="J222" s="83"/>
      <c r="K222" s="83"/>
      <c r="L222" s="35"/>
      <c r="M222" s="61"/>
      <c r="N222" s="35"/>
      <c r="O222" s="35"/>
      <c r="P222" s="61"/>
      <c r="Q222" s="35"/>
      <c r="R222" s="61"/>
      <c r="S222" s="35"/>
      <c r="T222" s="35"/>
      <c r="U222" s="35"/>
      <c r="V222" s="35"/>
      <c r="W222" s="25"/>
      <c r="X222" s="132"/>
      <c r="Y222" s="132"/>
      <c r="Z222" s="132"/>
      <c r="AA222" s="262"/>
      <c r="AB222" s="29">
        <v>3380</v>
      </c>
      <c r="AC222" s="28" t="s">
        <v>34</v>
      </c>
      <c r="AD222" s="33">
        <v>45698</v>
      </c>
      <c r="AE222" s="25" t="s">
        <v>33</v>
      </c>
      <c r="AF222" s="25"/>
      <c r="AG222" s="25"/>
      <c r="AH222" s="25"/>
      <c r="AI222" s="25"/>
      <c r="AJ222" s="116"/>
      <c r="AK222" s="25"/>
    </row>
    <row r="223" spans="1:37" s="26" customFormat="1" ht="93" hidden="1" customHeight="1">
      <c r="A223" s="54">
        <f t="shared" si="12"/>
        <v>112</v>
      </c>
      <c r="B223" s="138" t="s">
        <v>610</v>
      </c>
      <c r="C223" s="138"/>
      <c r="D223" s="27" t="s">
        <v>611</v>
      </c>
      <c r="E223" s="28" t="s">
        <v>31</v>
      </c>
      <c r="F223" s="27" t="s">
        <v>64</v>
      </c>
      <c r="G223" s="66">
        <v>70</v>
      </c>
      <c r="H223" s="67">
        <v>77</v>
      </c>
      <c r="I223" s="82"/>
      <c r="J223" s="82"/>
      <c r="K223" s="82"/>
      <c r="L223" s="80"/>
      <c r="M223" s="79"/>
      <c r="N223" s="80"/>
      <c r="O223" s="80"/>
      <c r="P223" s="79"/>
      <c r="Q223" s="80"/>
      <c r="R223" s="79"/>
      <c r="S223" s="80"/>
      <c r="T223" s="80"/>
      <c r="U223" s="80"/>
      <c r="V223" s="80"/>
      <c r="W223" s="141"/>
      <c r="X223" s="141"/>
      <c r="Y223" s="141"/>
      <c r="Z223" s="141"/>
      <c r="AA223" s="273"/>
      <c r="AB223" s="67">
        <v>77</v>
      </c>
      <c r="AC223" s="28" t="s">
        <v>34</v>
      </c>
      <c r="AD223" s="55">
        <v>45698</v>
      </c>
      <c r="AE223" s="25" t="s">
        <v>33</v>
      </c>
      <c r="AF223" s="28"/>
      <c r="AG223" s="28"/>
      <c r="AH223" s="28"/>
      <c r="AI223" s="28"/>
      <c r="AJ223" s="128"/>
      <c r="AK223" s="28"/>
    </row>
    <row r="224" spans="1:37" ht="29.1" hidden="1" customHeight="1">
      <c r="A224" s="15"/>
      <c r="B224" s="138" t="s">
        <v>612</v>
      </c>
      <c r="C224" s="138"/>
      <c r="D224" s="24" t="s">
        <v>613</v>
      </c>
      <c r="E224" s="24" t="s">
        <v>53</v>
      </c>
      <c r="F224" s="24" t="s">
        <v>58</v>
      </c>
      <c r="G224" s="51">
        <v>180000</v>
      </c>
      <c r="H224" s="51">
        <v>198000</v>
      </c>
      <c r="I224" s="24"/>
      <c r="J224" s="24"/>
      <c r="K224" s="24"/>
      <c r="L224" s="24"/>
      <c r="M224" s="24" t="s">
        <v>614</v>
      </c>
      <c r="N224" s="24"/>
      <c r="O224" s="24"/>
      <c r="P224" s="24"/>
      <c r="Q224" s="24"/>
      <c r="R224" s="24"/>
      <c r="S224" s="24"/>
      <c r="T224" s="24"/>
      <c r="U224" s="24"/>
      <c r="V224" s="24"/>
      <c r="W224" s="24"/>
      <c r="X224" s="24"/>
      <c r="Y224" s="24"/>
      <c r="Z224" s="24"/>
      <c r="AA224" s="24"/>
      <c r="AB224" s="51">
        <v>198000</v>
      </c>
      <c r="AC224" s="28" t="s">
        <v>34</v>
      </c>
      <c r="AD224" s="91">
        <v>45721</v>
      </c>
      <c r="AE224" s="25" t="s">
        <v>33</v>
      </c>
      <c r="AF224" s="24"/>
      <c r="AG224" s="24"/>
      <c r="AH224" s="24"/>
      <c r="AI224" s="24"/>
      <c r="AJ224" s="24"/>
      <c r="AK224" s="24"/>
    </row>
    <row r="225" spans="1:37" ht="15" hidden="1" customHeight="1">
      <c r="A225" s="15"/>
      <c r="B225" s="138" t="s">
        <v>615</v>
      </c>
      <c r="C225" s="138"/>
      <c r="D225" s="24" t="s">
        <v>616</v>
      </c>
      <c r="E225" s="24" t="s">
        <v>53</v>
      </c>
      <c r="F225" s="24" t="s">
        <v>58</v>
      </c>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row>
    <row r="226" spans="1:37" ht="15" hidden="1" customHeight="1">
      <c r="A226" s="15"/>
      <c r="B226" s="138" t="s">
        <v>617</v>
      </c>
      <c r="C226" s="279"/>
      <c r="D226" s="286" t="s">
        <v>618</v>
      </c>
      <c r="E226" s="24" t="s">
        <v>53</v>
      </c>
      <c r="F226" s="24" t="s">
        <v>58</v>
      </c>
      <c r="G226" s="24"/>
      <c r="H226" s="24"/>
      <c r="I226" s="24"/>
      <c r="J226" s="24"/>
      <c r="K226" s="24"/>
      <c r="L226" s="24"/>
      <c r="M226" s="24" t="s">
        <v>619</v>
      </c>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row>
    <row r="227" spans="1:37" ht="39" hidden="1" customHeight="1">
      <c r="A227" s="31"/>
      <c r="B227" s="138" t="s">
        <v>620</v>
      </c>
      <c r="C227" s="138"/>
      <c r="D227" s="24" t="s">
        <v>621</v>
      </c>
      <c r="E227" s="25" t="s">
        <v>31</v>
      </c>
      <c r="F227" s="24" t="s">
        <v>67</v>
      </c>
      <c r="G227" s="29">
        <v>10</v>
      </c>
      <c r="H227" s="29">
        <v>10</v>
      </c>
      <c r="I227" s="83"/>
      <c r="J227" s="83"/>
      <c r="K227" s="83"/>
      <c r="L227" s="35"/>
      <c r="M227" s="61"/>
      <c r="N227" s="35"/>
      <c r="O227" s="35"/>
      <c r="P227" s="61"/>
      <c r="Q227" s="35"/>
      <c r="R227" s="61"/>
      <c r="S227" s="35"/>
      <c r="T227" s="35"/>
      <c r="U227" s="35"/>
      <c r="V227" s="35"/>
      <c r="W227" s="132"/>
      <c r="X227" s="132"/>
      <c r="Y227" s="132"/>
      <c r="Z227" s="132"/>
      <c r="AA227" s="262"/>
      <c r="AB227" s="29">
        <v>10</v>
      </c>
      <c r="AC227" s="28" t="s">
        <v>34</v>
      </c>
      <c r="AD227" s="33">
        <v>45712</v>
      </c>
      <c r="AE227" s="25" t="s">
        <v>33</v>
      </c>
      <c r="AF227" s="25"/>
      <c r="AG227" s="25"/>
      <c r="AH227" s="25"/>
      <c r="AI227" s="25"/>
      <c r="AJ227" s="116"/>
      <c r="AK227" s="25"/>
    </row>
    <row r="228" spans="1:37" ht="41.25" hidden="1" customHeight="1">
      <c r="A228" s="54"/>
      <c r="B228" s="138" t="s">
        <v>622</v>
      </c>
      <c r="C228" s="138"/>
      <c r="D228" s="24" t="s">
        <v>623</v>
      </c>
      <c r="E228" s="25" t="s">
        <v>31</v>
      </c>
      <c r="F228" s="24" t="s">
        <v>61</v>
      </c>
      <c r="G228" s="29">
        <v>3080</v>
      </c>
      <c r="H228" s="29">
        <v>3380</v>
      </c>
      <c r="I228" s="83"/>
      <c r="J228" s="83"/>
      <c r="K228" s="83"/>
      <c r="L228" s="35"/>
      <c r="M228" s="61"/>
      <c r="N228" s="35"/>
      <c r="O228" s="35"/>
      <c r="P228" s="61"/>
      <c r="Q228" s="35"/>
      <c r="R228" s="61"/>
      <c r="S228" s="35"/>
      <c r="T228" s="35"/>
      <c r="U228" s="35"/>
      <c r="V228" s="35"/>
      <c r="W228" s="25"/>
      <c r="X228" s="132"/>
      <c r="Y228" s="132"/>
      <c r="Z228" s="132"/>
      <c r="AA228" s="262"/>
      <c r="AB228" s="29">
        <v>3380</v>
      </c>
      <c r="AC228" s="28" t="s">
        <v>34</v>
      </c>
      <c r="AD228" s="33">
        <v>45712</v>
      </c>
      <c r="AE228" s="25" t="s">
        <v>33</v>
      </c>
      <c r="AF228" s="25"/>
      <c r="AG228" s="25"/>
      <c r="AH228" s="25"/>
      <c r="AI228" s="25"/>
      <c r="AJ228" s="116"/>
      <c r="AK228" s="25"/>
    </row>
    <row r="229" spans="1:37" ht="41.25" hidden="1" customHeight="1">
      <c r="A229" s="54"/>
      <c r="B229" s="138" t="s">
        <v>624</v>
      </c>
      <c r="C229" s="138"/>
      <c r="D229" s="27" t="s">
        <v>625</v>
      </c>
      <c r="E229" s="28" t="s">
        <v>31</v>
      </c>
      <c r="F229" s="27" t="s">
        <v>64</v>
      </c>
      <c r="G229" s="66">
        <v>70</v>
      </c>
      <c r="H229" s="67">
        <v>77</v>
      </c>
      <c r="I229" s="82"/>
      <c r="J229" s="82"/>
      <c r="K229" s="82"/>
      <c r="L229" s="80"/>
      <c r="M229" s="79"/>
      <c r="N229" s="80"/>
      <c r="O229" s="80"/>
      <c r="P229" s="79"/>
      <c r="Q229" s="80"/>
      <c r="R229" s="79"/>
      <c r="S229" s="80"/>
      <c r="T229" s="80"/>
      <c r="U229" s="80"/>
      <c r="V229" s="80"/>
      <c r="W229" s="141"/>
      <c r="X229" s="141"/>
      <c r="Y229" s="141"/>
      <c r="Z229" s="141"/>
      <c r="AA229" s="273"/>
      <c r="AB229" s="67">
        <v>77</v>
      </c>
      <c r="AC229" s="28" t="s">
        <v>34</v>
      </c>
      <c r="AD229" s="55">
        <v>45712</v>
      </c>
      <c r="AE229" s="25" t="s">
        <v>33</v>
      </c>
      <c r="AF229" s="28"/>
      <c r="AG229" s="28"/>
      <c r="AH229" s="28"/>
      <c r="AI229" s="28"/>
      <c r="AJ229" s="128"/>
      <c r="AK229" s="28"/>
    </row>
    <row r="230" spans="1:37" ht="26.25" hidden="1" customHeight="1">
      <c r="B230" s="138" t="s">
        <v>626</v>
      </c>
      <c r="C230" s="138"/>
      <c r="D230" s="24" t="s">
        <v>627</v>
      </c>
      <c r="E230" s="25" t="s">
        <v>31</v>
      </c>
      <c r="F230" s="27" t="s">
        <v>395</v>
      </c>
      <c r="G230" s="29">
        <v>330</v>
      </c>
      <c r="H230" s="29">
        <v>330</v>
      </c>
      <c r="I230" s="25"/>
      <c r="J230" s="25"/>
      <c r="K230" s="25"/>
      <c r="L230" s="25"/>
      <c r="M230" s="33"/>
      <c r="N230" s="25"/>
      <c r="O230" s="25"/>
      <c r="P230" s="33"/>
      <c r="Q230" s="25"/>
      <c r="R230" s="33"/>
      <c r="S230" s="25"/>
      <c r="T230" s="25"/>
      <c r="U230" s="25"/>
      <c r="V230" s="25"/>
      <c r="W230" s="25"/>
      <c r="X230" s="33"/>
      <c r="Y230" s="33"/>
      <c r="Z230" s="33"/>
      <c r="AA230" s="25"/>
      <c r="AB230" s="67">
        <v>330</v>
      </c>
      <c r="AC230" s="28" t="s">
        <v>34</v>
      </c>
      <c r="AD230" s="55">
        <v>45712</v>
      </c>
      <c r="AE230" s="25" t="s">
        <v>33</v>
      </c>
      <c r="AF230" s="25"/>
      <c r="AG230" s="25"/>
      <c r="AH230" s="25"/>
      <c r="AI230" s="25"/>
      <c r="AJ230" s="116"/>
      <c r="AK230" s="24"/>
    </row>
    <row r="231" spans="1:37" ht="52.5" hidden="1" customHeight="1">
      <c r="B231" s="138" t="s">
        <v>628</v>
      </c>
      <c r="C231" s="138"/>
      <c r="D231" s="24" t="s">
        <v>629</v>
      </c>
      <c r="E231" s="25" t="s">
        <v>53</v>
      </c>
      <c r="F231" s="25" t="s">
        <v>630</v>
      </c>
      <c r="G231" s="29"/>
      <c r="H231" s="29"/>
      <c r="I231" s="25"/>
      <c r="J231" s="25"/>
      <c r="K231" s="25"/>
      <c r="L231" s="25"/>
      <c r="M231" s="33"/>
      <c r="N231" s="25"/>
      <c r="O231" s="25"/>
      <c r="P231" s="33"/>
      <c r="Q231" s="25"/>
      <c r="R231" s="33"/>
      <c r="S231" s="25"/>
      <c r="T231" s="25"/>
      <c r="U231" s="25"/>
      <c r="V231" s="25"/>
      <c r="W231" s="25"/>
      <c r="X231" s="33"/>
      <c r="Y231" s="33"/>
      <c r="Z231" s="33"/>
      <c r="AA231" s="25"/>
      <c r="AB231" s="67">
        <v>5855.25</v>
      </c>
      <c r="AC231" s="28" t="s">
        <v>34</v>
      </c>
      <c r="AD231" s="55">
        <v>45714</v>
      </c>
      <c r="AE231" s="25" t="s">
        <v>33</v>
      </c>
      <c r="AF231" s="25"/>
      <c r="AG231" s="25"/>
      <c r="AH231" s="25"/>
      <c r="AI231" s="25"/>
      <c r="AJ231" s="116"/>
      <c r="AK231" s="24"/>
    </row>
    <row r="232" spans="1:37" ht="45.75" hidden="1">
      <c r="B232" s="138" t="s">
        <v>631</v>
      </c>
      <c r="C232" s="138"/>
      <c r="D232" s="24" t="s">
        <v>632</v>
      </c>
      <c r="E232" s="25" t="s">
        <v>53</v>
      </c>
      <c r="F232" s="24" t="s">
        <v>305</v>
      </c>
      <c r="G232" s="29"/>
      <c r="H232" s="29"/>
      <c r="I232" s="25"/>
      <c r="J232" s="25"/>
      <c r="K232" s="25"/>
      <c r="L232" s="25"/>
      <c r="M232" s="33"/>
      <c r="N232" s="25"/>
      <c r="O232" s="25"/>
      <c r="P232" s="33"/>
      <c r="Q232" s="25"/>
      <c r="R232" s="33"/>
      <c r="S232" s="25"/>
      <c r="T232" s="25"/>
      <c r="U232" s="25"/>
      <c r="V232" s="25"/>
      <c r="W232" s="25"/>
      <c r="X232" s="33"/>
      <c r="Y232" s="33"/>
      <c r="Z232" s="33"/>
      <c r="AA232" s="25"/>
      <c r="AB232" s="58">
        <v>930000</v>
      </c>
      <c r="AC232" s="28" t="s">
        <v>34</v>
      </c>
      <c r="AD232" s="55">
        <v>45721</v>
      </c>
      <c r="AE232" s="25" t="s">
        <v>33</v>
      </c>
      <c r="AF232" s="25"/>
      <c r="AG232" s="25"/>
      <c r="AH232" s="25"/>
      <c r="AI232" s="25"/>
      <c r="AJ232" s="116"/>
      <c r="AK232" s="24"/>
    </row>
    <row r="233" spans="1:37" ht="15" hidden="1" customHeight="1">
      <c r="A233" s="54"/>
      <c r="B233" s="138" t="s">
        <v>633</v>
      </c>
      <c r="C233" s="138"/>
      <c r="D233" s="27" t="s">
        <v>634</v>
      </c>
      <c r="E233" s="28" t="s">
        <v>31</v>
      </c>
      <c r="F233" s="24" t="s">
        <v>64</v>
      </c>
      <c r="G233" s="66"/>
      <c r="H233" s="67"/>
      <c r="I233" s="82"/>
      <c r="J233" s="82"/>
      <c r="K233" s="82"/>
      <c r="L233" s="80"/>
      <c r="M233" s="79"/>
      <c r="N233" s="80"/>
      <c r="O233" s="80"/>
      <c r="P233" s="79"/>
      <c r="Q233" s="80"/>
      <c r="R233" s="79"/>
      <c r="S233" s="80"/>
      <c r="T233" s="80"/>
      <c r="U233" s="80"/>
      <c r="V233" s="80"/>
      <c r="W233" s="141"/>
      <c r="X233" s="141"/>
      <c r="Y233" s="141"/>
      <c r="Z233" s="141"/>
      <c r="AA233" s="273"/>
      <c r="AB233" s="67">
        <v>44</v>
      </c>
      <c r="AC233" s="28" t="s">
        <v>34</v>
      </c>
      <c r="AD233" s="55">
        <v>45721</v>
      </c>
      <c r="AE233" s="25" t="s">
        <v>33</v>
      </c>
      <c r="AF233" s="28"/>
      <c r="AG233" s="28"/>
      <c r="AH233" s="28"/>
      <c r="AI233" s="28"/>
      <c r="AJ233" s="128"/>
      <c r="AK233" s="28"/>
    </row>
    <row r="234" spans="1:37" ht="3.75" hidden="1" customHeight="1">
      <c r="A234" s="54"/>
      <c r="B234" s="138" t="s">
        <v>635</v>
      </c>
      <c r="C234" s="138"/>
      <c r="D234" s="27" t="s">
        <v>636</v>
      </c>
      <c r="E234" s="28" t="s">
        <v>53</v>
      </c>
      <c r="F234" s="24" t="s">
        <v>230</v>
      </c>
      <c r="G234" s="66"/>
      <c r="H234" s="67"/>
      <c r="I234" s="82"/>
      <c r="J234" s="82"/>
      <c r="K234" s="82"/>
      <c r="L234" s="80"/>
      <c r="M234" s="79"/>
      <c r="N234" s="80"/>
      <c r="O234" s="80"/>
      <c r="P234" s="79"/>
      <c r="Q234" s="80"/>
      <c r="R234" s="79"/>
      <c r="S234" s="80"/>
      <c r="T234" s="80"/>
      <c r="U234" s="80"/>
      <c r="V234" s="80"/>
      <c r="W234" s="141"/>
      <c r="X234" s="141"/>
      <c r="Y234" s="141"/>
      <c r="Z234" s="141"/>
      <c r="AA234" s="273"/>
      <c r="AB234" s="58">
        <v>25300000</v>
      </c>
      <c r="AC234" s="28" t="s">
        <v>34</v>
      </c>
      <c r="AD234" s="55">
        <v>45733</v>
      </c>
      <c r="AE234" s="25" t="s">
        <v>33</v>
      </c>
      <c r="AF234" s="28"/>
      <c r="AG234" s="28"/>
      <c r="AH234" s="28"/>
      <c r="AI234" s="28"/>
      <c r="AJ234" s="128"/>
      <c r="AK234" s="28"/>
    </row>
    <row r="235" spans="1:37" ht="15" hidden="1" customHeight="1">
      <c r="A235" s="54"/>
      <c r="B235" s="138" t="s">
        <v>637</v>
      </c>
      <c r="C235" s="138"/>
      <c r="D235" s="27" t="s">
        <v>638</v>
      </c>
      <c r="E235" s="28" t="s">
        <v>53</v>
      </c>
      <c r="F235" s="24" t="s">
        <v>107</v>
      </c>
      <c r="G235" s="66"/>
      <c r="H235" s="67"/>
      <c r="I235" s="82"/>
      <c r="J235" s="82"/>
      <c r="K235" s="82"/>
      <c r="L235" s="80"/>
      <c r="M235" s="79"/>
      <c r="N235" s="80"/>
      <c r="O235" s="80"/>
      <c r="P235" s="79"/>
      <c r="Q235" s="80"/>
      <c r="R235" s="79"/>
      <c r="S235" s="80"/>
      <c r="T235" s="80"/>
      <c r="U235" s="80"/>
      <c r="V235" s="80"/>
      <c r="W235" s="141"/>
      <c r="X235" s="141"/>
      <c r="Y235" s="141"/>
      <c r="Z235" s="141"/>
      <c r="AA235" s="273"/>
      <c r="AB235" s="58">
        <v>649000</v>
      </c>
      <c r="AC235" s="28" t="s">
        <v>34</v>
      </c>
      <c r="AD235" s="55">
        <v>45733</v>
      </c>
      <c r="AE235" s="25" t="s">
        <v>33</v>
      </c>
      <c r="AF235" s="28"/>
      <c r="AG235" s="28"/>
      <c r="AH235" s="28"/>
      <c r="AI235" s="28"/>
      <c r="AJ235" s="128"/>
      <c r="AK235" s="28"/>
    </row>
    <row r="236" spans="1:37" ht="27" hidden="1" customHeight="1">
      <c r="A236" s="54"/>
      <c r="B236" s="138" t="s">
        <v>639</v>
      </c>
      <c r="C236" s="138"/>
      <c r="D236" s="27" t="s">
        <v>640</v>
      </c>
      <c r="E236" s="28" t="s">
        <v>53</v>
      </c>
      <c r="F236" s="24" t="s">
        <v>191</v>
      </c>
      <c r="G236" s="66"/>
      <c r="H236" s="67"/>
      <c r="I236" s="82"/>
      <c r="J236" s="82"/>
      <c r="K236" s="82"/>
      <c r="L236" s="80"/>
      <c r="M236" s="79"/>
      <c r="N236" s="80"/>
      <c r="O236" s="80"/>
      <c r="P236" s="79"/>
      <c r="Q236" s="80"/>
      <c r="R236" s="79"/>
      <c r="S236" s="80"/>
      <c r="T236" s="80"/>
      <c r="U236" s="80"/>
      <c r="V236" s="80"/>
      <c r="W236" s="141"/>
      <c r="X236" s="141"/>
      <c r="Y236" s="141"/>
      <c r="Z236" s="141"/>
      <c r="AA236" s="273"/>
      <c r="AB236" s="58">
        <v>17535280</v>
      </c>
      <c r="AC236" s="28" t="s">
        <v>34</v>
      </c>
      <c r="AD236" s="55">
        <v>45733</v>
      </c>
      <c r="AE236" s="25" t="s">
        <v>33</v>
      </c>
      <c r="AF236" s="28"/>
      <c r="AG236" s="28"/>
      <c r="AH236" s="28"/>
      <c r="AI236" s="28"/>
      <c r="AJ236" s="128"/>
      <c r="AK236" s="28"/>
    </row>
    <row r="237" spans="1:37" ht="15" hidden="1" customHeight="1">
      <c r="A237" s="54"/>
      <c r="B237" s="138" t="s">
        <v>641</v>
      </c>
      <c r="C237" s="138"/>
      <c r="D237" s="27" t="s">
        <v>642</v>
      </c>
      <c r="E237" s="28" t="s">
        <v>53</v>
      </c>
      <c r="F237" s="24" t="s">
        <v>643</v>
      </c>
      <c r="G237" s="66"/>
      <c r="H237" s="67"/>
      <c r="I237" s="82"/>
      <c r="J237" s="82"/>
      <c r="K237" s="82"/>
      <c r="L237" s="80"/>
      <c r="M237" s="79"/>
      <c r="N237" s="80"/>
      <c r="O237" s="80"/>
      <c r="P237" s="79"/>
      <c r="Q237" s="80"/>
      <c r="R237" s="79"/>
      <c r="S237" s="80"/>
      <c r="T237" s="80"/>
      <c r="U237" s="80"/>
      <c r="V237" s="80"/>
      <c r="W237" s="141"/>
      <c r="X237" s="141"/>
      <c r="Y237" s="141"/>
      <c r="Z237" s="141"/>
      <c r="AA237" s="273"/>
      <c r="AB237" s="67">
        <v>3960.04</v>
      </c>
      <c r="AC237" s="28" t="s">
        <v>34</v>
      </c>
      <c r="AD237" s="55">
        <v>45733</v>
      </c>
      <c r="AE237" s="25" t="s">
        <v>33</v>
      </c>
      <c r="AF237" s="28"/>
      <c r="AG237" s="28"/>
      <c r="AH237" s="28"/>
      <c r="AI237" s="28"/>
      <c r="AJ237" s="128"/>
      <c r="AK237" s="28"/>
    </row>
    <row r="238" spans="1:37" ht="30.75" hidden="1">
      <c r="A238" s="31"/>
      <c r="B238" s="138" t="s">
        <v>644</v>
      </c>
      <c r="C238" s="138"/>
      <c r="D238" s="24" t="s">
        <v>645</v>
      </c>
      <c r="E238" s="25" t="s">
        <v>31</v>
      </c>
      <c r="F238" s="24" t="s">
        <v>67</v>
      </c>
      <c r="G238" s="29">
        <v>10</v>
      </c>
      <c r="H238" s="29">
        <v>10</v>
      </c>
      <c r="I238" s="83"/>
      <c r="J238" s="83"/>
      <c r="K238" s="83"/>
      <c r="L238" s="35"/>
      <c r="M238" s="61"/>
      <c r="N238" s="35"/>
      <c r="O238" s="35"/>
      <c r="P238" s="61"/>
      <c r="Q238" s="35"/>
      <c r="R238" s="61"/>
      <c r="S238" s="35"/>
      <c r="T238" s="35"/>
      <c r="U238" s="35"/>
      <c r="V238" s="35"/>
      <c r="W238" s="132"/>
      <c r="X238" s="132"/>
      <c r="Y238" s="132"/>
      <c r="Z238" s="132"/>
      <c r="AA238" s="262"/>
      <c r="AB238" s="29">
        <v>10</v>
      </c>
      <c r="AC238" s="28" t="s">
        <v>34</v>
      </c>
      <c r="AD238" s="33">
        <v>45743</v>
      </c>
      <c r="AE238" s="25" t="s">
        <v>33</v>
      </c>
      <c r="AF238" s="25"/>
      <c r="AG238" s="25"/>
      <c r="AH238" s="25"/>
      <c r="AI238" s="25"/>
      <c r="AJ238" s="116"/>
      <c r="AK238" s="25"/>
    </row>
    <row r="239" spans="1:37" ht="30.75" hidden="1">
      <c r="A239" s="54"/>
      <c r="B239" s="138" t="s">
        <v>646</v>
      </c>
      <c r="C239" s="138"/>
      <c r="D239" s="24" t="s">
        <v>647</v>
      </c>
      <c r="E239" s="25" t="s">
        <v>31</v>
      </c>
      <c r="F239" s="24" t="s">
        <v>61</v>
      </c>
      <c r="G239" s="29">
        <v>3080</v>
      </c>
      <c r="H239" s="29">
        <v>3380</v>
      </c>
      <c r="I239" s="83"/>
      <c r="J239" s="83"/>
      <c r="K239" s="83"/>
      <c r="L239" s="35"/>
      <c r="M239" s="61"/>
      <c r="N239" s="35"/>
      <c r="O239" s="35"/>
      <c r="P239" s="61"/>
      <c r="Q239" s="35"/>
      <c r="R239" s="61"/>
      <c r="S239" s="35"/>
      <c r="T239" s="35"/>
      <c r="U239" s="35"/>
      <c r="V239" s="35"/>
      <c r="W239" s="25"/>
      <c r="X239" s="132"/>
      <c r="Y239" s="132"/>
      <c r="Z239" s="132"/>
      <c r="AA239" s="262"/>
      <c r="AB239" s="29">
        <v>3380</v>
      </c>
      <c r="AC239" s="28" t="s">
        <v>34</v>
      </c>
      <c r="AD239" s="33">
        <v>45743</v>
      </c>
      <c r="AE239" s="25" t="s">
        <v>33</v>
      </c>
      <c r="AF239" s="25"/>
      <c r="AG239" s="25"/>
      <c r="AH239" s="25"/>
      <c r="AI239" s="25"/>
      <c r="AJ239" s="116"/>
      <c r="AK239" s="25"/>
    </row>
    <row r="240" spans="1:37" ht="30.75" hidden="1">
      <c r="A240" s="54"/>
      <c r="B240" s="138" t="s">
        <v>648</v>
      </c>
      <c r="C240" s="138"/>
      <c r="D240" s="27" t="s">
        <v>649</v>
      </c>
      <c r="E240" s="28" t="s">
        <v>31</v>
      </c>
      <c r="F240" s="27" t="s">
        <v>64</v>
      </c>
      <c r="G240" s="66">
        <v>70</v>
      </c>
      <c r="H240" s="67">
        <v>77</v>
      </c>
      <c r="I240" s="82"/>
      <c r="J240" s="82"/>
      <c r="K240" s="82"/>
      <c r="L240" s="80"/>
      <c r="M240" s="79"/>
      <c r="N240" s="80"/>
      <c r="O240" s="80"/>
      <c r="P240" s="79"/>
      <c r="Q240" s="80"/>
      <c r="R240" s="79"/>
      <c r="S240" s="80"/>
      <c r="T240" s="80"/>
      <c r="U240" s="80"/>
      <c r="V240" s="80"/>
      <c r="W240" s="141"/>
      <c r="X240" s="141"/>
      <c r="Y240" s="141"/>
      <c r="Z240" s="141"/>
      <c r="AA240" s="273"/>
      <c r="AB240" s="67">
        <v>77</v>
      </c>
      <c r="AC240" s="28" t="s">
        <v>34</v>
      </c>
      <c r="AD240" s="33">
        <v>45743</v>
      </c>
      <c r="AE240" s="25" t="s">
        <v>33</v>
      </c>
      <c r="AF240" s="28"/>
      <c r="AG240" s="28"/>
      <c r="AH240" s="28"/>
      <c r="AI240" s="28"/>
      <c r="AJ240" s="128"/>
      <c r="AK240" s="28"/>
    </row>
    <row r="241" spans="1:37" ht="30.75" hidden="1">
      <c r="B241" s="138" t="s">
        <v>650</v>
      </c>
      <c r="C241" s="138"/>
      <c r="D241" s="24" t="s">
        <v>651</v>
      </c>
      <c r="E241" s="25" t="s">
        <v>31</v>
      </c>
      <c r="F241" s="27" t="s">
        <v>47</v>
      </c>
      <c r="G241" s="29">
        <v>1431.72</v>
      </c>
      <c r="H241" s="29">
        <v>1574.89</v>
      </c>
      <c r="I241" s="25"/>
      <c r="J241" s="25"/>
      <c r="K241" s="25"/>
      <c r="L241" s="25"/>
      <c r="M241" s="33"/>
      <c r="N241" s="25"/>
      <c r="O241" s="25"/>
      <c r="P241" s="33"/>
      <c r="Q241" s="25"/>
      <c r="R241" s="33"/>
      <c r="S241" s="25"/>
      <c r="T241" s="25"/>
      <c r="U241" s="25"/>
      <c r="V241" s="25"/>
      <c r="W241" s="25"/>
      <c r="X241" s="33"/>
      <c r="Y241" s="33"/>
      <c r="Z241" s="33"/>
      <c r="AA241" s="25"/>
      <c r="AB241" s="29">
        <v>1574.89</v>
      </c>
      <c r="AC241" s="28" t="s">
        <v>34</v>
      </c>
      <c r="AD241" s="33">
        <v>45743</v>
      </c>
      <c r="AE241" s="25" t="s">
        <v>33</v>
      </c>
      <c r="AF241" s="25"/>
      <c r="AG241" s="25"/>
      <c r="AH241" s="25"/>
      <c r="AI241" s="25"/>
      <c r="AJ241" s="116"/>
      <c r="AK241" s="24"/>
    </row>
    <row r="242" spans="1:37" ht="18.75" hidden="1" customHeight="1">
      <c r="B242" s="138" t="s">
        <v>652</v>
      </c>
      <c r="C242" s="138"/>
      <c r="D242" s="24" t="s">
        <v>653</v>
      </c>
      <c r="E242" s="25" t="s">
        <v>31</v>
      </c>
      <c r="F242" s="27" t="s">
        <v>47</v>
      </c>
      <c r="G242" s="29">
        <v>1431.72</v>
      </c>
      <c r="H242" s="29">
        <v>1574.89</v>
      </c>
      <c r="I242" s="25"/>
      <c r="J242" s="25"/>
      <c r="K242" s="25"/>
      <c r="L242" s="25"/>
      <c r="M242" s="33"/>
      <c r="N242" s="25"/>
      <c r="O242" s="25"/>
      <c r="P242" s="33"/>
      <c r="Q242" s="25"/>
      <c r="R242" s="33"/>
      <c r="S242" s="25"/>
      <c r="T242" s="25"/>
      <c r="U242" s="25"/>
      <c r="V242" s="25"/>
      <c r="W242" s="25"/>
      <c r="X242" s="33"/>
      <c r="Y242" s="33"/>
      <c r="Z242" s="33"/>
      <c r="AA242" s="25"/>
      <c r="AB242" s="29">
        <v>1574.89</v>
      </c>
      <c r="AC242" s="28" t="s">
        <v>34</v>
      </c>
      <c r="AD242" s="33">
        <v>45743</v>
      </c>
      <c r="AE242" s="25" t="s">
        <v>33</v>
      </c>
      <c r="AF242" s="25"/>
      <c r="AG242" s="25"/>
      <c r="AH242" s="25"/>
      <c r="AI242" s="25"/>
      <c r="AJ242" s="116"/>
      <c r="AK242" s="24"/>
    </row>
    <row r="243" spans="1:37" ht="10.5" hidden="1" customHeight="1">
      <c r="B243" s="25" t="s">
        <v>654</v>
      </c>
      <c r="C243" s="25"/>
      <c r="D243" s="24" t="s">
        <v>655</v>
      </c>
      <c r="E243" s="25" t="s">
        <v>53</v>
      </c>
      <c r="F243" s="27" t="s">
        <v>107</v>
      </c>
      <c r="G243" s="29"/>
      <c r="H243" s="29"/>
      <c r="I243" s="25"/>
      <c r="J243" s="25"/>
      <c r="K243" s="25"/>
      <c r="L243" s="25"/>
      <c r="M243" s="33"/>
      <c r="N243" s="25"/>
      <c r="O243" s="25"/>
      <c r="P243" s="33"/>
      <c r="Q243" s="25"/>
      <c r="R243" s="33"/>
      <c r="S243" s="25"/>
      <c r="T243" s="25"/>
      <c r="U243" s="25"/>
      <c r="V243" s="25"/>
      <c r="W243" s="25"/>
      <c r="X243" s="33"/>
      <c r="Y243" s="33"/>
      <c r="Z243" s="33"/>
      <c r="AA243" s="25"/>
      <c r="AB243" s="58">
        <v>649000</v>
      </c>
      <c r="AC243" s="28" t="s">
        <v>34</v>
      </c>
      <c r="AD243" s="55">
        <v>45761</v>
      </c>
      <c r="AE243" s="25" t="s">
        <v>33</v>
      </c>
      <c r="AF243" s="25"/>
      <c r="AG243" s="25"/>
      <c r="AH243" s="25"/>
      <c r="AI243" s="25"/>
      <c r="AJ243" s="116"/>
      <c r="AK243" s="24"/>
    </row>
    <row r="244" spans="1:37" ht="30.75" hidden="1">
      <c r="A244" s="54"/>
      <c r="B244" s="25" t="s">
        <v>656</v>
      </c>
      <c r="C244" s="28"/>
      <c r="D244" s="27" t="s">
        <v>657</v>
      </c>
      <c r="E244" s="28" t="s">
        <v>53</v>
      </c>
      <c r="F244" s="24" t="s">
        <v>230</v>
      </c>
      <c r="G244" s="66"/>
      <c r="H244" s="67"/>
      <c r="I244" s="82"/>
      <c r="J244" s="82"/>
      <c r="K244" s="82"/>
      <c r="L244" s="80"/>
      <c r="M244" s="79"/>
      <c r="N244" s="80"/>
      <c r="O244" s="80"/>
      <c r="P244" s="79"/>
      <c r="Q244" s="80"/>
      <c r="R244" s="79"/>
      <c r="S244" s="80"/>
      <c r="T244" s="80"/>
      <c r="U244" s="80"/>
      <c r="V244" s="80"/>
      <c r="W244" s="141"/>
      <c r="X244" s="141"/>
      <c r="Y244" s="141"/>
      <c r="Z244" s="141"/>
      <c r="AA244" s="273"/>
      <c r="AB244" s="58">
        <v>6154434</v>
      </c>
      <c r="AC244" s="28" t="s">
        <v>34</v>
      </c>
      <c r="AD244" s="55">
        <v>45761</v>
      </c>
      <c r="AE244" s="25" t="s">
        <v>33</v>
      </c>
      <c r="AF244" s="28"/>
      <c r="AG244" s="28"/>
      <c r="AH244" s="28"/>
      <c r="AI244" s="28"/>
      <c r="AJ244" s="128"/>
      <c r="AK244" s="28"/>
    </row>
    <row r="245" spans="1:37" ht="30.75" hidden="1">
      <c r="A245" s="54"/>
      <c r="B245" s="25" t="s">
        <v>658</v>
      </c>
      <c r="C245" s="28"/>
      <c r="D245" s="27" t="s">
        <v>659</v>
      </c>
      <c r="E245" s="28" t="s">
        <v>53</v>
      </c>
      <c r="F245" s="24" t="s">
        <v>191</v>
      </c>
      <c r="G245" s="66"/>
      <c r="H245" s="67"/>
      <c r="I245" s="82"/>
      <c r="J245" s="82"/>
      <c r="K245" s="82"/>
      <c r="L245" s="80"/>
      <c r="M245" s="79"/>
      <c r="N245" s="80"/>
      <c r="O245" s="80"/>
      <c r="P245" s="79"/>
      <c r="Q245" s="80"/>
      <c r="R245" s="79"/>
      <c r="S245" s="80"/>
      <c r="T245" s="80"/>
      <c r="U245" s="80"/>
      <c r="V245" s="80"/>
      <c r="W245" s="141"/>
      <c r="X245" s="141"/>
      <c r="Y245" s="141"/>
      <c r="Z245" s="141"/>
      <c r="AA245" s="273"/>
      <c r="AB245" s="58">
        <v>15175600</v>
      </c>
      <c r="AC245" s="28" t="s">
        <v>34</v>
      </c>
      <c r="AD245" s="55">
        <v>45761</v>
      </c>
      <c r="AE245" s="25" t="s">
        <v>33</v>
      </c>
      <c r="AF245" s="28"/>
      <c r="AG245" s="28"/>
      <c r="AH245" s="28"/>
      <c r="AI245" s="28"/>
      <c r="AJ245" s="128"/>
      <c r="AK245" s="28"/>
    </row>
    <row r="246" spans="1:37" hidden="1">
      <c r="B246" s="25" t="s">
        <v>660</v>
      </c>
      <c r="C246" s="25"/>
      <c r="D246" s="24" t="s">
        <v>661</v>
      </c>
      <c r="E246" s="28" t="s">
        <v>53</v>
      </c>
      <c r="F246" s="24" t="s">
        <v>58</v>
      </c>
      <c r="G246" s="51">
        <v>590000</v>
      </c>
      <c r="H246" s="51">
        <v>649000</v>
      </c>
      <c r="I246" s="25"/>
      <c r="J246" s="25"/>
      <c r="K246" s="25"/>
      <c r="L246" s="25"/>
      <c r="M246" s="33" t="s">
        <v>662</v>
      </c>
      <c r="N246" s="25"/>
      <c r="O246" s="25"/>
      <c r="P246" s="33"/>
      <c r="Q246" s="25"/>
      <c r="R246" s="33"/>
      <c r="S246" s="25"/>
      <c r="T246" s="25"/>
      <c r="U246" s="25"/>
      <c r="V246" s="25"/>
      <c r="W246" s="25"/>
      <c r="X246" s="33"/>
      <c r="Y246" s="33"/>
      <c r="Z246" s="33"/>
      <c r="AA246" s="25"/>
      <c r="AB246" s="25"/>
      <c r="AC246" s="28" t="s">
        <v>34</v>
      </c>
      <c r="AD246" s="55">
        <v>45761</v>
      </c>
      <c r="AE246" s="25" t="s">
        <v>33</v>
      </c>
      <c r="AF246" s="25"/>
      <c r="AG246" s="25"/>
      <c r="AH246" s="25"/>
      <c r="AI246" s="25"/>
      <c r="AJ246" s="116"/>
      <c r="AK246" s="24"/>
    </row>
    <row r="247" spans="1:37" hidden="1">
      <c r="B247" s="25" t="s">
        <v>663</v>
      </c>
      <c r="C247" s="25"/>
      <c r="D247" s="24" t="s">
        <v>664</v>
      </c>
      <c r="E247" s="28" t="s">
        <v>53</v>
      </c>
      <c r="F247" s="24" t="s">
        <v>58</v>
      </c>
      <c r="G247" s="51">
        <v>450000</v>
      </c>
      <c r="H247" s="51">
        <v>495000</v>
      </c>
      <c r="I247" s="25"/>
      <c r="J247" s="25"/>
      <c r="K247" s="25"/>
      <c r="L247" s="25"/>
      <c r="M247" s="33"/>
      <c r="N247" s="25"/>
      <c r="O247" s="25"/>
      <c r="P247" s="33"/>
      <c r="Q247" s="25"/>
      <c r="R247" s="33"/>
      <c r="S247" s="25"/>
      <c r="T247" s="25"/>
      <c r="U247" s="25"/>
      <c r="V247" s="25"/>
      <c r="W247" s="25"/>
      <c r="X247" s="33"/>
      <c r="Y247" s="33"/>
      <c r="Z247" s="33"/>
      <c r="AA247" s="25"/>
      <c r="AB247" s="25"/>
      <c r="AC247" s="28" t="s">
        <v>34</v>
      </c>
      <c r="AD247" s="55">
        <v>45761</v>
      </c>
      <c r="AE247" s="25" t="s">
        <v>33</v>
      </c>
      <c r="AF247" s="25"/>
      <c r="AG247" s="25"/>
      <c r="AH247" s="25"/>
      <c r="AI247" s="25"/>
      <c r="AJ247" s="116"/>
      <c r="AK247" s="24"/>
    </row>
    <row r="248" spans="1:37" hidden="1">
      <c r="B248" s="25" t="s">
        <v>665</v>
      </c>
      <c r="C248" s="25"/>
      <c r="D248" s="24" t="s">
        <v>666</v>
      </c>
      <c r="E248" s="28" t="s">
        <v>53</v>
      </c>
      <c r="F248" s="24" t="s">
        <v>58</v>
      </c>
      <c r="G248" s="51">
        <v>180000</v>
      </c>
      <c r="H248" s="51">
        <v>198000</v>
      </c>
      <c r="I248" s="25"/>
      <c r="J248" s="25"/>
      <c r="K248" s="25"/>
      <c r="L248" s="25"/>
      <c r="M248" s="33"/>
      <c r="N248" s="25"/>
      <c r="O248" s="25"/>
      <c r="P248" s="33"/>
      <c r="Q248" s="25"/>
      <c r="R248" s="33"/>
      <c r="S248" s="25"/>
      <c r="T248" s="25"/>
      <c r="U248" s="25"/>
      <c r="V248" s="25"/>
      <c r="W248" s="25"/>
      <c r="X248" s="33"/>
      <c r="Y248" s="33"/>
      <c r="Z248" s="33"/>
      <c r="AA248" s="25"/>
      <c r="AB248" s="25"/>
      <c r="AC248" s="28" t="s">
        <v>34</v>
      </c>
      <c r="AD248" s="55">
        <v>45761</v>
      </c>
      <c r="AE248" s="25" t="s">
        <v>33</v>
      </c>
      <c r="AF248" s="25"/>
      <c r="AG248" s="25"/>
      <c r="AH248" s="25"/>
      <c r="AI248" s="25"/>
      <c r="AJ248" s="116"/>
      <c r="AK248" s="24"/>
    </row>
    <row r="249" spans="1:37" hidden="1">
      <c r="B249" s="25" t="s">
        <v>667</v>
      </c>
      <c r="C249" s="25"/>
      <c r="D249" s="24" t="s">
        <v>668</v>
      </c>
      <c r="E249" s="28" t="s">
        <v>53</v>
      </c>
      <c r="F249" s="24" t="s">
        <v>58</v>
      </c>
      <c r="G249" s="51">
        <v>1400000</v>
      </c>
      <c r="H249" s="51">
        <v>1540000</v>
      </c>
      <c r="I249" s="25"/>
      <c r="J249" s="25"/>
      <c r="K249" s="25"/>
      <c r="L249" s="25"/>
      <c r="M249" s="33"/>
      <c r="N249" s="25"/>
      <c r="O249" s="25"/>
      <c r="P249" s="33"/>
      <c r="Q249" s="25"/>
      <c r="R249" s="33"/>
      <c r="S249" s="25"/>
      <c r="T249" s="25"/>
      <c r="U249" s="25"/>
      <c r="V249" s="25"/>
      <c r="W249" s="25"/>
      <c r="X249" s="33"/>
      <c r="Y249" s="33"/>
      <c r="Z249" s="33"/>
      <c r="AA249" s="25"/>
      <c r="AB249" s="25"/>
      <c r="AC249" s="28" t="s">
        <v>34</v>
      </c>
      <c r="AD249" s="55">
        <v>45761</v>
      </c>
      <c r="AE249" s="25" t="s">
        <v>33</v>
      </c>
      <c r="AF249" s="25"/>
      <c r="AG249" s="25"/>
      <c r="AH249" s="25"/>
      <c r="AI249" s="25"/>
      <c r="AJ249" s="116"/>
      <c r="AK249" s="24"/>
    </row>
    <row r="250" spans="1:37" hidden="1">
      <c r="B250" s="25" t="s">
        <v>669</v>
      </c>
      <c r="C250" s="25"/>
      <c r="D250" s="24" t="s">
        <v>670</v>
      </c>
      <c r="E250" s="28" t="s">
        <v>53</v>
      </c>
      <c r="F250" s="24" t="s">
        <v>58</v>
      </c>
      <c r="G250" s="51">
        <v>760000</v>
      </c>
      <c r="H250" s="51">
        <v>836000</v>
      </c>
      <c r="I250" s="25"/>
      <c r="J250" s="25"/>
      <c r="K250" s="25"/>
      <c r="L250" s="25"/>
      <c r="M250" s="33"/>
      <c r="N250" s="25"/>
      <c r="O250" s="25"/>
      <c r="P250" s="33"/>
      <c r="Q250" s="25"/>
      <c r="R250" s="33"/>
      <c r="S250" s="25"/>
      <c r="T250" s="25"/>
      <c r="U250" s="25"/>
      <c r="V250" s="25"/>
      <c r="W250" s="25"/>
      <c r="X250" s="33"/>
      <c r="Y250" s="33"/>
      <c r="Z250" s="33"/>
      <c r="AA250" s="25"/>
      <c r="AB250" s="25"/>
      <c r="AC250" s="28" t="s">
        <v>34</v>
      </c>
      <c r="AD250" s="55">
        <v>45761</v>
      </c>
      <c r="AE250" s="25" t="s">
        <v>33</v>
      </c>
      <c r="AF250" s="25"/>
      <c r="AG250" s="25"/>
      <c r="AH250" s="25"/>
      <c r="AI250" s="25"/>
      <c r="AJ250" s="116"/>
      <c r="AK250" s="24"/>
    </row>
    <row r="251" spans="1:37" hidden="1">
      <c r="B251" s="25" t="s">
        <v>671</v>
      </c>
      <c r="C251" s="25"/>
      <c r="D251" s="24" t="s">
        <v>672</v>
      </c>
      <c r="E251" s="28" t="s">
        <v>53</v>
      </c>
      <c r="F251" s="24" t="s">
        <v>58</v>
      </c>
      <c r="G251" s="51">
        <v>480000</v>
      </c>
      <c r="H251" s="51">
        <v>528000</v>
      </c>
      <c r="I251" s="25"/>
      <c r="J251" s="25"/>
      <c r="K251" s="25"/>
      <c r="L251" s="25"/>
      <c r="M251" s="33"/>
      <c r="N251" s="25"/>
      <c r="O251" s="25"/>
      <c r="P251" s="33"/>
      <c r="Q251" s="25"/>
      <c r="R251" s="33"/>
      <c r="S251" s="25"/>
      <c r="T251" s="25"/>
      <c r="U251" s="25"/>
      <c r="V251" s="25"/>
      <c r="W251" s="25"/>
      <c r="X251" s="33"/>
      <c r="Y251" s="33"/>
      <c r="Z251" s="33"/>
      <c r="AA251" s="25"/>
      <c r="AB251" s="25"/>
      <c r="AC251" s="28" t="s">
        <v>34</v>
      </c>
      <c r="AD251" s="55">
        <v>45761</v>
      </c>
      <c r="AE251" s="25" t="s">
        <v>33</v>
      </c>
      <c r="AF251" s="25"/>
      <c r="AG251" s="25"/>
      <c r="AH251" s="25"/>
      <c r="AI251" s="25"/>
      <c r="AJ251" s="116"/>
      <c r="AK251" s="24"/>
    </row>
    <row r="252" spans="1:37" ht="45.75" hidden="1">
      <c r="B252" s="25" t="s">
        <v>673</v>
      </c>
      <c r="C252" s="25"/>
      <c r="D252" s="24" t="s">
        <v>674</v>
      </c>
      <c r="E252" s="28" t="s">
        <v>31</v>
      </c>
      <c r="F252" s="24" t="s">
        <v>32</v>
      </c>
      <c r="G252" s="29">
        <v>237.6</v>
      </c>
      <c r="H252" s="29">
        <v>237.6</v>
      </c>
      <c r="I252" s="25"/>
      <c r="J252" s="266" t="s">
        <v>34</v>
      </c>
      <c r="K252" s="266" t="s">
        <v>33</v>
      </c>
      <c r="L252" s="129" t="s">
        <v>34</v>
      </c>
      <c r="M252" s="132">
        <v>45768</v>
      </c>
      <c r="N252" s="129" t="s">
        <v>33</v>
      </c>
      <c r="O252" s="25"/>
      <c r="P252" s="33"/>
      <c r="Q252" s="25"/>
      <c r="R252" s="33"/>
      <c r="S252" s="25"/>
      <c r="T252" s="25"/>
      <c r="U252" s="25"/>
      <c r="V252" s="25"/>
      <c r="W252" s="25"/>
      <c r="X252" s="33"/>
      <c r="Y252" s="33"/>
      <c r="Z252" s="33"/>
      <c r="AA252" s="25"/>
      <c r="AB252" s="25"/>
      <c r="AC252" s="25"/>
      <c r="AD252" s="25"/>
      <c r="AE252" s="25"/>
      <c r="AF252" s="25"/>
      <c r="AG252" s="25"/>
      <c r="AH252" s="25"/>
      <c r="AI252" s="25"/>
      <c r="AJ252" s="116"/>
      <c r="AK252" s="24"/>
    </row>
    <row r="253" spans="1:37" ht="30.75" hidden="1">
      <c r="A253" s="54"/>
      <c r="B253" s="25" t="s">
        <v>675</v>
      </c>
      <c r="C253" s="25"/>
      <c r="D253" s="24" t="s">
        <v>647</v>
      </c>
      <c r="E253" s="25" t="s">
        <v>31</v>
      </c>
      <c r="F253" s="24" t="s">
        <v>61</v>
      </c>
      <c r="G253" s="29">
        <v>3080</v>
      </c>
      <c r="H253" s="29">
        <v>3380</v>
      </c>
      <c r="I253" s="83"/>
      <c r="J253" s="83"/>
      <c r="K253" s="83"/>
      <c r="L253" s="35"/>
      <c r="M253" s="61"/>
      <c r="N253" s="35"/>
      <c r="O253" s="35"/>
      <c r="P253" s="61"/>
      <c r="Q253" s="35"/>
      <c r="R253" s="61"/>
      <c r="S253" s="35"/>
      <c r="T253" s="35"/>
      <c r="U253" s="35"/>
      <c r="V253" s="35"/>
      <c r="W253" s="25"/>
      <c r="X253" s="132"/>
      <c r="Y253" s="132"/>
      <c r="Z253" s="132"/>
      <c r="AA253" s="262"/>
      <c r="AB253" s="29">
        <v>3080</v>
      </c>
      <c r="AC253" s="28" t="s">
        <v>34</v>
      </c>
      <c r="AD253" s="33">
        <f ca="1">TODAY()</f>
        <v>46203</v>
      </c>
      <c r="AE253" s="25" t="s">
        <v>33</v>
      </c>
      <c r="AF253" s="25"/>
      <c r="AG253" s="25"/>
      <c r="AH253" s="25"/>
      <c r="AI253" s="25"/>
      <c r="AJ253" s="116"/>
      <c r="AK253" s="25"/>
    </row>
    <row r="254" spans="1:37" ht="30.75" hidden="1">
      <c r="A254" s="54"/>
      <c r="B254" s="25" t="s">
        <v>676</v>
      </c>
      <c r="C254" s="28"/>
      <c r="D254" s="27" t="s">
        <v>649</v>
      </c>
      <c r="E254" s="28" t="s">
        <v>31</v>
      </c>
      <c r="F254" s="27" t="s">
        <v>64</v>
      </c>
      <c r="G254" s="66">
        <v>70</v>
      </c>
      <c r="H254" s="67">
        <v>77</v>
      </c>
      <c r="I254" s="82"/>
      <c r="J254" s="82"/>
      <c r="K254" s="82"/>
      <c r="L254" s="80"/>
      <c r="M254" s="79"/>
      <c r="N254" s="80"/>
      <c r="O254" s="80"/>
      <c r="P254" s="79"/>
      <c r="Q254" s="80"/>
      <c r="R254" s="79"/>
      <c r="S254" s="80"/>
      <c r="T254" s="80"/>
      <c r="U254" s="80"/>
      <c r="V254" s="80"/>
      <c r="W254" s="141"/>
      <c r="X254" s="141"/>
      <c r="Y254" s="141"/>
      <c r="Z254" s="141"/>
      <c r="AA254" s="273"/>
      <c r="AB254" s="67">
        <v>77</v>
      </c>
      <c r="AC254" s="28" t="s">
        <v>34</v>
      </c>
      <c r="AD254" s="33">
        <f ca="1">TODAY()</f>
        <v>46203</v>
      </c>
      <c r="AE254" s="25" t="s">
        <v>33</v>
      </c>
      <c r="AF254" s="28"/>
      <c r="AG254" s="28"/>
      <c r="AH254" s="28"/>
      <c r="AI254" s="28"/>
      <c r="AJ254" s="128"/>
      <c r="AK254" s="28"/>
    </row>
    <row r="255" spans="1:37" ht="30.75" hidden="1">
      <c r="A255" s="31"/>
      <c r="B255" s="25" t="s">
        <v>677</v>
      </c>
      <c r="C255" s="25"/>
      <c r="D255" s="24" t="s">
        <v>645</v>
      </c>
      <c r="E255" s="25" t="s">
        <v>31</v>
      </c>
      <c r="F255" s="24" t="s">
        <v>67</v>
      </c>
      <c r="G255" s="29">
        <v>10</v>
      </c>
      <c r="H255" s="29">
        <v>10</v>
      </c>
      <c r="I255" s="83"/>
      <c r="J255" s="83"/>
      <c r="K255" s="83"/>
      <c r="L255" s="35"/>
      <c r="M255" s="61"/>
      <c r="N255" s="35"/>
      <c r="O255" s="35"/>
      <c r="P255" s="61"/>
      <c r="Q255" s="35"/>
      <c r="R255" s="61"/>
      <c r="S255" s="35"/>
      <c r="T255" s="35"/>
      <c r="U255" s="35"/>
      <c r="V255" s="35"/>
      <c r="W255" s="132"/>
      <c r="X255" s="132"/>
      <c r="Y255" s="132"/>
      <c r="Z255" s="132"/>
      <c r="AA255" s="262"/>
      <c r="AB255" s="29">
        <v>10</v>
      </c>
      <c r="AC255" s="28" t="s">
        <v>34</v>
      </c>
      <c r="AD255" s="33">
        <f ca="1">TODAY()</f>
        <v>46203</v>
      </c>
      <c r="AE255" s="25" t="s">
        <v>33</v>
      </c>
      <c r="AF255" s="25"/>
      <c r="AG255" s="25"/>
      <c r="AH255" s="25"/>
      <c r="AI255" s="25"/>
      <c r="AJ255" s="116"/>
      <c r="AK255" s="25"/>
    </row>
    <row r="256" spans="1:37" hidden="1">
      <c r="B256" s="25" t="s">
        <v>678</v>
      </c>
      <c r="C256" s="25"/>
      <c r="D256" s="24" t="s">
        <v>655</v>
      </c>
      <c r="E256" s="25" t="s">
        <v>53</v>
      </c>
      <c r="F256" s="27" t="s">
        <v>107</v>
      </c>
      <c r="G256" s="29"/>
      <c r="H256" s="29"/>
      <c r="I256" s="25"/>
      <c r="J256" s="25"/>
      <c r="K256" s="25"/>
      <c r="L256" s="25"/>
      <c r="M256" s="33"/>
      <c r="N256" s="25"/>
      <c r="O256" s="25"/>
      <c r="P256" s="33"/>
      <c r="Q256" s="25"/>
      <c r="R256" s="33"/>
      <c r="S256" s="25"/>
      <c r="T256" s="25"/>
      <c r="U256" s="25"/>
      <c r="V256" s="25"/>
      <c r="W256" s="25"/>
      <c r="X256" s="33"/>
      <c r="Y256" s="33"/>
      <c r="Z256" s="33"/>
      <c r="AA256" s="25"/>
      <c r="AB256" s="58">
        <v>649000</v>
      </c>
      <c r="AC256" s="28" t="s">
        <v>34</v>
      </c>
      <c r="AD256" s="55">
        <f ca="1">TODAY()</f>
        <v>46203</v>
      </c>
      <c r="AE256" s="25"/>
      <c r="AF256" s="25"/>
      <c r="AG256" s="25"/>
      <c r="AH256" s="25"/>
      <c r="AI256" s="25"/>
      <c r="AJ256" s="116"/>
      <c r="AK256" s="24"/>
    </row>
    <row r="257" spans="1:37" ht="30.75" hidden="1">
      <c r="A257" s="54"/>
      <c r="B257" s="25" t="s">
        <v>679</v>
      </c>
      <c r="C257" s="28"/>
      <c r="D257" s="27" t="s">
        <v>657</v>
      </c>
      <c r="E257" s="28" t="s">
        <v>53</v>
      </c>
      <c r="F257" s="24" t="s">
        <v>230</v>
      </c>
      <c r="G257" s="66"/>
      <c r="H257" s="67"/>
      <c r="I257" s="82"/>
      <c r="J257" s="82"/>
      <c r="K257" s="82"/>
      <c r="L257" s="80"/>
      <c r="M257" s="79"/>
      <c r="N257" s="80"/>
      <c r="O257" s="80"/>
      <c r="P257" s="79"/>
      <c r="Q257" s="80"/>
      <c r="R257" s="79"/>
      <c r="S257" s="80"/>
      <c r="T257" s="80"/>
      <c r="U257" s="80"/>
      <c r="V257" s="80"/>
      <c r="W257" s="141"/>
      <c r="X257" s="141"/>
      <c r="Y257" s="141"/>
      <c r="Z257" s="141"/>
      <c r="AA257" s="273"/>
      <c r="AB257" s="58">
        <v>4620000</v>
      </c>
      <c r="AC257" s="28" t="s">
        <v>34</v>
      </c>
      <c r="AD257" s="55">
        <f ca="1">TODAY()</f>
        <v>46203</v>
      </c>
      <c r="AE257" s="25"/>
      <c r="AF257" s="28"/>
      <c r="AG257" s="28"/>
      <c r="AH257" s="28"/>
      <c r="AI257" s="28"/>
      <c r="AJ257" s="128"/>
      <c r="AK257" s="28"/>
    </row>
    <row r="258" spans="1:37" ht="30.75" hidden="1">
      <c r="A258" s="54"/>
      <c r="B258" s="25" t="s">
        <v>680</v>
      </c>
      <c r="C258" s="28"/>
      <c r="D258" s="27" t="s">
        <v>659</v>
      </c>
      <c r="E258" s="28" t="s">
        <v>53</v>
      </c>
      <c r="F258" s="24" t="s">
        <v>191</v>
      </c>
      <c r="G258" s="66"/>
      <c r="H258" s="67"/>
      <c r="I258" s="82"/>
      <c r="J258" s="82"/>
      <c r="K258" s="82"/>
      <c r="L258" s="80"/>
      <c r="M258" s="79"/>
      <c r="N258" s="80"/>
      <c r="O258" s="80"/>
      <c r="P258" s="79"/>
      <c r="Q258" s="80"/>
      <c r="R258" s="79"/>
      <c r="S258" s="80"/>
      <c r="T258" s="80"/>
      <c r="U258" s="80"/>
      <c r="V258" s="80"/>
      <c r="W258" s="141"/>
      <c r="X258" s="141"/>
      <c r="Y258" s="141"/>
      <c r="Z258" s="141"/>
      <c r="AA258" s="273"/>
      <c r="AB258" s="58">
        <v>13864400</v>
      </c>
      <c r="AC258" s="28" t="s">
        <v>34</v>
      </c>
      <c r="AD258" s="55">
        <f ca="1">TODAY()</f>
        <v>46203</v>
      </c>
      <c r="AE258" s="25"/>
      <c r="AF258" s="28"/>
      <c r="AG258" s="28"/>
      <c r="AH258" s="28"/>
      <c r="AI258" s="28"/>
      <c r="AJ258" s="128"/>
      <c r="AK258" s="28"/>
    </row>
    <row r="259" spans="1:37" hidden="1">
      <c r="B259" s="25" t="s">
        <v>681</v>
      </c>
      <c r="C259" s="25"/>
      <c r="D259" s="24" t="s">
        <v>682</v>
      </c>
      <c r="E259" s="28" t="s">
        <v>31</v>
      </c>
      <c r="F259" s="27" t="s">
        <v>364</v>
      </c>
      <c r="G259" s="29"/>
      <c r="H259" s="29"/>
      <c r="I259" s="25"/>
      <c r="J259" s="25"/>
      <c r="K259" s="25"/>
      <c r="L259" s="25"/>
      <c r="M259" s="33"/>
      <c r="N259" s="25"/>
      <c r="O259" s="25"/>
      <c r="P259" s="33"/>
      <c r="Q259" s="25"/>
      <c r="R259" s="33"/>
      <c r="S259" s="25"/>
      <c r="T259" s="25"/>
      <c r="U259" s="25"/>
      <c r="V259" s="25"/>
      <c r="W259" s="25"/>
      <c r="X259" s="33"/>
      <c r="Y259" s="33"/>
      <c r="Z259" s="33"/>
      <c r="AA259" s="25"/>
      <c r="AB259" s="29">
        <v>60</v>
      </c>
      <c r="AC259" s="25" t="s">
        <v>34</v>
      </c>
      <c r="AD259" s="55">
        <v>45811</v>
      </c>
      <c r="AE259" s="25" t="s">
        <v>33</v>
      </c>
      <c r="AF259" s="25"/>
      <c r="AG259" s="25"/>
      <c r="AH259" s="25"/>
      <c r="AI259" s="25"/>
      <c r="AJ259" s="116"/>
      <c r="AK259" s="24"/>
    </row>
    <row r="260" spans="1:37" ht="45.75" hidden="1">
      <c r="B260" s="25" t="s">
        <v>683</v>
      </c>
      <c r="C260" s="25">
        <v>4502898199</v>
      </c>
      <c r="D260" s="24" t="s">
        <v>684</v>
      </c>
      <c r="E260" s="25" t="s">
        <v>53</v>
      </c>
      <c r="F260" s="27" t="s">
        <v>211</v>
      </c>
      <c r="G260" s="29"/>
      <c r="H260" s="29"/>
      <c r="I260" s="25"/>
      <c r="J260" s="25"/>
      <c r="K260" s="25"/>
      <c r="L260" s="25"/>
      <c r="M260" s="33"/>
      <c r="N260" s="25"/>
      <c r="O260" s="25"/>
      <c r="P260" s="33"/>
      <c r="Q260" s="25"/>
      <c r="R260" s="33"/>
      <c r="S260" s="25"/>
      <c r="T260" s="25"/>
      <c r="U260" s="25"/>
      <c r="V260" s="25"/>
      <c r="W260" s="25"/>
      <c r="X260" s="33"/>
      <c r="Y260" s="33"/>
      <c r="Z260" s="33"/>
      <c r="AA260" s="25"/>
      <c r="AB260" s="58">
        <v>89350000</v>
      </c>
      <c r="AC260" s="25" t="s">
        <v>34</v>
      </c>
      <c r="AD260" s="55">
        <v>45813</v>
      </c>
      <c r="AE260" s="25" t="s">
        <v>33</v>
      </c>
      <c r="AF260" s="25"/>
      <c r="AG260" s="25"/>
      <c r="AH260" s="25"/>
      <c r="AI260" s="25"/>
      <c r="AJ260" s="116"/>
      <c r="AK260" s="24"/>
    </row>
    <row r="261" spans="1:37" ht="30.75" hidden="1">
      <c r="B261" s="25" t="s">
        <v>685</v>
      </c>
      <c r="C261" s="25"/>
      <c r="D261" s="24" t="s">
        <v>686</v>
      </c>
      <c r="E261" s="25" t="s">
        <v>53</v>
      </c>
      <c r="F261" s="27" t="s">
        <v>107</v>
      </c>
      <c r="G261" s="29"/>
      <c r="H261" s="29"/>
      <c r="I261" s="25"/>
      <c r="J261" s="25"/>
      <c r="K261" s="25"/>
      <c r="L261" s="25"/>
      <c r="M261" s="33"/>
      <c r="N261" s="25"/>
      <c r="O261" s="25"/>
      <c r="P261" s="33"/>
      <c r="Q261" s="25"/>
      <c r="R261" s="33"/>
      <c r="S261" s="25"/>
      <c r="T261" s="25"/>
      <c r="U261" s="25"/>
      <c r="V261" s="25"/>
      <c r="W261" s="25"/>
      <c r="X261" s="33"/>
      <c r="Y261" s="33"/>
      <c r="Z261" s="33"/>
      <c r="AA261" s="25"/>
      <c r="AB261" s="58">
        <v>649000</v>
      </c>
      <c r="AC261" s="28" t="s">
        <v>34</v>
      </c>
      <c r="AD261" s="55">
        <f ca="1">TODAY()</f>
        <v>46203</v>
      </c>
      <c r="AE261" s="25" t="s">
        <v>33</v>
      </c>
      <c r="AF261" s="25"/>
      <c r="AG261" s="25"/>
      <c r="AH261" s="25"/>
      <c r="AI261" s="25"/>
      <c r="AJ261" s="116"/>
      <c r="AK261" s="24"/>
    </row>
    <row r="262" spans="1:37" ht="30.75" hidden="1">
      <c r="A262" s="54"/>
      <c r="B262" s="25" t="s">
        <v>687</v>
      </c>
      <c r="C262" s="28"/>
      <c r="D262" s="27" t="s">
        <v>688</v>
      </c>
      <c r="E262" s="28" t="s">
        <v>53</v>
      </c>
      <c r="F262" s="24" t="s">
        <v>230</v>
      </c>
      <c r="G262" s="66"/>
      <c r="H262" s="67"/>
      <c r="I262" s="82"/>
      <c r="J262" s="82"/>
      <c r="K262" s="82"/>
      <c r="L262" s="80"/>
      <c r="M262" s="79"/>
      <c r="N262" s="80"/>
      <c r="O262" s="80"/>
      <c r="P262" s="79"/>
      <c r="Q262" s="80"/>
      <c r="R262" s="79"/>
      <c r="S262" s="80"/>
      <c r="T262" s="80"/>
      <c r="U262" s="80"/>
      <c r="V262" s="80"/>
      <c r="W262" s="141"/>
      <c r="X262" s="141"/>
      <c r="Y262" s="141"/>
      <c r="Z262" s="141"/>
      <c r="AA262" s="273"/>
      <c r="AB262" s="58">
        <v>6154434</v>
      </c>
      <c r="AC262" s="28" t="s">
        <v>34</v>
      </c>
      <c r="AD262" s="55">
        <f ca="1">TODAY()</f>
        <v>46203</v>
      </c>
      <c r="AE262" s="25" t="s">
        <v>33</v>
      </c>
      <c r="AF262" s="28"/>
      <c r="AG262" s="28"/>
      <c r="AH262" s="28"/>
      <c r="AI262" s="28"/>
      <c r="AJ262" s="128"/>
      <c r="AK262" s="28"/>
    </row>
    <row r="263" spans="1:37" ht="30.75" hidden="1">
      <c r="A263" s="54"/>
      <c r="B263" s="25" t="s">
        <v>689</v>
      </c>
      <c r="C263" s="28"/>
      <c r="D263" s="27" t="s">
        <v>690</v>
      </c>
      <c r="E263" s="28" t="s">
        <v>53</v>
      </c>
      <c r="F263" s="24" t="s">
        <v>191</v>
      </c>
      <c r="G263" s="66"/>
      <c r="H263" s="67"/>
      <c r="I263" s="82"/>
      <c r="J263" s="82"/>
      <c r="K263" s="82"/>
      <c r="L263" s="80"/>
      <c r="M263" s="79"/>
      <c r="N263" s="80"/>
      <c r="O263" s="80"/>
      <c r="P263" s="79"/>
      <c r="Q263" s="80"/>
      <c r="R263" s="79"/>
      <c r="S263" s="80"/>
      <c r="T263" s="80"/>
      <c r="U263" s="80"/>
      <c r="V263" s="80"/>
      <c r="W263" s="141"/>
      <c r="X263" s="141"/>
      <c r="Y263" s="141"/>
      <c r="Z263" s="141"/>
      <c r="AA263" s="273"/>
      <c r="AB263" s="58">
        <v>12748000</v>
      </c>
      <c r="AC263" s="28" t="s">
        <v>34</v>
      </c>
      <c r="AD263" s="55">
        <f ca="1">TODAY()</f>
        <v>46203</v>
      </c>
      <c r="AE263" s="25" t="s">
        <v>33</v>
      </c>
      <c r="AF263" s="28"/>
      <c r="AG263" s="28"/>
      <c r="AH263" s="28"/>
      <c r="AI263" s="28"/>
      <c r="AJ263" s="128"/>
      <c r="AK263" s="28"/>
    </row>
    <row r="264" spans="1:37" hidden="1">
      <c r="B264" s="25" t="s">
        <v>691</v>
      </c>
      <c r="C264" s="31"/>
      <c r="D264" s="24" t="s">
        <v>692</v>
      </c>
      <c r="E264" s="53" t="s">
        <v>53</v>
      </c>
      <c r="F264" s="24" t="s">
        <v>58</v>
      </c>
      <c r="G264" s="51">
        <v>180000</v>
      </c>
      <c r="H264" s="51">
        <v>198000</v>
      </c>
      <c r="I264" s="25"/>
      <c r="J264" s="25"/>
      <c r="K264" s="25"/>
      <c r="L264" s="25"/>
      <c r="M264" s="33"/>
      <c r="N264" s="25"/>
      <c r="O264" s="25"/>
      <c r="P264" s="33"/>
      <c r="Q264" s="25"/>
      <c r="R264" s="33"/>
      <c r="S264" s="25"/>
      <c r="T264" s="25"/>
      <c r="U264" s="25"/>
      <c r="V264" s="25"/>
      <c r="W264" s="25"/>
      <c r="X264" s="33"/>
      <c r="Y264" s="33"/>
      <c r="Z264" s="33"/>
      <c r="AA264" s="25"/>
      <c r="AB264" s="25"/>
      <c r="AC264" s="25"/>
      <c r="AD264" s="25"/>
      <c r="AE264" s="25"/>
      <c r="AF264" s="25"/>
      <c r="AG264" s="25"/>
      <c r="AH264" s="25"/>
      <c r="AI264" s="25"/>
      <c r="AJ264" s="116"/>
      <c r="AK264" s="24"/>
    </row>
    <row r="265" spans="1:37" hidden="1">
      <c r="B265" s="25" t="s">
        <v>693</v>
      </c>
      <c r="C265" s="31"/>
      <c r="D265" s="292" t="s">
        <v>694</v>
      </c>
      <c r="E265" s="53" t="s">
        <v>53</v>
      </c>
      <c r="F265" s="24" t="s">
        <v>58</v>
      </c>
      <c r="G265" s="51">
        <v>360000</v>
      </c>
      <c r="H265" s="51">
        <v>396000</v>
      </c>
      <c r="I265" s="25"/>
      <c r="J265" s="25"/>
      <c r="K265" s="25"/>
      <c r="L265" s="25"/>
      <c r="M265" s="33"/>
      <c r="N265" s="25"/>
      <c r="O265" s="25"/>
      <c r="P265" s="33"/>
      <c r="Q265" s="25"/>
      <c r="R265" s="33"/>
      <c r="S265" s="25"/>
      <c r="T265" s="25"/>
      <c r="U265" s="25"/>
      <c r="V265" s="25"/>
      <c r="W265" s="25"/>
      <c r="X265" s="33"/>
      <c r="Y265" s="33"/>
      <c r="Z265" s="33"/>
      <c r="AA265" s="25"/>
      <c r="AB265" s="25"/>
      <c r="AC265" s="25"/>
      <c r="AD265" s="25"/>
      <c r="AE265" s="25"/>
      <c r="AF265" s="25"/>
      <c r="AG265" s="25"/>
      <c r="AH265" s="25"/>
      <c r="AI265" s="25"/>
      <c r="AJ265" s="116"/>
      <c r="AK265" s="24"/>
    </row>
    <row r="266" spans="1:37" hidden="1">
      <c r="B266" s="25" t="s">
        <v>695</v>
      </c>
      <c r="C266" s="31"/>
      <c r="D266" s="293" t="s">
        <v>696</v>
      </c>
      <c r="E266" s="53" t="s">
        <v>53</v>
      </c>
      <c r="F266" s="24" t="s">
        <v>58</v>
      </c>
      <c r="G266" s="51">
        <v>180000</v>
      </c>
      <c r="H266" s="51">
        <v>198000</v>
      </c>
      <c r="I266" s="25"/>
      <c r="J266" s="25"/>
      <c r="K266" s="25"/>
      <c r="L266" s="25"/>
      <c r="M266" s="33"/>
      <c r="N266" s="25"/>
      <c r="O266" s="25"/>
      <c r="P266" s="33"/>
      <c r="Q266" s="25"/>
      <c r="R266" s="33"/>
      <c r="S266" s="25"/>
      <c r="T266" s="25"/>
      <c r="U266" s="25"/>
      <c r="V266" s="25"/>
      <c r="W266" s="25"/>
      <c r="X266" s="33"/>
      <c r="Y266" s="33"/>
      <c r="Z266" s="33"/>
      <c r="AA266" s="25"/>
      <c r="AB266" s="25"/>
      <c r="AC266" s="25"/>
      <c r="AD266" s="25"/>
      <c r="AE266" s="25"/>
      <c r="AF266" s="25"/>
      <c r="AG266" s="25"/>
      <c r="AH266" s="25"/>
      <c r="AI266" s="25"/>
      <c r="AJ266" s="116"/>
      <c r="AK266" s="24"/>
    </row>
    <row r="267" spans="1:37" hidden="1">
      <c r="B267" s="25" t="s">
        <v>697</v>
      </c>
      <c r="C267" s="25"/>
      <c r="D267" s="24" t="s">
        <v>670</v>
      </c>
      <c r="E267" s="28" t="s">
        <v>53</v>
      </c>
      <c r="F267" s="24" t="s">
        <v>58</v>
      </c>
      <c r="G267" s="51">
        <v>760000</v>
      </c>
      <c r="H267" s="51">
        <v>836000</v>
      </c>
      <c r="I267" s="25"/>
      <c r="J267" s="25"/>
      <c r="K267" s="25"/>
      <c r="L267" s="25"/>
      <c r="M267" s="33"/>
      <c r="N267" s="25"/>
      <c r="O267" s="25"/>
      <c r="P267" s="33"/>
      <c r="Q267" s="25"/>
      <c r="R267" s="33"/>
      <c r="S267" s="25"/>
      <c r="T267" s="25"/>
      <c r="U267" s="25"/>
      <c r="V267" s="25"/>
      <c r="W267" s="25"/>
      <c r="X267" s="33"/>
      <c r="Y267" s="33"/>
      <c r="Z267" s="33"/>
      <c r="AA267" s="25"/>
      <c r="AB267" s="25"/>
      <c r="AC267" s="25"/>
      <c r="AD267" s="25"/>
      <c r="AE267" s="25"/>
      <c r="AF267" s="25"/>
      <c r="AG267" s="25"/>
      <c r="AH267" s="25"/>
      <c r="AI267" s="25"/>
      <c r="AJ267" s="116"/>
      <c r="AK267" s="24"/>
    </row>
    <row r="268" spans="1:37" hidden="1">
      <c r="B268" s="25" t="s">
        <v>698</v>
      </c>
      <c r="C268" s="25"/>
      <c r="D268" s="24" t="s">
        <v>668</v>
      </c>
      <c r="E268" s="28" t="s">
        <v>53</v>
      </c>
      <c r="F268" s="24" t="s">
        <v>58</v>
      </c>
      <c r="G268" s="51">
        <v>1400000</v>
      </c>
      <c r="H268" s="51">
        <v>1540000</v>
      </c>
      <c r="I268" s="25"/>
      <c r="J268" s="25"/>
      <c r="K268" s="25"/>
      <c r="L268" s="25"/>
      <c r="M268" s="33"/>
      <c r="N268" s="25"/>
      <c r="O268" s="25"/>
      <c r="P268" s="33"/>
      <c r="Q268" s="25"/>
      <c r="R268" s="33"/>
      <c r="S268" s="25"/>
      <c r="T268" s="25"/>
      <c r="U268" s="25"/>
      <c r="V268" s="25"/>
      <c r="W268" s="25"/>
      <c r="X268" s="33"/>
      <c r="Y268" s="33"/>
      <c r="Z268" s="33"/>
      <c r="AA268" s="25"/>
      <c r="AB268" s="25"/>
      <c r="AC268" s="25"/>
      <c r="AD268" s="25"/>
      <c r="AE268" s="25"/>
      <c r="AF268" s="25"/>
      <c r="AG268" s="25"/>
      <c r="AH268" s="25"/>
      <c r="AI268" s="25"/>
      <c r="AJ268" s="116"/>
      <c r="AK268" s="24"/>
    </row>
    <row r="269" spans="1:37">
      <c r="B269" s="25" t="s">
        <v>699</v>
      </c>
      <c r="C269" s="25">
        <v>3041155347</v>
      </c>
      <c r="D269" s="24" t="s">
        <v>700</v>
      </c>
      <c r="E269" s="28" t="s">
        <v>53</v>
      </c>
      <c r="F269" s="24" t="s">
        <v>414</v>
      </c>
      <c r="G269" s="51">
        <v>152000000</v>
      </c>
      <c r="H269" s="51">
        <v>152000000</v>
      </c>
      <c r="I269" s="25"/>
      <c r="J269" s="25"/>
      <c r="K269" s="25"/>
      <c r="L269" s="129" t="s">
        <v>34</v>
      </c>
      <c r="M269" s="132">
        <f ca="1">TODAY()</f>
        <v>46203</v>
      </c>
      <c r="N269" s="129" t="s">
        <v>33</v>
      </c>
      <c r="O269" s="25"/>
      <c r="P269" s="33"/>
      <c r="Q269" s="25"/>
      <c r="R269" s="33"/>
      <c r="S269" s="25"/>
      <c r="T269" s="25"/>
      <c r="U269" s="25"/>
      <c r="V269" s="25"/>
      <c r="W269" s="25"/>
      <c r="X269" s="33"/>
      <c r="Y269" s="33"/>
      <c r="Z269" s="33"/>
      <c r="AA269" s="25"/>
      <c r="AB269" s="25" t="s">
        <v>701</v>
      </c>
      <c r="AC269" s="25" t="s">
        <v>33</v>
      </c>
      <c r="AD269" s="187">
        <f ca="1">TODAY()</f>
        <v>46203</v>
      </c>
      <c r="AE269" s="25"/>
      <c r="AF269" s="25"/>
      <c r="AG269" s="25"/>
      <c r="AH269" s="25"/>
      <c r="AI269" s="25"/>
      <c r="AJ269" s="116"/>
      <c r="AK269" s="24"/>
    </row>
    <row r="270" spans="1:37" ht="30.75" hidden="1">
      <c r="A270" s="54"/>
      <c r="B270" s="25" t="s">
        <v>702</v>
      </c>
      <c r="C270" s="25"/>
      <c r="D270" s="24" t="s">
        <v>647</v>
      </c>
      <c r="E270" s="25" t="s">
        <v>31</v>
      </c>
      <c r="F270" s="24" t="s">
        <v>61</v>
      </c>
      <c r="G270" s="29">
        <v>3080</v>
      </c>
      <c r="H270" s="29">
        <v>3380</v>
      </c>
      <c r="I270" s="83"/>
      <c r="J270" s="83"/>
      <c r="K270" s="83"/>
      <c r="L270" s="35"/>
      <c r="M270" s="61"/>
      <c r="N270" s="35"/>
      <c r="O270" s="35"/>
      <c r="P270" s="61"/>
      <c r="Q270" s="35"/>
      <c r="R270" s="61"/>
      <c r="S270" s="35"/>
      <c r="T270" s="35"/>
      <c r="U270" s="35"/>
      <c r="V270" s="35"/>
      <c r="W270" s="25"/>
      <c r="X270" s="132"/>
      <c r="Y270" s="132"/>
      <c r="Z270" s="132"/>
      <c r="AA270" s="262"/>
      <c r="AB270" s="29">
        <v>3080</v>
      </c>
      <c r="AC270" s="28" t="s">
        <v>34</v>
      </c>
      <c r="AD270" s="33">
        <f ca="1">TODAY()</f>
        <v>46203</v>
      </c>
      <c r="AE270" s="25" t="s">
        <v>33</v>
      </c>
      <c r="AF270" s="25"/>
      <c r="AG270" s="25"/>
      <c r="AH270" s="25"/>
      <c r="AI270" s="25"/>
      <c r="AJ270" s="116"/>
      <c r="AK270" s="25"/>
    </row>
    <row r="271" spans="1:37" ht="30.75" hidden="1">
      <c r="A271" s="54"/>
      <c r="B271" s="25" t="s">
        <v>703</v>
      </c>
      <c r="C271" s="28"/>
      <c r="D271" s="27" t="s">
        <v>649</v>
      </c>
      <c r="E271" s="28" t="s">
        <v>31</v>
      </c>
      <c r="F271" s="27" t="s">
        <v>64</v>
      </c>
      <c r="G271" s="66">
        <v>70</v>
      </c>
      <c r="H271" s="67">
        <v>77</v>
      </c>
      <c r="I271" s="82"/>
      <c r="J271" s="82"/>
      <c r="K271" s="82"/>
      <c r="L271" s="80"/>
      <c r="M271" s="79"/>
      <c r="N271" s="80"/>
      <c r="O271" s="80"/>
      <c r="P271" s="79"/>
      <c r="Q271" s="80"/>
      <c r="R271" s="79"/>
      <c r="S271" s="80"/>
      <c r="T271" s="80"/>
      <c r="U271" s="80"/>
      <c r="V271" s="80"/>
      <c r="W271" s="141"/>
      <c r="X271" s="141"/>
      <c r="Y271" s="141"/>
      <c r="Z271" s="141"/>
      <c r="AA271" s="273"/>
      <c r="AB271" s="67">
        <v>77</v>
      </c>
      <c r="AC271" s="28" t="s">
        <v>34</v>
      </c>
      <c r="AD271" s="33">
        <f ca="1">TODAY()</f>
        <v>46203</v>
      </c>
      <c r="AE271" s="25" t="s">
        <v>33</v>
      </c>
      <c r="AF271" s="28"/>
      <c r="AG271" s="28"/>
      <c r="AH271" s="28"/>
      <c r="AI271" s="28"/>
      <c r="AJ271" s="128"/>
      <c r="AK271" s="28"/>
    </row>
    <row r="272" spans="1:37" ht="30.75" hidden="1">
      <c r="A272" s="31"/>
      <c r="B272" s="25" t="s">
        <v>704</v>
      </c>
      <c r="C272" s="25"/>
      <c r="D272" s="24" t="s">
        <v>645</v>
      </c>
      <c r="E272" s="25" t="s">
        <v>31</v>
      </c>
      <c r="F272" s="24" t="s">
        <v>67</v>
      </c>
      <c r="G272" s="29">
        <v>10</v>
      </c>
      <c r="H272" s="29">
        <v>10</v>
      </c>
      <c r="I272" s="83"/>
      <c r="J272" s="83"/>
      <c r="K272" s="83"/>
      <c r="L272" s="35"/>
      <c r="M272" s="61"/>
      <c r="N272" s="35"/>
      <c r="O272" s="35"/>
      <c r="P272" s="61"/>
      <c r="Q272" s="35"/>
      <c r="R272" s="61"/>
      <c r="S272" s="35"/>
      <c r="T272" s="35"/>
      <c r="U272" s="35"/>
      <c r="V272" s="35"/>
      <c r="W272" s="132"/>
      <c r="X272" s="132"/>
      <c r="Y272" s="132"/>
      <c r="Z272" s="132"/>
      <c r="AA272" s="262"/>
      <c r="AB272" s="29">
        <v>10</v>
      </c>
      <c r="AC272" s="28" t="s">
        <v>34</v>
      </c>
      <c r="AD272" s="33">
        <f ca="1">TODAY()</f>
        <v>46203</v>
      </c>
      <c r="AE272" s="25" t="s">
        <v>33</v>
      </c>
      <c r="AF272" s="25"/>
      <c r="AG272" s="25"/>
      <c r="AH272" s="25"/>
      <c r="AI272" s="25"/>
      <c r="AJ272" s="116"/>
      <c r="AK272" s="25"/>
    </row>
    <row r="273" spans="1:37" ht="30.75" hidden="1">
      <c r="B273" s="25" t="s">
        <v>705</v>
      </c>
      <c r="C273" s="25"/>
      <c r="D273" s="24" t="s">
        <v>706</v>
      </c>
      <c r="E273" s="25" t="s">
        <v>53</v>
      </c>
      <c r="F273" s="27" t="s">
        <v>107</v>
      </c>
      <c r="G273" s="29"/>
      <c r="H273" s="29"/>
      <c r="I273" s="25"/>
      <c r="J273" s="25"/>
      <c r="K273" s="25"/>
      <c r="L273" s="25"/>
      <c r="M273" s="33"/>
      <c r="N273" s="25"/>
      <c r="O273" s="25"/>
      <c r="P273" s="33"/>
      <c r="Q273" s="25"/>
      <c r="R273" s="33"/>
      <c r="S273" s="25"/>
      <c r="T273" s="25"/>
      <c r="U273" s="25"/>
      <c r="V273" s="25"/>
      <c r="W273" s="25"/>
      <c r="X273" s="33"/>
      <c r="Y273" s="33"/>
      <c r="Z273" s="33"/>
      <c r="AA273" s="25"/>
      <c r="AB273" s="58">
        <v>649000</v>
      </c>
      <c r="AC273" s="28" t="s">
        <v>34</v>
      </c>
      <c r="AD273" s="55">
        <f ca="1">TODAY()</f>
        <v>46203</v>
      </c>
      <c r="AE273" s="25" t="s">
        <v>33</v>
      </c>
      <c r="AF273" s="25"/>
      <c r="AG273" s="25"/>
      <c r="AH273" s="25"/>
      <c r="AI273" s="25"/>
      <c r="AJ273" s="116"/>
      <c r="AK273" s="24"/>
    </row>
    <row r="274" spans="1:37" ht="30.75" hidden="1">
      <c r="A274" s="54"/>
      <c r="B274" s="25" t="s">
        <v>707</v>
      </c>
      <c r="C274" s="28"/>
      <c r="D274" s="27" t="s">
        <v>708</v>
      </c>
      <c r="E274" s="28" t="s">
        <v>53</v>
      </c>
      <c r="F274" s="24" t="s">
        <v>230</v>
      </c>
      <c r="G274" s="66"/>
      <c r="H274" s="67"/>
      <c r="I274" s="82"/>
      <c r="J274" s="82"/>
      <c r="K274" s="82"/>
      <c r="L274" s="80"/>
      <c r="M274" s="79"/>
      <c r="N274" s="80"/>
      <c r="O274" s="80"/>
      <c r="P274" s="79"/>
      <c r="Q274" s="80"/>
      <c r="R274" s="79"/>
      <c r="S274" s="80"/>
      <c r="T274" s="80"/>
      <c r="U274" s="80"/>
      <c r="V274" s="80"/>
      <c r="W274" s="141"/>
      <c r="X274" s="141"/>
      <c r="Y274" s="141"/>
      <c r="Z274" s="141"/>
      <c r="AA274" s="273"/>
      <c r="AB274" s="58">
        <v>4620000</v>
      </c>
      <c r="AC274" s="28" t="s">
        <v>34</v>
      </c>
      <c r="AD274" s="55">
        <f ca="1">TODAY()</f>
        <v>46203</v>
      </c>
      <c r="AE274" s="25" t="s">
        <v>33</v>
      </c>
      <c r="AF274" s="28"/>
      <c r="AG274" s="28"/>
      <c r="AH274" s="28"/>
      <c r="AI274" s="28"/>
      <c r="AJ274" s="128"/>
      <c r="AK274" s="28"/>
    </row>
    <row r="275" spans="1:37" ht="30.75" hidden="1">
      <c r="A275" s="54"/>
      <c r="B275" s="25" t="s">
        <v>709</v>
      </c>
      <c r="C275" s="28"/>
      <c r="D275" s="27" t="s">
        <v>710</v>
      </c>
      <c r="E275" s="28" t="s">
        <v>53</v>
      </c>
      <c r="F275" s="24" t="s">
        <v>191</v>
      </c>
      <c r="G275" s="66"/>
      <c r="H275" s="67"/>
      <c r="I275" s="82"/>
      <c r="J275" s="82"/>
      <c r="K275" s="82"/>
      <c r="L275" s="80"/>
      <c r="M275" s="79"/>
      <c r="N275" s="80"/>
      <c r="O275" s="80"/>
      <c r="P275" s="79"/>
      <c r="Q275" s="80"/>
      <c r="R275" s="79"/>
      <c r="S275" s="80"/>
      <c r="T275" s="80"/>
      <c r="U275" s="80"/>
      <c r="V275" s="80"/>
      <c r="W275" s="141"/>
      <c r="X275" s="141"/>
      <c r="Y275" s="141"/>
      <c r="Z275" s="141"/>
      <c r="AA275" s="273"/>
      <c r="AB275" s="58">
        <v>11539200</v>
      </c>
      <c r="AC275" s="28" t="s">
        <v>34</v>
      </c>
      <c r="AD275" s="55">
        <f ca="1">TODAY()</f>
        <v>46203</v>
      </c>
      <c r="AE275" s="25" t="s">
        <v>33</v>
      </c>
      <c r="AF275" s="28"/>
      <c r="AG275" s="28"/>
      <c r="AH275" s="28"/>
      <c r="AI275" s="28"/>
      <c r="AJ275" s="128"/>
      <c r="AK275" s="28"/>
    </row>
    <row r="276" spans="1:37" ht="30.75" hidden="1">
      <c r="B276" s="25" t="s">
        <v>711</v>
      </c>
      <c r="C276" s="25"/>
      <c r="D276" s="24" t="s">
        <v>712</v>
      </c>
      <c r="E276" s="25" t="s">
        <v>31</v>
      </c>
      <c r="F276" s="24" t="s">
        <v>64</v>
      </c>
      <c r="G276" s="29"/>
      <c r="H276" s="29"/>
      <c r="I276" s="25"/>
      <c r="J276" s="25"/>
      <c r="K276" s="25"/>
      <c r="L276" s="25"/>
      <c r="M276" s="33"/>
      <c r="N276" s="25"/>
      <c r="O276" s="25"/>
      <c r="P276" s="33"/>
      <c r="Q276" s="25"/>
      <c r="R276" s="33"/>
      <c r="S276" s="25"/>
      <c r="T276" s="25"/>
      <c r="U276" s="25"/>
      <c r="V276" s="25"/>
      <c r="W276" s="25"/>
      <c r="X276" s="33"/>
      <c r="Y276" s="33"/>
      <c r="Z276" s="33"/>
      <c r="AA276" s="25"/>
      <c r="AB276" s="29">
        <v>44</v>
      </c>
      <c r="AC276" s="28" t="s">
        <v>34</v>
      </c>
      <c r="AD276" s="33">
        <v>45861</v>
      </c>
      <c r="AE276" s="25" t="s">
        <v>33</v>
      </c>
      <c r="AF276" s="25"/>
      <c r="AG276" s="25"/>
      <c r="AH276" s="25"/>
      <c r="AI276" s="25"/>
      <c r="AJ276" s="116"/>
      <c r="AK276" s="24"/>
    </row>
    <row r="277" spans="1:37" ht="15" hidden="1" customHeight="1">
      <c r="B277" s="25" t="s">
        <v>713</v>
      </c>
      <c r="C277" s="25"/>
      <c r="D277" s="24" t="s">
        <v>714</v>
      </c>
      <c r="E277" s="25" t="s">
        <v>31</v>
      </c>
      <c r="F277" s="24" t="s">
        <v>32</v>
      </c>
      <c r="G277" s="29"/>
      <c r="H277" s="29"/>
      <c r="I277" s="25"/>
      <c r="J277" s="25"/>
      <c r="K277" s="25"/>
      <c r="L277" s="25"/>
      <c r="M277" s="33"/>
      <c r="N277" s="25"/>
      <c r="O277" s="25"/>
      <c r="P277" s="33"/>
      <c r="Q277" s="25"/>
      <c r="R277" s="33"/>
      <c r="S277" s="25"/>
      <c r="T277" s="25"/>
      <c r="U277" s="25"/>
      <c r="V277" s="25"/>
      <c r="W277" s="25"/>
      <c r="X277" s="33"/>
      <c r="Y277" s="33"/>
      <c r="Z277" s="33"/>
      <c r="AA277" s="25"/>
      <c r="AB277" s="29">
        <v>55</v>
      </c>
      <c r="AC277" s="28" t="s">
        <v>34</v>
      </c>
      <c r="AD277" s="33">
        <v>45861</v>
      </c>
      <c r="AE277" s="25" t="s">
        <v>33</v>
      </c>
      <c r="AF277" s="25"/>
      <c r="AG277" s="25"/>
      <c r="AH277" s="25"/>
      <c r="AI277" s="25"/>
      <c r="AJ277" s="116"/>
      <c r="AK277" s="24"/>
    </row>
    <row r="278" spans="1:37" ht="30.75" hidden="1">
      <c r="B278" s="25" t="s">
        <v>715</v>
      </c>
      <c r="C278" s="25"/>
      <c r="D278" s="24" t="s">
        <v>716</v>
      </c>
      <c r="E278" s="25" t="s">
        <v>31</v>
      </c>
      <c r="F278" s="24" t="s">
        <v>64</v>
      </c>
      <c r="G278" s="29"/>
      <c r="H278" s="29"/>
      <c r="I278" s="25"/>
      <c r="J278" s="25"/>
      <c r="K278" s="25"/>
      <c r="L278" s="25"/>
      <c r="M278" s="33"/>
      <c r="N278" s="25"/>
      <c r="O278" s="25"/>
      <c r="P278" s="33"/>
      <c r="Q278" s="25"/>
      <c r="R278" s="33"/>
      <c r="S278" s="25"/>
      <c r="T278" s="25"/>
      <c r="U278" s="25"/>
      <c r="V278" s="25"/>
      <c r="W278" s="25"/>
      <c r="X278" s="33"/>
      <c r="Y278" s="33"/>
      <c r="Z278" s="33"/>
      <c r="AA278" s="25"/>
      <c r="AB278" s="29">
        <v>8.8000000000000007</v>
      </c>
      <c r="AC278" s="28" t="s">
        <v>34</v>
      </c>
      <c r="AD278" s="33">
        <v>45865</v>
      </c>
      <c r="AE278" s="25" t="s">
        <v>33</v>
      </c>
      <c r="AF278" s="25"/>
      <c r="AG278" s="25"/>
      <c r="AH278" s="25"/>
      <c r="AI278" s="25"/>
      <c r="AJ278" s="116"/>
      <c r="AK278" s="24"/>
    </row>
    <row r="279" spans="1:37" ht="30.75" hidden="1">
      <c r="A279" s="54"/>
      <c r="B279" s="25" t="s">
        <v>717</v>
      </c>
      <c r="C279" s="25"/>
      <c r="D279" s="24" t="s">
        <v>647</v>
      </c>
      <c r="E279" s="25" t="s">
        <v>31</v>
      </c>
      <c r="F279" s="24" t="s">
        <v>61</v>
      </c>
      <c r="G279" s="29">
        <v>3080</v>
      </c>
      <c r="H279" s="29">
        <v>3380</v>
      </c>
      <c r="I279" s="83"/>
      <c r="J279" s="83"/>
      <c r="K279" s="83"/>
      <c r="L279" s="35"/>
      <c r="M279" s="61"/>
      <c r="N279" s="35"/>
      <c r="O279" s="35"/>
      <c r="P279" s="61"/>
      <c r="Q279" s="35"/>
      <c r="R279" s="61"/>
      <c r="S279" s="35"/>
      <c r="T279" s="35"/>
      <c r="U279" s="35"/>
      <c r="V279" s="35"/>
      <c r="W279" s="25"/>
      <c r="X279" s="132"/>
      <c r="Y279" s="132"/>
      <c r="Z279" s="132"/>
      <c r="AA279" s="262"/>
      <c r="AB279" s="29">
        <v>3080</v>
      </c>
      <c r="AC279" s="28" t="s">
        <v>34</v>
      </c>
      <c r="AD279" s="33">
        <v>45865</v>
      </c>
      <c r="AE279" s="25" t="s">
        <v>33</v>
      </c>
      <c r="AF279" s="25"/>
      <c r="AG279" s="25"/>
      <c r="AH279" s="25"/>
      <c r="AI279" s="25"/>
      <c r="AJ279" s="116"/>
      <c r="AK279" s="25"/>
    </row>
    <row r="280" spans="1:37" ht="30.75" hidden="1">
      <c r="A280" s="54"/>
      <c r="B280" s="25" t="s">
        <v>718</v>
      </c>
      <c r="C280" s="28"/>
      <c r="D280" s="27" t="s">
        <v>649</v>
      </c>
      <c r="E280" s="28" t="s">
        <v>31</v>
      </c>
      <c r="F280" s="27" t="s">
        <v>64</v>
      </c>
      <c r="G280" s="66">
        <v>70</v>
      </c>
      <c r="H280" s="67">
        <v>77</v>
      </c>
      <c r="I280" s="82"/>
      <c r="J280" s="82"/>
      <c r="K280" s="82"/>
      <c r="L280" s="80"/>
      <c r="M280" s="79"/>
      <c r="N280" s="80"/>
      <c r="O280" s="80"/>
      <c r="P280" s="79"/>
      <c r="Q280" s="80"/>
      <c r="R280" s="79"/>
      <c r="S280" s="80"/>
      <c r="T280" s="80"/>
      <c r="U280" s="80"/>
      <c r="V280" s="80"/>
      <c r="W280" s="141"/>
      <c r="X280" s="141"/>
      <c r="Y280" s="141"/>
      <c r="Z280" s="141"/>
      <c r="AA280" s="273"/>
      <c r="AB280" s="67">
        <v>77</v>
      </c>
      <c r="AC280" s="28" t="s">
        <v>34</v>
      </c>
      <c r="AD280" s="33">
        <v>45865</v>
      </c>
      <c r="AE280" s="25" t="s">
        <v>33</v>
      </c>
      <c r="AF280" s="28"/>
      <c r="AG280" s="28"/>
      <c r="AH280" s="28"/>
      <c r="AI280" s="28"/>
      <c r="AJ280" s="128"/>
      <c r="AK280" s="28"/>
    </row>
    <row r="281" spans="1:37" ht="30.75" hidden="1">
      <c r="A281" s="31"/>
      <c r="B281" s="25" t="s">
        <v>719</v>
      </c>
      <c r="C281" s="25"/>
      <c r="D281" s="24" t="s">
        <v>645</v>
      </c>
      <c r="E281" s="25" t="s">
        <v>31</v>
      </c>
      <c r="F281" s="24" t="s">
        <v>67</v>
      </c>
      <c r="G281" s="29">
        <v>10</v>
      </c>
      <c r="H281" s="29">
        <v>10</v>
      </c>
      <c r="I281" s="83"/>
      <c r="J281" s="83"/>
      <c r="K281" s="83"/>
      <c r="L281" s="35"/>
      <c r="M281" s="61"/>
      <c r="N281" s="35"/>
      <c r="O281" s="35"/>
      <c r="P281" s="61"/>
      <c r="Q281" s="35"/>
      <c r="R281" s="61"/>
      <c r="S281" s="35"/>
      <c r="T281" s="35"/>
      <c r="U281" s="35"/>
      <c r="V281" s="35"/>
      <c r="W281" s="132"/>
      <c r="X281" s="132"/>
      <c r="Y281" s="132"/>
      <c r="Z281" s="132"/>
      <c r="AA281" s="262"/>
      <c r="AB281" s="29">
        <v>10</v>
      </c>
      <c r="AC281" s="28" t="s">
        <v>34</v>
      </c>
      <c r="AD281" s="33">
        <v>45865</v>
      </c>
      <c r="AE281" s="25" t="s">
        <v>33</v>
      </c>
      <c r="AF281" s="25"/>
      <c r="AG281" s="25"/>
      <c r="AH281" s="25"/>
      <c r="AI281" s="25"/>
      <c r="AJ281" s="116"/>
      <c r="AK281" s="25"/>
    </row>
    <row r="282" spans="1:37" ht="45.75" hidden="1">
      <c r="A282" s="54"/>
      <c r="B282" s="28" t="s">
        <v>720</v>
      </c>
      <c r="C282" s="28">
        <v>3041157498</v>
      </c>
      <c r="D282" s="27" t="s">
        <v>721</v>
      </c>
      <c r="E282" s="28" t="s">
        <v>53</v>
      </c>
      <c r="F282" s="27" t="s">
        <v>211</v>
      </c>
      <c r="G282" s="67"/>
      <c r="H282" s="67"/>
      <c r="I282" s="82"/>
      <c r="J282" s="82"/>
      <c r="K282" s="82"/>
      <c r="L282" s="80"/>
      <c r="M282" s="79"/>
      <c r="N282" s="80"/>
      <c r="O282" s="80"/>
      <c r="P282" s="79"/>
      <c r="Q282" s="80"/>
      <c r="R282" s="79"/>
      <c r="S282" s="80"/>
      <c r="T282" s="80"/>
      <c r="U282" s="80"/>
      <c r="V282" s="80"/>
      <c r="W282" s="141"/>
      <c r="X282" s="141"/>
      <c r="Y282" s="141"/>
      <c r="Z282" s="141"/>
      <c r="AA282" s="273"/>
      <c r="AB282" s="58">
        <v>107220000</v>
      </c>
      <c r="AC282" s="28" t="s">
        <v>34</v>
      </c>
      <c r="AD282" s="33">
        <v>45865</v>
      </c>
      <c r="AE282" s="28" t="s">
        <v>33</v>
      </c>
      <c r="AF282" s="28"/>
      <c r="AG282" s="28"/>
      <c r="AH282" s="28"/>
      <c r="AI282" s="28"/>
      <c r="AJ282" s="128"/>
      <c r="AK282" s="28"/>
    </row>
    <row r="283" spans="1:37" ht="113.25" hidden="1" customHeight="1">
      <c r="A283" s="25"/>
      <c r="B283" s="25" t="s">
        <v>722</v>
      </c>
      <c r="C283" s="25"/>
      <c r="D283" s="24" t="s">
        <v>723</v>
      </c>
      <c r="E283" s="25" t="s">
        <v>53</v>
      </c>
      <c r="F283" s="24" t="s">
        <v>195</v>
      </c>
      <c r="G283" s="51">
        <v>1766000</v>
      </c>
      <c r="H283" s="51">
        <v>1915600</v>
      </c>
      <c r="I283" s="83"/>
      <c r="J283" s="83"/>
      <c r="K283" s="83"/>
      <c r="L283" s="129" t="s">
        <v>34</v>
      </c>
      <c r="M283" s="61">
        <v>45876</v>
      </c>
      <c r="N283" s="129" t="s">
        <v>33</v>
      </c>
      <c r="O283" s="35"/>
      <c r="P283" s="61"/>
      <c r="Q283" s="35"/>
      <c r="R283" s="61"/>
      <c r="S283" s="35"/>
      <c r="T283" s="35"/>
      <c r="U283" s="35"/>
      <c r="V283" s="35"/>
      <c r="W283" s="132"/>
      <c r="X283" s="132"/>
      <c r="Y283" s="132"/>
      <c r="Z283" s="132"/>
      <c r="AA283" s="262"/>
      <c r="AB283" s="51">
        <v>1766000</v>
      </c>
      <c r="AC283" s="25"/>
      <c r="AD283" s="55">
        <v>45873</v>
      </c>
      <c r="AE283" s="25"/>
      <c r="AF283" s="25"/>
      <c r="AG283" s="25"/>
      <c r="AH283" s="25"/>
      <c r="AI283" s="25"/>
      <c r="AJ283" s="116"/>
      <c r="AK283" s="25"/>
    </row>
    <row r="284" spans="1:37" ht="192.75" hidden="1" customHeight="1">
      <c r="A284" s="28"/>
      <c r="B284" s="25" t="s">
        <v>724</v>
      </c>
      <c r="C284" s="28"/>
      <c r="D284" s="27" t="s">
        <v>725</v>
      </c>
      <c r="E284" s="28" t="s">
        <v>53</v>
      </c>
      <c r="F284" s="27" t="s">
        <v>58</v>
      </c>
      <c r="G284" s="58">
        <v>4200000</v>
      </c>
      <c r="H284" s="58">
        <v>4536000</v>
      </c>
      <c r="I284" s="82"/>
      <c r="J284" s="82"/>
      <c r="K284" s="82"/>
      <c r="L284" s="129" t="s">
        <v>34</v>
      </c>
      <c r="M284" s="61">
        <v>45876</v>
      </c>
      <c r="N284" s="129" t="s">
        <v>33</v>
      </c>
      <c r="O284" s="80"/>
      <c r="P284" s="79"/>
      <c r="Q284" s="80"/>
      <c r="R284" s="79"/>
      <c r="S284" s="80"/>
      <c r="T284" s="80"/>
      <c r="U284" s="80"/>
      <c r="V284" s="80"/>
      <c r="W284" s="141"/>
      <c r="X284" s="141"/>
      <c r="Y284" s="141"/>
      <c r="Z284" s="141"/>
      <c r="AA284" s="273"/>
      <c r="AB284" s="58"/>
      <c r="AC284" s="28"/>
      <c r="AD284" s="55">
        <v>45874</v>
      </c>
      <c r="AE284" s="28"/>
      <c r="AF284" s="28"/>
      <c r="AG284" s="28"/>
      <c r="AH284" s="28"/>
      <c r="AI284" s="28"/>
      <c r="AJ284" s="128"/>
      <c r="AK284" s="28"/>
    </row>
    <row r="285" spans="1:37" ht="192.75" customHeight="1">
      <c r="A285" s="25"/>
      <c r="B285" s="25" t="s">
        <v>726</v>
      </c>
      <c r="C285" s="25"/>
      <c r="D285" s="24" t="s">
        <v>727</v>
      </c>
      <c r="E285" s="25" t="s">
        <v>53</v>
      </c>
      <c r="F285" s="27" t="s">
        <v>414</v>
      </c>
      <c r="G285" s="51">
        <v>6540000</v>
      </c>
      <c r="H285" s="51">
        <v>6540000</v>
      </c>
      <c r="I285" s="83"/>
      <c r="J285" s="83"/>
      <c r="K285" s="83"/>
      <c r="L285" s="129" t="s">
        <v>34</v>
      </c>
      <c r="M285" s="61">
        <v>45876</v>
      </c>
      <c r="N285" s="129" t="s">
        <v>33</v>
      </c>
      <c r="O285" s="35"/>
      <c r="P285" s="61"/>
      <c r="Q285" s="35"/>
      <c r="R285" s="61"/>
      <c r="S285" s="35"/>
      <c r="T285" s="35"/>
      <c r="U285" s="35"/>
      <c r="V285" s="35"/>
      <c r="W285" s="132"/>
      <c r="X285" s="132"/>
      <c r="Y285" s="132"/>
      <c r="Z285" s="132"/>
      <c r="AA285" s="262"/>
      <c r="AB285" s="51">
        <v>6540000</v>
      </c>
      <c r="AC285" s="28" t="s">
        <v>34</v>
      </c>
      <c r="AD285" s="33">
        <v>45876</v>
      </c>
      <c r="AE285" s="28" t="s">
        <v>33</v>
      </c>
      <c r="AF285" s="25"/>
      <c r="AG285" s="25"/>
      <c r="AH285" s="25"/>
      <c r="AI285" s="25"/>
      <c r="AJ285" s="116"/>
      <c r="AK285" s="25"/>
    </row>
    <row r="286" spans="1:37" ht="192.75" hidden="1" customHeight="1">
      <c r="A286" s="25"/>
      <c r="B286" s="25" t="s">
        <v>728</v>
      </c>
      <c r="C286" s="25"/>
      <c r="D286" s="24" t="s">
        <v>729</v>
      </c>
      <c r="E286" s="25" t="s">
        <v>31</v>
      </c>
      <c r="F286" s="24"/>
      <c r="G286" s="29">
        <v>1.87</v>
      </c>
      <c r="H286" s="29">
        <v>1.87</v>
      </c>
      <c r="I286" s="83"/>
      <c r="J286" s="83"/>
      <c r="K286" s="83"/>
      <c r="L286" s="129" t="s">
        <v>34</v>
      </c>
      <c r="M286" s="61">
        <v>45876</v>
      </c>
      <c r="N286" s="129" t="s">
        <v>33</v>
      </c>
      <c r="O286" s="35"/>
      <c r="P286" s="61"/>
      <c r="Q286" s="35"/>
      <c r="R286" s="61"/>
      <c r="S286" s="35"/>
      <c r="T286" s="35"/>
      <c r="U286" s="35"/>
      <c r="V286" s="35"/>
      <c r="W286" s="132"/>
      <c r="X286" s="132"/>
      <c r="Y286" s="132"/>
      <c r="Z286" s="132"/>
      <c r="AA286" s="262"/>
      <c r="AB286" s="51"/>
      <c r="AC286" s="25"/>
      <c r="AD286" s="33"/>
      <c r="AE286" s="25"/>
      <c r="AF286" s="25"/>
      <c r="AG286" s="25"/>
      <c r="AH286" s="25"/>
      <c r="AI286" s="25"/>
      <c r="AJ286" s="116"/>
      <c r="AK286" s="25"/>
    </row>
    <row r="287" spans="1:37" ht="192.75" hidden="1" customHeight="1">
      <c r="A287" s="25"/>
      <c r="B287" s="25" t="s">
        <v>730</v>
      </c>
      <c r="C287" s="25"/>
      <c r="D287" s="24" t="s">
        <v>731</v>
      </c>
      <c r="E287" s="25" t="s">
        <v>31</v>
      </c>
      <c r="F287" s="24" t="s">
        <v>64</v>
      </c>
      <c r="G287" s="29">
        <v>8</v>
      </c>
      <c r="H287" s="29">
        <v>8.8000000000000007</v>
      </c>
      <c r="I287" s="83"/>
      <c r="J287" s="83"/>
      <c r="K287" s="83"/>
      <c r="L287" s="129" t="s">
        <v>34</v>
      </c>
      <c r="M287" s="61">
        <v>45876</v>
      </c>
      <c r="N287" s="129" t="s">
        <v>33</v>
      </c>
      <c r="O287" s="35"/>
      <c r="P287" s="61"/>
      <c r="Q287" s="35"/>
      <c r="R287" s="61"/>
      <c r="S287" s="35"/>
      <c r="T287" s="35"/>
      <c r="U287" s="35"/>
      <c r="V287" s="35"/>
      <c r="W287" s="132"/>
      <c r="X287" s="132"/>
      <c r="Y287" s="132"/>
      <c r="Z287" s="132"/>
      <c r="AA287" s="262"/>
      <c r="AB287" s="51"/>
      <c r="AC287" s="25"/>
      <c r="AD287" s="33"/>
      <c r="AE287" s="25"/>
      <c r="AF287" s="25"/>
      <c r="AG287" s="25"/>
      <c r="AH287" s="25"/>
      <c r="AI287" s="25"/>
      <c r="AJ287" s="116"/>
      <c r="AK287" s="25"/>
    </row>
    <row r="288" spans="1:37" ht="192.75" hidden="1" customHeight="1">
      <c r="A288" s="25"/>
      <c r="B288" s="25" t="s">
        <v>732</v>
      </c>
      <c r="C288" s="25"/>
      <c r="D288" s="24" t="s">
        <v>733</v>
      </c>
      <c r="E288" s="25" t="s">
        <v>31</v>
      </c>
      <c r="F288" s="24"/>
      <c r="G288" s="29">
        <v>8</v>
      </c>
      <c r="H288" s="29">
        <v>8.8000000000000007</v>
      </c>
      <c r="I288" s="83"/>
      <c r="J288" s="83"/>
      <c r="K288" s="83"/>
      <c r="L288" s="129" t="s">
        <v>34</v>
      </c>
      <c r="M288" s="61">
        <v>45876</v>
      </c>
      <c r="N288" s="129" t="s">
        <v>33</v>
      </c>
      <c r="O288" s="35"/>
      <c r="P288" s="61"/>
      <c r="Q288" s="35"/>
      <c r="R288" s="61"/>
      <c r="S288" s="35"/>
      <c r="T288" s="35"/>
      <c r="U288" s="35"/>
      <c r="V288" s="35"/>
      <c r="W288" s="132"/>
      <c r="X288" s="132"/>
      <c r="Y288" s="132"/>
      <c r="Z288" s="132"/>
      <c r="AA288" s="262"/>
      <c r="AB288" s="51"/>
      <c r="AC288" s="25"/>
      <c r="AD288" s="33"/>
      <c r="AE288" s="25"/>
      <c r="AF288" s="25"/>
      <c r="AG288" s="25"/>
      <c r="AH288" s="25"/>
      <c r="AI288" s="25"/>
      <c r="AJ288" s="116"/>
      <c r="AK288" s="25"/>
    </row>
    <row r="289" spans="1:37" hidden="1">
      <c r="B289" s="25" t="s">
        <v>734</v>
      </c>
      <c r="C289" s="25"/>
      <c r="D289" s="24" t="s">
        <v>735</v>
      </c>
      <c r="E289" s="25" t="s">
        <v>53</v>
      </c>
      <c r="F289" s="27" t="s">
        <v>107</v>
      </c>
      <c r="G289" s="29"/>
      <c r="H289" s="29"/>
      <c r="I289" s="25"/>
      <c r="J289" s="25"/>
      <c r="K289" s="25"/>
      <c r="L289" s="25"/>
      <c r="M289" s="33"/>
      <c r="N289" s="25"/>
      <c r="O289" s="25"/>
      <c r="P289" s="33"/>
      <c r="Q289" s="25"/>
      <c r="R289" s="33"/>
      <c r="S289" s="25"/>
      <c r="T289" s="25"/>
      <c r="U289" s="25"/>
      <c r="V289" s="25"/>
      <c r="W289" s="25"/>
      <c r="X289" s="33"/>
      <c r="Y289" s="33"/>
      <c r="Z289" s="33"/>
      <c r="AA289" s="25"/>
      <c r="AB289" s="58">
        <v>649000</v>
      </c>
      <c r="AC289" s="28" t="s">
        <v>34</v>
      </c>
      <c r="AD289" s="55">
        <v>45881</v>
      </c>
      <c r="AE289" s="25" t="s">
        <v>33</v>
      </c>
      <c r="AF289" s="25"/>
      <c r="AG289" s="25"/>
      <c r="AH289" s="25"/>
      <c r="AI289" s="25"/>
      <c r="AJ289" s="116"/>
      <c r="AK289" s="24"/>
    </row>
    <row r="290" spans="1:37" ht="30.75" hidden="1">
      <c r="A290" s="54"/>
      <c r="B290" s="25" t="s">
        <v>736</v>
      </c>
      <c r="C290" s="28"/>
      <c r="D290" s="27" t="s">
        <v>737</v>
      </c>
      <c r="E290" s="28" t="s">
        <v>53</v>
      </c>
      <c r="F290" s="24" t="s">
        <v>230</v>
      </c>
      <c r="G290" s="66"/>
      <c r="H290" s="67"/>
      <c r="I290" s="82"/>
      <c r="J290" s="82"/>
      <c r="K290" s="82"/>
      <c r="L290" s="80"/>
      <c r="M290" s="79"/>
      <c r="N290" s="80"/>
      <c r="O290" s="80"/>
      <c r="P290" s="79"/>
      <c r="Q290" s="80"/>
      <c r="R290" s="79"/>
      <c r="S290" s="80"/>
      <c r="T290" s="80"/>
      <c r="U290" s="80"/>
      <c r="V290" s="80"/>
      <c r="W290" s="141"/>
      <c r="X290" s="141"/>
      <c r="Y290" s="141"/>
      <c r="Z290" s="141"/>
      <c r="AA290" s="273"/>
      <c r="AB290" s="58">
        <v>12323553</v>
      </c>
      <c r="AC290" s="28" t="s">
        <v>34</v>
      </c>
      <c r="AD290" s="55">
        <v>45881</v>
      </c>
      <c r="AE290" s="25" t="s">
        <v>33</v>
      </c>
      <c r="AF290" s="28"/>
      <c r="AG290" s="28"/>
      <c r="AH290" s="28"/>
      <c r="AI290" s="28"/>
      <c r="AJ290" s="128"/>
      <c r="AK290" s="28"/>
    </row>
    <row r="291" spans="1:37" ht="30.75" hidden="1">
      <c r="A291" s="54"/>
      <c r="B291" s="25" t="s">
        <v>738</v>
      </c>
      <c r="C291" s="28"/>
      <c r="D291" s="27" t="s">
        <v>739</v>
      </c>
      <c r="E291" s="28" t="s">
        <v>53</v>
      </c>
      <c r="F291" s="24" t="s">
        <v>191</v>
      </c>
      <c r="G291" s="66"/>
      <c r="H291" s="67"/>
      <c r="I291" s="82"/>
      <c r="J291" s="82"/>
      <c r="K291" s="82"/>
      <c r="L291" s="80"/>
      <c r="M291" s="79"/>
      <c r="N291" s="80"/>
      <c r="O291" s="80"/>
      <c r="P291" s="79"/>
      <c r="Q291" s="80"/>
      <c r="R291" s="79"/>
      <c r="S291" s="80"/>
      <c r="T291" s="80"/>
      <c r="U291" s="80"/>
      <c r="V291" s="80"/>
      <c r="W291" s="141"/>
      <c r="X291" s="141"/>
      <c r="Y291" s="141"/>
      <c r="Z291" s="141"/>
      <c r="AA291" s="273"/>
      <c r="AB291" s="58">
        <v>11146171</v>
      </c>
      <c r="AC291" s="28" t="s">
        <v>34</v>
      </c>
      <c r="AD291" s="55">
        <v>45881</v>
      </c>
      <c r="AE291" s="25" t="s">
        <v>33</v>
      </c>
      <c r="AF291" s="28"/>
      <c r="AG291" s="28"/>
      <c r="AH291" s="28"/>
      <c r="AI291" s="28"/>
      <c r="AJ291" s="128"/>
      <c r="AK291" s="28"/>
    </row>
    <row r="292" spans="1:37" ht="192.75" hidden="1" customHeight="1">
      <c r="A292" s="25"/>
      <c r="B292" s="25" t="s">
        <v>740</v>
      </c>
      <c r="C292" s="25" t="s">
        <v>741</v>
      </c>
      <c r="D292" s="24" t="s">
        <v>742</v>
      </c>
      <c r="E292" s="28" t="s">
        <v>53</v>
      </c>
      <c r="F292" s="24" t="s">
        <v>58</v>
      </c>
      <c r="G292" s="51"/>
      <c r="H292" s="51">
        <v>267377520</v>
      </c>
      <c r="I292" s="83"/>
      <c r="J292" s="83"/>
      <c r="K292" s="83"/>
      <c r="L292" s="35"/>
      <c r="M292" s="61"/>
      <c r="N292" s="35"/>
      <c r="O292" s="35"/>
      <c r="P292" s="61"/>
      <c r="Q292" s="35"/>
      <c r="R292" s="61"/>
      <c r="S292" s="35"/>
      <c r="T292" s="35"/>
      <c r="U292" s="35"/>
      <c r="V292" s="35"/>
      <c r="W292" s="132"/>
      <c r="X292" s="132"/>
      <c r="Y292" s="132"/>
      <c r="Z292" s="132"/>
      <c r="AA292" s="262"/>
      <c r="AB292" s="51"/>
      <c r="AC292" s="25"/>
      <c r="AD292" s="33"/>
      <c r="AE292" s="25"/>
      <c r="AF292" s="25"/>
      <c r="AG292" s="25"/>
      <c r="AH292" s="25"/>
      <c r="AI292" s="25"/>
      <c r="AJ292" s="116"/>
      <c r="AK292" s="25"/>
    </row>
    <row r="293" spans="1:37" ht="192.75" hidden="1" customHeight="1">
      <c r="A293" s="28"/>
      <c r="B293" s="28" t="s">
        <v>743</v>
      </c>
      <c r="C293" s="28"/>
      <c r="D293" s="27" t="s">
        <v>744</v>
      </c>
      <c r="E293" s="28" t="s">
        <v>31</v>
      </c>
      <c r="F293" s="27" t="s">
        <v>64</v>
      </c>
      <c r="G293" s="67">
        <v>30.8</v>
      </c>
      <c r="H293" s="67">
        <v>30.8</v>
      </c>
      <c r="I293" s="82"/>
      <c r="J293" s="82"/>
      <c r="K293" s="82"/>
      <c r="L293" s="138" t="s">
        <v>34</v>
      </c>
      <c r="M293" s="79">
        <v>45889</v>
      </c>
      <c r="N293" s="138" t="s">
        <v>33</v>
      </c>
      <c r="O293" s="80"/>
      <c r="P293" s="79"/>
      <c r="Q293" s="80"/>
      <c r="R293" s="79"/>
      <c r="S293" s="80"/>
      <c r="T293" s="80"/>
      <c r="U293" s="80"/>
      <c r="V293" s="80"/>
      <c r="W293" s="141"/>
      <c r="X293" s="141"/>
      <c r="Y293" s="141"/>
      <c r="Z293" s="141"/>
      <c r="AA293" s="273"/>
      <c r="AB293" s="58"/>
      <c r="AC293" s="28"/>
      <c r="AD293" s="55"/>
      <c r="AE293" s="28"/>
      <c r="AF293" s="28"/>
      <c r="AG293" s="28"/>
      <c r="AH293" s="28"/>
      <c r="AI293" s="28"/>
      <c r="AJ293" s="128"/>
      <c r="AK293" s="28"/>
    </row>
    <row r="294" spans="1:37" ht="192.75" hidden="1" customHeight="1">
      <c r="A294" s="25"/>
      <c r="B294" s="28" t="s">
        <v>745</v>
      </c>
      <c r="C294" s="28"/>
      <c r="D294" s="27" t="s">
        <v>746</v>
      </c>
      <c r="E294" s="28" t="s">
        <v>53</v>
      </c>
      <c r="F294" s="27" t="s">
        <v>305</v>
      </c>
      <c r="G294" s="58">
        <v>2190000</v>
      </c>
      <c r="H294" s="58">
        <v>2409000</v>
      </c>
      <c r="I294" s="82"/>
      <c r="J294" s="82"/>
      <c r="K294" s="82"/>
      <c r="L294" s="138"/>
      <c r="M294" s="79"/>
      <c r="N294" s="138"/>
      <c r="O294" s="80"/>
      <c r="P294" s="79"/>
      <c r="Q294" s="80"/>
      <c r="R294" s="79"/>
      <c r="S294" s="80"/>
      <c r="T294" s="80"/>
      <c r="U294" s="80"/>
      <c r="V294" s="80"/>
      <c r="W294" s="141"/>
      <c r="X294" s="141"/>
      <c r="Y294" s="141"/>
      <c r="Z294" s="141"/>
      <c r="AA294" s="273"/>
      <c r="AB294" s="58"/>
      <c r="AC294" s="28"/>
      <c r="AD294" s="55"/>
      <c r="AE294" s="28"/>
      <c r="AF294" s="28"/>
      <c r="AG294" s="28"/>
      <c r="AH294" s="28"/>
      <c r="AI294" s="28"/>
      <c r="AJ294" s="128"/>
      <c r="AK294" s="28"/>
    </row>
    <row r="295" spans="1:37" ht="192.75" hidden="1" customHeight="1">
      <c r="B295" s="25" t="s">
        <v>747</v>
      </c>
      <c r="C295" s="25">
        <v>3041159639</v>
      </c>
      <c r="D295" s="24" t="s">
        <v>748</v>
      </c>
      <c r="E295" s="25" t="s">
        <v>749</v>
      </c>
      <c r="F295" s="24" t="s">
        <v>58</v>
      </c>
      <c r="G295" s="51"/>
      <c r="H295" s="51">
        <v>45065160</v>
      </c>
      <c r="I295" s="83"/>
      <c r="J295" s="83"/>
      <c r="K295" s="83"/>
      <c r="L295" s="129"/>
      <c r="M295" s="61"/>
      <c r="N295" s="129"/>
      <c r="O295" s="35"/>
      <c r="P295" s="61"/>
      <c r="Q295" s="35"/>
      <c r="R295" s="61"/>
      <c r="S295" s="35"/>
      <c r="T295" s="35"/>
      <c r="U295" s="35"/>
      <c r="V295" s="35"/>
      <c r="W295" s="132"/>
      <c r="X295" s="132"/>
      <c r="Y295" s="132"/>
      <c r="Z295" s="132"/>
      <c r="AA295" s="262"/>
      <c r="AB295" s="51">
        <v>45065160</v>
      </c>
      <c r="AC295" s="25" t="s">
        <v>34</v>
      </c>
      <c r="AD295" s="33">
        <v>45895</v>
      </c>
      <c r="AE295" s="25" t="s">
        <v>33</v>
      </c>
      <c r="AF295" s="25"/>
      <c r="AG295" s="25"/>
      <c r="AH295" s="25"/>
      <c r="AI295" s="25"/>
      <c r="AJ295" s="116"/>
      <c r="AK295" s="25"/>
    </row>
    <row r="296" spans="1:37" ht="192.75" hidden="1" customHeight="1">
      <c r="B296" s="25" t="s">
        <v>750</v>
      </c>
      <c r="C296" s="25"/>
      <c r="D296" s="24" t="s">
        <v>751</v>
      </c>
      <c r="E296" s="25" t="s">
        <v>31</v>
      </c>
      <c r="F296" s="24" t="s">
        <v>47</v>
      </c>
      <c r="G296" s="67">
        <v>1431.72</v>
      </c>
      <c r="H296" s="294">
        <v>1574.89</v>
      </c>
      <c r="I296" s="83"/>
      <c r="J296" s="83"/>
      <c r="K296" s="83"/>
      <c r="L296" s="129"/>
      <c r="M296" s="61"/>
      <c r="N296" s="129"/>
      <c r="O296" s="35"/>
      <c r="P296" s="61"/>
      <c r="Q296" s="35"/>
      <c r="R296" s="61"/>
      <c r="S296" s="35"/>
      <c r="T296" s="35"/>
      <c r="U296" s="35"/>
      <c r="V296" s="35"/>
      <c r="W296" s="132"/>
      <c r="X296" s="132"/>
      <c r="Y296" s="132"/>
      <c r="Z296" s="132"/>
      <c r="AA296" s="262"/>
      <c r="AB296" s="294">
        <v>1574.89</v>
      </c>
      <c r="AC296" s="25" t="s">
        <v>34</v>
      </c>
      <c r="AD296" s="33"/>
      <c r="AE296" s="25"/>
      <c r="AF296" s="25"/>
      <c r="AG296" s="25"/>
      <c r="AH296" s="25"/>
      <c r="AI296" s="25"/>
      <c r="AJ296" s="116"/>
      <c r="AK296" s="25"/>
    </row>
    <row r="297" spans="1:37" ht="192.75" hidden="1" customHeight="1">
      <c r="B297" s="25" t="s">
        <v>752</v>
      </c>
      <c r="C297" s="25"/>
      <c r="D297" s="24" t="s">
        <v>753</v>
      </c>
      <c r="E297" s="25" t="s">
        <v>31</v>
      </c>
      <c r="F297" s="24" t="s">
        <v>47</v>
      </c>
      <c r="G297" s="67">
        <v>1476</v>
      </c>
      <c r="H297" s="67">
        <v>1623</v>
      </c>
      <c r="I297" s="83"/>
      <c r="J297" s="83"/>
      <c r="K297" s="83"/>
      <c r="L297" s="129"/>
      <c r="M297" s="61"/>
      <c r="N297" s="129"/>
      <c r="O297" s="35"/>
      <c r="P297" s="61"/>
      <c r="Q297" s="35"/>
      <c r="R297" s="61"/>
      <c r="S297" s="35"/>
      <c r="T297" s="35"/>
      <c r="U297" s="35"/>
      <c r="V297" s="35"/>
      <c r="W297" s="132"/>
      <c r="X297" s="132"/>
      <c r="Y297" s="132"/>
      <c r="Z297" s="132"/>
      <c r="AA297" s="262"/>
      <c r="AB297" s="67">
        <v>1623</v>
      </c>
      <c r="AC297" s="25" t="s">
        <v>34</v>
      </c>
      <c r="AD297" s="33"/>
      <c r="AE297" s="25"/>
      <c r="AF297" s="25"/>
      <c r="AG297" s="25"/>
      <c r="AH297" s="25"/>
      <c r="AI297" s="25"/>
      <c r="AJ297" s="116"/>
      <c r="AK297" s="25"/>
    </row>
    <row r="298" spans="1:37" ht="192.75" hidden="1" customHeight="1">
      <c r="B298" s="25" t="s">
        <v>754</v>
      </c>
      <c r="C298" s="25"/>
      <c r="D298" s="24" t="s">
        <v>755</v>
      </c>
      <c r="E298" s="25" t="s">
        <v>31</v>
      </c>
      <c r="F298" s="24" t="s">
        <v>47</v>
      </c>
      <c r="G298" s="67">
        <v>1476</v>
      </c>
      <c r="H298" s="67">
        <v>1623</v>
      </c>
      <c r="I298" s="83"/>
      <c r="J298" s="83"/>
      <c r="K298" s="83"/>
      <c r="L298" s="129"/>
      <c r="M298" s="61"/>
      <c r="N298" s="129"/>
      <c r="O298" s="35"/>
      <c r="P298" s="61"/>
      <c r="Q298" s="35"/>
      <c r="R298" s="61"/>
      <c r="S298" s="35"/>
      <c r="T298" s="35"/>
      <c r="U298" s="35"/>
      <c r="V298" s="35"/>
      <c r="W298" s="132"/>
      <c r="X298" s="132"/>
      <c r="Y298" s="132"/>
      <c r="Z298" s="132"/>
      <c r="AA298" s="262"/>
      <c r="AB298" s="67">
        <v>1623</v>
      </c>
      <c r="AC298" s="25" t="s">
        <v>34</v>
      </c>
      <c r="AD298" s="33"/>
      <c r="AE298" s="25"/>
      <c r="AF298" s="25"/>
      <c r="AG298" s="25"/>
      <c r="AH298" s="25"/>
      <c r="AI298" s="25"/>
      <c r="AJ298" s="116"/>
      <c r="AK298" s="25"/>
    </row>
    <row r="299" spans="1:37" ht="192.75" hidden="1" customHeight="1">
      <c r="B299" s="25" t="s">
        <v>756</v>
      </c>
      <c r="C299" s="25"/>
      <c r="D299" s="24" t="s">
        <v>757</v>
      </c>
      <c r="E299" s="25" t="s">
        <v>31</v>
      </c>
      <c r="F299" s="24" t="s">
        <v>67</v>
      </c>
      <c r="G299" s="67">
        <v>10</v>
      </c>
      <c r="H299" s="67">
        <v>10</v>
      </c>
      <c r="I299" s="83"/>
      <c r="J299" s="83"/>
      <c r="K299" s="83"/>
      <c r="L299" s="129"/>
      <c r="M299" s="61"/>
      <c r="N299" s="129"/>
      <c r="O299" s="35"/>
      <c r="P299" s="61"/>
      <c r="Q299" s="35"/>
      <c r="R299" s="61"/>
      <c r="S299" s="35"/>
      <c r="T299" s="35"/>
      <c r="U299" s="35"/>
      <c r="V299" s="35"/>
      <c r="W299" s="132"/>
      <c r="X299" s="132"/>
      <c r="Y299" s="132"/>
      <c r="Z299" s="132"/>
      <c r="AA299" s="262"/>
      <c r="AB299" s="67">
        <v>10</v>
      </c>
      <c r="AC299" s="25" t="s">
        <v>34</v>
      </c>
      <c r="AD299" s="33"/>
      <c r="AE299" s="25"/>
      <c r="AF299" s="25"/>
      <c r="AG299" s="25"/>
      <c r="AH299" s="25"/>
      <c r="AI299" s="25"/>
      <c r="AJ299" s="116"/>
      <c r="AK299" s="25"/>
    </row>
    <row r="300" spans="1:37" ht="192.75" hidden="1" customHeight="1">
      <c r="B300" s="25" t="s">
        <v>758</v>
      </c>
      <c r="C300" s="25"/>
      <c r="D300" s="24" t="s">
        <v>759</v>
      </c>
      <c r="E300" s="25" t="s">
        <v>31</v>
      </c>
      <c r="F300" s="24" t="s">
        <v>64</v>
      </c>
      <c r="G300" s="67">
        <v>70</v>
      </c>
      <c r="H300" s="67">
        <v>77</v>
      </c>
      <c r="I300" s="83"/>
      <c r="J300" s="83"/>
      <c r="K300" s="83"/>
      <c r="L300" s="129"/>
      <c r="M300" s="61"/>
      <c r="N300" s="129"/>
      <c r="O300" s="35"/>
      <c r="P300" s="61"/>
      <c r="Q300" s="35"/>
      <c r="R300" s="61"/>
      <c r="S300" s="35"/>
      <c r="T300" s="35"/>
      <c r="U300" s="35"/>
      <c r="V300" s="35"/>
      <c r="W300" s="132"/>
      <c r="X300" s="132"/>
      <c r="Y300" s="132"/>
      <c r="Z300" s="132"/>
      <c r="AA300" s="262"/>
      <c r="AB300" s="67">
        <v>77</v>
      </c>
      <c r="AC300" s="25" t="s">
        <v>34</v>
      </c>
      <c r="AD300" s="33"/>
      <c r="AE300" s="25"/>
      <c r="AF300" s="25"/>
      <c r="AG300" s="25"/>
      <c r="AH300" s="25"/>
      <c r="AI300" s="25"/>
      <c r="AJ300" s="116"/>
      <c r="AK300" s="25"/>
    </row>
    <row r="301" spans="1:37" ht="192.75" hidden="1" customHeight="1">
      <c r="B301" s="25" t="s">
        <v>760</v>
      </c>
      <c r="C301" s="25"/>
      <c r="D301" s="24" t="s">
        <v>761</v>
      </c>
      <c r="E301" s="25" t="s">
        <v>31</v>
      </c>
      <c r="F301" s="38" t="s">
        <v>509</v>
      </c>
      <c r="G301" s="29">
        <v>2800</v>
      </c>
      <c r="H301" s="29">
        <v>3080</v>
      </c>
      <c r="I301" s="84"/>
      <c r="J301" s="83"/>
      <c r="K301" s="83"/>
      <c r="L301" s="129"/>
      <c r="M301" s="61"/>
      <c r="N301" s="129"/>
      <c r="O301" s="35"/>
      <c r="P301" s="61"/>
      <c r="Q301" s="35"/>
      <c r="R301" s="61"/>
      <c r="S301" s="35"/>
      <c r="T301" s="35"/>
      <c r="U301" s="35"/>
      <c r="V301" s="35"/>
      <c r="W301" s="132"/>
      <c r="X301" s="132"/>
      <c r="Y301" s="132"/>
      <c r="Z301" s="132"/>
      <c r="AA301" s="262"/>
      <c r="AB301" s="29">
        <v>3080</v>
      </c>
      <c r="AC301" s="25" t="s">
        <v>34</v>
      </c>
      <c r="AD301" s="33"/>
      <c r="AE301" s="25"/>
      <c r="AF301" s="25"/>
      <c r="AG301" s="25"/>
      <c r="AH301" s="25"/>
      <c r="AI301" s="25"/>
      <c r="AJ301" s="116"/>
      <c r="AK301" s="25"/>
    </row>
    <row r="302" spans="1:37" ht="192.75" customHeight="1">
      <c r="B302" s="28" t="s">
        <v>762</v>
      </c>
      <c r="C302" s="28">
        <v>3041161291</v>
      </c>
      <c r="D302" s="27" t="s">
        <v>763</v>
      </c>
      <c r="E302" s="28" t="s">
        <v>749</v>
      </c>
      <c r="F302" s="27" t="s">
        <v>267</v>
      </c>
      <c r="G302" s="58">
        <v>167810400</v>
      </c>
      <c r="H302" s="58"/>
      <c r="I302" s="82"/>
      <c r="J302" s="82"/>
      <c r="K302" s="82"/>
      <c r="L302" s="138"/>
      <c r="M302" s="79"/>
      <c r="N302" s="138"/>
      <c r="O302" s="80"/>
      <c r="P302" s="79"/>
      <c r="Q302" s="80"/>
      <c r="R302" s="79"/>
      <c r="S302" s="80"/>
      <c r="T302" s="80"/>
      <c r="U302" s="80"/>
      <c r="V302" s="80"/>
      <c r="W302" s="141"/>
      <c r="X302" s="141"/>
      <c r="Y302" s="141"/>
      <c r="Z302" s="141"/>
      <c r="AA302" s="273"/>
      <c r="AB302" s="58">
        <v>167810400</v>
      </c>
      <c r="AC302" s="28"/>
      <c r="AD302" s="55">
        <v>45916</v>
      </c>
      <c r="AE302" s="28"/>
      <c r="AF302" s="28"/>
      <c r="AG302" s="28"/>
      <c r="AH302" s="28"/>
      <c r="AI302" s="28"/>
      <c r="AJ302" s="128"/>
      <c r="AK302" s="28"/>
    </row>
    <row r="303" spans="1:37" ht="192.75" hidden="1" customHeight="1">
      <c r="B303" s="28" t="s">
        <v>764</v>
      </c>
      <c r="C303" s="28">
        <v>3041161734</v>
      </c>
      <c r="D303" s="27" t="s">
        <v>765</v>
      </c>
      <c r="E303" s="28" t="s">
        <v>749</v>
      </c>
      <c r="F303" s="27" t="s">
        <v>54</v>
      </c>
      <c r="G303" s="58">
        <v>21980000</v>
      </c>
      <c r="H303" s="58">
        <v>21980000</v>
      </c>
      <c r="I303" s="82"/>
      <c r="J303" s="82"/>
      <c r="K303" s="82"/>
      <c r="L303" s="138"/>
      <c r="M303" s="79"/>
      <c r="N303" s="138"/>
      <c r="O303" s="80"/>
      <c r="P303" s="79"/>
      <c r="Q303" s="80"/>
      <c r="R303" s="79"/>
      <c r="S303" s="80"/>
      <c r="T303" s="80"/>
      <c r="U303" s="80"/>
      <c r="V303" s="80"/>
      <c r="W303" s="141"/>
      <c r="X303" s="141"/>
      <c r="Y303" s="141"/>
      <c r="Z303" s="141"/>
      <c r="AA303" s="273"/>
      <c r="AB303" s="58"/>
      <c r="AC303" s="28"/>
      <c r="AD303" s="55"/>
      <c r="AE303" s="28"/>
      <c r="AF303" s="28"/>
      <c r="AG303" s="28"/>
      <c r="AH303" s="28"/>
      <c r="AI303" s="28"/>
      <c r="AJ303" s="128"/>
      <c r="AK303" s="28"/>
    </row>
    <row r="304" spans="1:37" ht="192.75" hidden="1" customHeight="1">
      <c r="B304" s="25" t="s">
        <v>766</v>
      </c>
      <c r="C304" s="28"/>
      <c r="D304" s="27" t="s">
        <v>767</v>
      </c>
      <c r="E304" s="28" t="s">
        <v>749</v>
      </c>
      <c r="F304" s="27" t="s">
        <v>768</v>
      </c>
      <c r="G304" s="58"/>
      <c r="H304" s="58"/>
      <c r="I304" s="82"/>
      <c r="J304" s="82"/>
      <c r="K304" s="82"/>
      <c r="L304" s="138"/>
      <c r="M304" s="79"/>
      <c r="N304" s="138"/>
      <c r="O304" s="80"/>
      <c r="P304" s="79"/>
      <c r="Q304" s="80"/>
      <c r="R304" s="79"/>
      <c r="S304" s="80"/>
      <c r="T304" s="80"/>
      <c r="U304" s="80"/>
      <c r="V304" s="80"/>
      <c r="W304" s="141"/>
      <c r="X304" s="141"/>
      <c r="Y304" s="141"/>
      <c r="Z304" s="141"/>
      <c r="AA304" s="273"/>
      <c r="AB304" s="58">
        <v>59276160</v>
      </c>
      <c r="AC304" s="28" t="s">
        <v>34</v>
      </c>
      <c r="AD304" s="55">
        <v>45922</v>
      </c>
      <c r="AE304" s="25"/>
      <c r="AF304" s="25"/>
      <c r="AG304" s="25"/>
      <c r="AH304" s="25"/>
      <c r="AI304" s="25"/>
      <c r="AJ304" s="116"/>
      <c r="AK304" s="25"/>
    </row>
    <row r="305" spans="2:37" ht="192.75" hidden="1" customHeight="1">
      <c r="B305" s="31" t="s">
        <v>769</v>
      </c>
      <c r="C305" s="25"/>
      <c r="D305" s="24" t="s">
        <v>770</v>
      </c>
      <c r="E305" s="25" t="s">
        <v>771</v>
      </c>
      <c r="F305" s="24" t="s">
        <v>64</v>
      </c>
      <c r="G305" s="51"/>
      <c r="H305" s="51"/>
      <c r="I305" s="83"/>
      <c r="J305" s="83"/>
      <c r="K305" s="83"/>
      <c r="L305" s="129"/>
      <c r="M305" s="61"/>
      <c r="N305" s="129"/>
      <c r="O305" s="35"/>
      <c r="P305" s="61"/>
      <c r="Q305" s="35"/>
      <c r="R305" s="61"/>
      <c r="S305" s="35"/>
      <c r="T305" s="35"/>
      <c r="U305" s="35"/>
      <c r="V305" s="35"/>
      <c r="W305" s="132"/>
      <c r="X305" s="132"/>
      <c r="Y305" s="132"/>
      <c r="Z305" s="132"/>
      <c r="AA305" s="262"/>
      <c r="AB305" s="29">
        <v>11</v>
      </c>
      <c r="AC305" s="25" t="s">
        <v>34</v>
      </c>
      <c r="AD305" s="33">
        <v>45922</v>
      </c>
      <c r="AK305" s="26"/>
    </row>
    <row r="306" spans="2:37" ht="192.75" hidden="1" customHeight="1">
      <c r="B306" s="31" t="s">
        <v>772</v>
      </c>
      <c r="C306" s="25"/>
      <c r="D306" s="24" t="s">
        <v>773</v>
      </c>
      <c r="E306" s="25" t="s">
        <v>774</v>
      </c>
      <c r="F306" s="24" t="s">
        <v>64</v>
      </c>
      <c r="G306" s="51"/>
      <c r="H306" s="51"/>
      <c r="I306" s="83"/>
      <c r="J306" s="83"/>
      <c r="K306" s="83"/>
      <c r="L306" s="129"/>
      <c r="M306" s="61"/>
      <c r="N306" s="129"/>
      <c r="O306" s="35"/>
      <c r="P306" s="61"/>
      <c r="Q306" s="35"/>
      <c r="R306" s="61"/>
      <c r="S306" s="35"/>
      <c r="T306" s="35"/>
      <c r="U306" s="35"/>
      <c r="V306" s="35"/>
      <c r="W306" s="132"/>
      <c r="X306" s="132"/>
      <c r="Y306" s="132"/>
      <c r="Z306" s="132"/>
      <c r="AA306" s="262"/>
      <c r="AB306" s="29">
        <v>8</v>
      </c>
      <c r="AC306" s="25" t="s">
        <v>34</v>
      </c>
      <c r="AD306" s="33">
        <v>45922</v>
      </c>
      <c r="AK306" s="26"/>
    </row>
    <row r="307" spans="2:37" ht="192.75" hidden="1" customHeight="1">
      <c r="B307" s="54" t="s">
        <v>775</v>
      </c>
      <c r="C307" s="28"/>
      <c r="D307" s="27" t="s">
        <v>776</v>
      </c>
      <c r="E307" s="28" t="s">
        <v>774</v>
      </c>
      <c r="F307" s="27" t="s">
        <v>64</v>
      </c>
      <c r="G307" s="58"/>
      <c r="H307" s="58"/>
      <c r="I307" s="82"/>
      <c r="J307" s="82"/>
      <c r="K307" s="82"/>
      <c r="L307" s="138"/>
      <c r="M307" s="79"/>
      <c r="N307" s="138"/>
      <c r="O307" s="80"/>
      <c r="P307" s="79"/>
      <c r="Q307" s="80"/>
      <c r="R307" s="79"/>
      <c r="S307" s="80"/>
      <c r="T307" s="80"/>
      <c r="U307" s="80"/>
      <c r="V307" s="80"/>
      <c r="W307" s="141"/>
      <c r="X307" s="141"/>
      <c r="Y307" s="141"/>
      <c r="Z307" s="141"/>
      <c r="AA307" s="273"/>
      <c r="AB307" s="67">
        <v>8</v>
      </c>
      <c r="AC307" s="28" t="s">
        <v>34</v>
      </c>
      <c r="AD307" s="55">
        <v>45922</v>
      </c>
      <c r="AK307" s="26"/>
    </row>
    <row r="308" spans="2:37" ht="192.75" customHeight="1">
      <c r="B308" s="54" t="s">
        <v>777</v>
      </c>
      <c r="C308" s="25">
        <v>3041162674</v>
      </c>
      <c r="D308" s="24" t="s">
        <v>778</v>
      </c>
      <c r="E308" s="25" t="s">
        <v>53</v>
      </c>
      <c r="F308" s="24" t="s">
        <v>267</v>
      </c>
      <c r="G308" s="51"/>
      <c r="H308" s="51"/>
      <c r="I308" s="83"/>
      <c r="J308" s="83"/>
      <c r="K308" s="83"/>
      <c r="L308" s="129"/>
      <c r="M308" s="61"/>
      <c r="N308" s="129"/>
      <c r="O308" s="35"/>
      <c r="P308" s="61"/>
      <c r="Q308" s="35"/>
      <c r="R308" s="61"/>
      <c r="S308" s="35"/>
      <c r="T308" s="35"/>
      <c r="U308" s="35"/>
      <c r="V308" s="35"/>
      <c r="W308" s="132"/>
      <c r="X308" s="132"/>
      <c r="Y308" s="132"/>
      <c r="Z308" s="132"/>
      <c r="AA308" s="262"/>
      <c r="AB308" s="51">
        <v>128000000</v>
      </c>
      <c r="AC308" s="25"/>
      <c r="AD308" s="33"/>
      <c r="AK308" s="26"/>
    </row>
    <row r="309" spans="2:37" ht="326.25" hidden="1" customHeight="1">
      <c r="B309" s="54" t="s">
        <v>779</v>
      </c>
      <c r="C309" s="25"/>
      <c r="D309" s="24" t="s">
        <v>780</v>
      </c>
      <c r="E309" s="25" t="s">
        <v>31</v>
      </c>
      <c r="F309" s="38" t="s">
        <v>509</v>
      </c>
      <c r="G309" s="29">
        <v>2800</v>
      </c>
      <c r="H309" s="29">
        <v>3080</v>
      </c>
      <c r="I309" s="83"/>
      <c r="J309" s="83"/>
      <c r="K309" s="83"/>
      <c r="L309" s="129"/>
      <c r="M309" s="61"/>
      <c r="N309" s="129"/>
      <c r="O309" s="35"/>
      <c r="P309" s="61"/>
      <c r="Q309" s="35"/>
      <c r="R309" s="61"/>
      <c r="S309" s="35"/>
      <c r="T309" s="35"/>
      <c r="U309" s="35"/>
      <c r="V309" s="35"/>
      <c r="W309" s="132"/>
      <c r="X309" s="132"/>
      <c r="Y309" s="132"/>
      <c r="Z309" s="132"/>
      <c r="AA309" s="262"/>
      <c r="AB309" s="51"/>
      <c r="AC309" s="25"/>
      <c r="AD309" s="33"/>
      <c r="AK309" s="26"/>
    </row>
    <row r="310" spans="2:37" ht="192.75" hidden="1" customHeight="1">
      <c r="B310" s="54" t="s">
        <v>781</v>
      </c>
      <c r="C310" s="25"/>
      <c r="D310" s="24" t="s">
        <v>782</v>
      </c>
      <c r="E310" s="25" t="s">
        <v>31</v>
      </c>
      <c r="F310" s="24" t="s">
        <v>67</v>
      </c>
      <c r="G310" s="29">
        <v>10</v>
      </c>
      <c r="H310" s="29">
        <v>10</v>
      </c>
      <c r="I310" s="83"/>
      <c r="J310" s="83"/>
      <c r="K310" s="83"/>
      <c r="L310" s="129"/>
      <c r="M310" s="61"/>
      <c r="N310" s="129"/>
      <c r="O310" s="35"/>
      <c r="P310" s="61"/>
      <c r="Q310" s="35"/>
      <c r="R310" s="61"/>
      <c r="S310" s="35"/>
      <c r="T310" s="35"/>
      <c r="U310" s="35"/>
      <c r="V310" s="35"/>
      <c r="W310" s="132"/>
      <c r="X310" s="132"/>
      <c r="Y310" s="132"/>
      <c r="Z310" s="132"/>
      <c r="AA310" s="262"/>
      <c r="AB310" s="51"/>
      <c r="AC310" s="25"/>
      <c r="AD310" s="33"/>
      <c r="AK310" s="26"/>
    </row>
    <row r="311" spans="2:37" ht="192.75" hidden="1" customHeight="1">
      <c r="B311" s="54" t="s">
        <v>783</v>
      </c>
      <c r="C311" s="25"/>
      <c r="D311" s="24" t="s">
        <v>784</v>
      </c>
      <c r="E311" s="25" t="s">
        <v>31</v>
      </c>
      <c r="F311" s="24" t="s">
        <v>64</v>
      </c>
      <c r="G311" s="29">
        <v>77</v>
      </c>
      <c r="H311" s="29">
        <v>77</v>
      </c>
      <c r="I311" s="83"/>
      <c r="J311" s="83"/>
      <c r="K311" s="83"/>
      <c r="L311" s="129"/>
      <c r="M311" s="61"/>
      <c r="N311" s="129"/>
      <c r="O311" s="35"/>
      <c r="P311" s="61"/>
      <c r="Q311" s="35"/>
      <c r="R311" s="61"/>
      <c r="S311" s="35"/>
      <c r="T311" s="35"/>
      <c r="U311" s="35"/>
      <c r="V311" s="35"/>
      <c r="W311" s="132"/>
      <c r="X311" s="132"/>
      <c r="Y311" s="132"/>
      <c r="Z311" s="132"/>
      <c r="AA311" s="262"/>
      <c r="AB311" s="51"/>
      <c r="AC311" s="25"/>
      <c r="AD311" s="33"/>
      <c r="AK311" s="26"/>
    </row>
    <row r="312" spans="2:37" ht="192.75" hidden="1" customHeight="1">
      <c r="B312" s="54" t="s">
        <v>785</v>
      </c>
      <c r="C312" s="25"/>
      <c r="D312" s="24" t="s">
        <v>786</v>
      </c>
      <c r="E312" s="25" t="s">
        <v>53</v>
      </c>
      <c r="F312" s="24" t="s">
        <v>58</v>
      </c>
      <c r="G312" s="51">
        <v>430000</v>
      </c>
      <c r="H312" s="51">
        <v>464400</v>
      </c>
      <c r="I312" s="83"/>
      <c r="J312" s="83"/>
      <c r="K312" s="83"/>
      <c r="L312" s="129"/>
      <c r="M312" s="61"/>
      <c r="N312" s="129"/>
      <c r="O312" s="35"/>
      <c r="P312" s="61"/>
      <c r="Q312" s="35"/>
      <c r="R312" s="61"/>
      <c r="S312" s="35"/>
      <c r="T312" s="35"/>
      <c r="U312" s="35"/>
      <c r="V312" s="35"/>
      <c r="W312" s="132"/>
      <c r="X312" s="132"/>
      <c r="Y312" s="132"/>
      <c r="Z312" s="132"/>
      <c r="AA312" s="262"/>
      <c r="AB312" s="51"/>
      <c r="AC312" s="25"/>
      <c r="AD312" s="33"/>
      <c r="AK312" s="26"/>
    </row>
    <row r="313" spans="2:37" ht="192.75" hidden="1" customHeight="1">
      <c r="B313" s="54" t="s">
        <v>787</v>
      </c>
      <c r="C313" s="25"/>
      <c r="D313" s="24" t="s">
        <v>788</v>
      </c>
      <c r="E313" s="25" t="s">
        <v>53</v>
      </c>
      <c r="F313" s="24" t="s">
        <v>58</v>
      </c>
      <c r="G313" s="51">
        <v>770000</v>
      </c>
      <c r="H313" s="51">
        <v>831600</v>
      </c>
      <c r="I313" s="83"/>
      <c r="J313" s="83"/>
      <c r="K313" s="83"/>
      <c r="L313" s="129"/>
      <c r="M313" s="61"/>
      <c r="N313" s="129"/>
      <c r="O313" s="35"/>
      <c r="P313" s="61"/>
      <c r="Q313" s="35"/>
      <c r="R313" s="61"/>
      <c r="S313" s="35"/>
      <c r="T313" s="35"/>
      <c r="U313" s="35"/>
      <c r="V313" s="35"/>
      <c r="W313" s="132"/>
      <c r="X313" s="132"/>
      <c r="Y313" s="132"/>
      <c r="Z313" s="132"/>
      <c r="AA313" s="262"/>
      <c r="AB313" s="51"/>
      <c r="AC313" s="25"/>
      <c r="AD313" s="33"/>
      <c r="AK313" s="26"/>
    </row>
    <row r="314" spans="2:37" ht="192.75" hidden="1" customHeight="1">
      <c r="B314" s="54" t="s">
        <v>789</v>
      </c>
      <c r="C314" s="25"/>
      <c r="D314" s="24" t="s">
        <v>790</v>
      </c>
      <c r="E314" s="25" t="s">
        <v>53</v>
      </c>
      <c r="F314" s="24" t="s">
        <v>58</v>
      </c>
      <c r="G314" s="51">
        <v>1300000</v>
      </c>
      <c r="H314" s="51">
        <v>1404000</v>
      </c>
      <c r="I314" s="83"/>
      <c r="J314" s="83"/>
      <c r="K314" s="83"/>
      <c r="L314" s="129"/>
      <c r="M314" s="61"/>
      <c r="N314" s="129"/>
      <c r="O314" s="35"/>
      <c r="P314" s="61"/>
      <c r="Q314" s="35"/>
      <c r="R314" s="61"/>
      <c r="S314" s="35"/>
      <c r="T314" s="35"/>
      <c r="U314" s="35"/>
      <c r="V314" s="35"/>
      <c r="W314" s="132"/>
      <c r="X314" s="132"/>
      <c r="Y314" s="132"/>
      <c r="Z314" s="132"/>
      <c r="AA314" s="262"/>
      <c r="AB314" s="51"/>
      <c r="AC314" s="25"/>
      <c r="AD314" s="33"/>
      <c r="AK314" s="26"/>
    </row>
    <row r="315" spans="2:37" ht="192.75" hidden="1" customHeight="1">
      <c r="B315" s="54" t="s">
        <v>791</v>
      </c>
      <c r="C315" s="25"/>
      <c r="D315" s="24" t="s">
        <v>792</v>
      </c>
      <c r="E315" s="25" t="s">
        <v>53</v>
      </c>
      <c r="F315" s="24" t="s">
        <v>58</v>
      </c>
      <c r="G315" s="51">
        <v>550000</v>
      </c>
      <c r="H315" s="51">
        <v>594000</v>
      </c>
      <c r="I315" s="83"/>
      <c r="J315" s="83"/>
      <c r="K315" s="83"/>
      <c r="L315" s="129"/>
      <c r="M315" s="61"/>
      <c r="N315" s="129"/>
      <c r="O315" s="35"/>
      <c r="P315" s="61"/>
      <c r="Q315" s="35"/>
      <c r="R315" s="61"/>
      <c r="S315" s="35"/>
      <c r="T315" s="35"/>
      <c r="U315" s="35"/>
      <c r="V315" s="35"/>
      <c r="W315" s="132"/>
      <c r="X315" s="132"/>
      <c r="Y315" s="132"/>
      <c r="Z315" s="132"/>
      <c r="AA315" s="262"/>
      <c r="AB315" s="51"/>
      <c r="AC315" s="25"/>
      <c r="AD315" s="33"/>
      <c r="AK315" s="26"/>
    </row>
    <row r="316" spans="2:37" ht="192.75" hidden="1" customHeight="1">
      <c r="B316" s="54" t="s">
        <v>793</v>
      </c>
      <c r="C316" s="28"/>
      <c r="D316" s="27" t="s">
        <v>794</v>
      </c>
      <c r="E316" s="28" t="s">
        <v>53</v>
      </c>
      <c r="F316" s="27" t="s">
        <v>58</v>
      </c>
      <c r="G316" s="58">
        <v>2800000</v>
      </c>
      <c r="H316" s="58">
        <v>3080000</v>
      </c>
      <c r="I316" s="82"/>
      <c r="J316" s="82"/>
      <c r="K316" s="82"/>
      <c r="L316" s="138"/>
      <c r="M316" s="79"/>
      <c r="N316" s="138"/>
      <c r="O316" s="80"/>
      <c r="P316" s="79"/>
      <c r="Q316" s="80"/>
      <c r="R316" s="79"/>
      <c r="S316" s="80"/>
      <c r="T316" s="80"/>
      <c r="U316" s="80"/>
      <c r="V316" s="80"/>
      <c r="W316" s="141"/>
      <c r="X316" s="141"/>
      <c r="Y316" s="141"/>
      <c r="Z316" s="141"/>
      <c r="AA316" s="273"/>
      <c r="AB316" s="58"/>
      <c r="AC316" s="28"/>
      <c r="AD316" s="55"/>
      <c r="AK316" s="26"/>
    </row>
    <row r="317" spans="2:37" ht="192.75" hidden="1" customHeight="1">
      <c r="B317" s="54" t="s">
        <v>795</v>
      </c>
      <c r="C317" s="25"/>
      <c r="D317" s="24" t="s">
        <v>796</v>
      </c>
      <c r="E317" s="28" t="s">
        <v>53</v>
      </c>
      <c r="F317" s="27" t="s">
        <v>58</v>
      </c>
      <c r="G317" s="51">
        <v>450000</v>
      </c>
      <c r="H317" s="51">
        <v>486000</v>
      </c>
      <c r="I317" s="83"/>
      <c r="J317" s="83"/>
      <c r="K317" s="83"/>
      <c r="L317" s="129"/>
      <c r="M317" s="61"/>
      <c r="N317" s="129"/>
      <c r="O317" s="35"/>
      <c r="P317" s="61"/>
      <c r="Q317" s="35"/>
      <c r="R317" s="61"/>
      <c r="S317" s="35"/>
      <c r="T317" s="35"/>
      <c r="U317" s="35"/>
      <c r="V317" s="35"/>
      <c r="W317" s="132"/>
      <c r="X317" s="132"/>
      <c r="Y317" s="132"/>
      <c r="Z317" s="132"/>
      <c r="AA317" s="262"/>
      <c r="AB317" s="51"/>
      <c r="AC317" s="25"/>
      <c r="AD317" s="33"/>
      <c r="AK317" s="26"/>
    </row>
    <row r="318" spans="2:37" ht="192.75" hidden="1" customHeight="1">
      <c r="B318" s="295" t="s">
        <v>797</v>
      </c>
      <c r="C318" s="25"/>
      <c r="D318" s="24" t="s">
        <v>798</v>
      </c>
      <c r="E318" s="28" t="s">
        <v>53</v>
      </c>
      <c r="F318" s="27" t="s">
        <v>58</v>
      </c>
      <c r="G318" s="51">
        <v>880000</v>
      </c>
      <c r="H318" s="51">
        <v>950400</v>
      </c>
      <c r="I318" s="83"/>
      <c r="J318" s="83"/>
      <c r="K318" s="83"/>
      <c r="L318" s="129"/>
      <c r="M318" s="61"/>
      <c r="N318" s="129"/>
      <c r="O318" s="35"/>
      <c r="P318" s="61"/>
      <c r="Q318" s="35"/>
      <c r="R318" s="61"/>
      <c r="S318" s="35"/>
      <c r="T318" s="35"/>
      <c r="U318" s="35"/>
      <c r="V318" s="35"/>
      <c r="W318" s="132"/>
      <c r="X318" s="132"/>
      <c r="Y318" s="132"/>
      <c r="Z318" s="132"/>
      <c r="AA318" s="262"/>
      <c r="AB318" s="51"/>
      <c r="AC318" s="25"/>
      <c r="AD318" s="33"/>
      <c r="AK318" s="26"/>
    </row>
    <row r="319" spans="2:37" ht="192.75" hidden="1" customHeight="1">
      <c r="B319" s="295" t="s">
        <v>799</v>
      </c>
      <c r="C319" s="25"/>
      <c r="D319" s="24" t="s">
        <v>800</v>
      </c>
      <c r="E319" s="28" t="s">
        <v>53</v>
      </c>
      <c r="F319" s="24" t="s">
        <v>801</v>
      </c>
      <c r="G319" s="51">
        <v>19494800</v>
      </c>
      <c r="H319" s="51">
        <v>21090000</v>
      </c>
      <c r="I319" s="83"/>
      <c r="J319" s="83"/>
      <c r="K319" s="83"/>
      <c r="L319" s="129"/>
      <c r="M319" s="61"/>
      <c r="N319" s="129"/>
      <c r="O319" s="35"/>
      <c r="P319" s="61"/>
      <c r="Q319" s="35"/>
      <c r="R319" s="61"/>
      <c r="S319" s="35"/>
      <c r="T319" s="35"/>
      <c r="U319" s="35"/>
      <c r="V319" s="35"/>
      <c r="W319" s="132"/>
      <c r="X319" s="132"/>
      <c r="Y319" s="132"/>
      <c r="Z319" s="132"/>
      <c r="AA319" s="262"/>
      <c r="AB319" s="51"/>
      <c r="AC319" s="25"/>
      <c r="AD319" s="33"/>
      <c r="AK319" s="26"/>
    </row>
    <row r="320" spans="2:37" ht="192.75" hidden="1" customHeight="1">
      <c r="B320" s="295" t="s">
        <v>802</v>
      </c>
      <c r="C320" s="25"/>
      <c r="D320" s="24" t="s">
        <v>803</v>
      </c>
      <c r="E320" s="28" t="s">
        <v>53</v>
      </c>
      <c r="F320" s="24" t="s">
        <v>58</v>
      </c>
      <c r="G320" s="51">
        <v>27000000</v>
      </c>
      <c r="H320" s="51">
        <v>29160000</v>
      </c>
      <c r="I320" s="83"/>
      <c r="J320" s="83"/>
      <c r="K320" s="83"/>
      <c r="L320" s="129"/>
      <c r="M320" s="61"/>
      <c r="N320" s="129"/>
      <c r="O320" s="35"/>
      <c r="P320" s="61"/>
      <c r="Q320" s="35"/>
      <c r="R320" s="61"/>
      <c r="S320" s="35"/>
      <c r="T320" s="35"/>
      <c r="U320" s="35"/>
      <c r="V320" s="35"/>
      <c r="W320" s="132"/>
      <c r="X320" s="132"/>
      <c r="Y320" s="132"/>
      <c r="Z320" s="132"/>
      <c r="AA320" s="262"/>
      <c r="AB320" s="51"/>
      <c r="AC320" s="25"/>
      <c r="AD320" s="33"/>
      <c r="AK320" s="26"/>
    </row>
    <row r="321" spans="1:37" ht="192.75" hidden="1" customHeight="1">
      <c r="B321" s="295" t="s">
        <v>804</v>
      </c>
      <c r="C321" s="25"/>
      <c r="D321" s="24" t="s">
        <v>805</v>
      </c>
      <c r="E321" s="25" t="s">
        <v>771</v>
      </c>
      <c r="F321" s="24" t="s">
        <v>47</v>
      </c>
      <c r="G321" s="29">
        <v>3193.6</v>
      </c>
      <c r="H321" s="29">
        <v>3193.6</v>
      </c>
      <c r="I321" s="83"/>
      <c r="J321" s="83"/>
      <c r="K321" s="83"/>
      <c r="L321" s="129"/>
      <c r="M321" s="61"/>
      <c r="N321" s="129"/>
      <c r="O321" s="35"/>
      <c r="P321" s="61"/>
      <c r="Q321" s="35"/>
      <c r="R321" s="61"/>
      <c r="S321" s="35"/>
      <c r="T321" s="35"/>
      <c r="U321" s="35"/>
      <c r="V321" s="35"/>
      <c r="W321" s="132"/>
      <c r="X321" s="132"/>
      <c r="Y321" s="132"/>
      <c r="Z321" s="132"/>
      <c r="AA321" s="262"/>
      <c r="AB321" s="29">
        <v>3193.6</v>
      </c>
      <c r="AC321" s="25" t="s">
        <v>34</v>
      </c>
      <c r="AD321" s="33">
        <v>45938</v>
      </c>
      <c r="AK321" s="26"/>
    </row>
    <row r="322" spans="1:37" ht="192.75" hidden="1" customHeight="1">
      <c r="B322" s="295" t="s">
        <v>806</v>
      </c>
      <c r="C322" s="25"/>
      <c r="D322" s="24" t="s">
        <v>807</v>
      </c>
      <c r="E322" s="25" t="s">
        <v>53</v>
      </c>
      <c r="F322" s="27" t="s">
        <v>107</v>
      </c>
      <c r="G322" s="29"/>
      <c r="H322" s="29"/>
      <c r="I322" s="25"/>
      <c r="J322" s="25"/>
      <c r="K322" s="25"/>
      <c r="L322" s="25"/>
      <c r="M322" s="33"/>
      <c r="N322" s="25"/>
      <c r="O322" s="25"/>
      <c r="P322" s="33"/>
      <c r="Q322" s="25"/>
      <c r="R322" s="33"/>
      <c r="S322" s="25"/>
      <c r="T322" s="25"/>
      <c r="U322" s="25"/>
      <c r="V322" s="25"/>
      <c r="W322" s="25"/>
      <c r="X322" s="33"/>
      <c r="Y322" s="33"/>
      <c r="Z322" s="33"/>
      <c r="AA322" s="25"/>
      <c r="AB322" s="58">
        <v>1309000</v>
      </c>
      <c r="AC322" s="28" t="s">
        <v>34</v>
      </c>
      <c r="AD322" s="55">
        <v>45939</v>
      </c>
      <c r="AE322" s="25" t="s">
        <v>33</v>
      </c>
      <c r="AF322" s="25"/>
      <c r="AG322" s="25"/>
      <c r="AH322" s="25"/>
      <c r="AI322" s="25"/>
      <c r="AJ322" s="116"/>
      <c r="AK322" s="24"/>
    </row>
    <row r="323" spans="1:37" ht="192.75" hidden="1" customHeight="1">
      <c r="A323" s="54"/>
      <c r="B323" s="25" t="s">
        <v>808</v>
      </c>
      <c r="C323" s="28"/>
      <c r="D323" s="27" t="s">
        <v>809</v>
      </c>
      <c r="E323" s="28" t="s">
        <v>53</v>
      </c>
      <c r="F323" s="24" t="s">
        <v>230</v>
      </c>
      <c r="G323" s="66"/>
      <c r="H323" s="67"/>
      <c r="I323" s="82"/>
      <c r="J323" s="82"/>
      <c r="K323" s="82"/>
      <c r="L323" s="80"/>
      <c r="M323" s="79"/>
      <c r="N323" s="80"/>
      <c r="O323" s="80"/>
      <c r="P323" s="79"/>
      <c r="Q323" s="80"/>
      <c r="R323" s="79"/>
      <c r="S323" s="80"/>
      <c r="T323" s="80"/>
      <c r="U323" s="80"/>
      <c r="V323" s="80"/>
      <c r="W323" s="141"/>
      <c r="X323" s="141"/>
      <c r="Y323" s="141"/>
      <c r="Z323" s="141"/>
      <c r="AA323" s="273"/>
      <c r="AB323" s="58">
        <v>10261939</v>
      </c>
      <c r="AC323" s="28" t="s">
        <v>34</v>
      </c>
      <c r="AD323" s="55">
        <v>45939</v>
      </c>
      <c r="AE323" s="25" t="s">
        <v>33</v>
      </c>
      <c r="AF323" s="28"/>
      <c r="AG323" s="28"/>
      <c r="AH323" s="28"/>
      <c r="AI323" s="28"/>
      <c r="AJ323" s="128"/>
      <c r="AK323" s="28"/>
    </row>
    <row r="324" spans="1:37" ht="192.75" hidden="1" customHeight="1">
      <c r="A324" s="54"/>
      <c r="B324" s="25" t="s">
        <v>810</v>
      </c>
      <c r="C324" s="28"/>
      <c r="D324" s="27" t="s">
        <v>811</v>
      </c>
      <c r="E324" s="28" t="s">
        <v>53</v>
      </c>
      <c r="F324" s="24" t="s">
        <v>191</v>
      </c>
      <c r="G324" s="66"/>
      <c r="H324" s="67"/>
      <c r="I324" s="82"/>
      <c r="J324" s="82"/>
      <c r="K324" s="82"/>
      <c r="L324" s="80"/>
      <c r="M324" s="79"/>
      <c r="N324" s="80"/>
      <c r="O324" s="80"/>
      <c r="P324" s="79"/>
      <c r="Q324" s="80"/>
      <c r="R324" s="79"/>
      <c r="S324" s="80"/>
      <c r="T324" s="80"/>
      <c r="U324" s="80"/>
      <c r="V324" s="80"/>
      <c r="W324" s="141"/>
      <c r="X324" s="141"/>
      <c r="Y324" s="141"/>
      <c r="Z324" s="141"/>
      <c r="AA324" s="273"/>
      <c r="AB324" s="58">
        <v>23744148</v>
      </c>
      <c r="AC324" s="28" t="s">
        <v>34</v>
      </c>
      <c r="AD324" s="55">
        <v>45939</v>
      </c>
      <c r="AE324" s="28" t="s">
        <v>33</v>
      </c>
      <c r="AF324" s="28"/>
      <c r="AG324" s="28"/>
      <c r="AH324" s="28"/>
      <c r="AI324" s="28"/>
      <c r="AJ324" s="128"/>
      <c r="AK324" s="28"/>
    </row>
    <row r="325" spans="1:37" ht="192.75" hidden="1" customHeight="1">
      <c r="B325" s="25" t="s">
        <v>812</v>
      </c>
      <c r="C325" s="25"/>
      <c r="D325" s="24" t="s">
        <v>813</v>
      </c>
      <c r="E325" s="28" t="s">
        <v>53</v>
      </c>
      <c r="F325" s="24" t="s">
        <v>58</v>
      </c>
      <c r="G325" s="51">
        <v>8350000</v>
      </c>
      <c r="H325" s="51">
        <v>9018000</v>
      </c>
      <c r="I325" s="83"/>
      <c r="J325" s="83"/>
      <c r="K325" s="83"/>
      <c r="L325" s="129"/>
      <c r="M325" s="61"/>
      <c r="N325" s="129"/>
      <c r="O325" s="35"/>
      <c r="P325" s="61"/>
      <c r="Q325" s="35"/>
      <c r="R325" s="61"/>
      <c r="S325" s="35"/>
      <c r="T325" s="35"/>
      <c r="U325" s="35"/>
      <c r="V325" s="35"/>
      <c r="W325" s="132"/>
      <c r="X325" s="132"/>
      <c r="Y325" s="132"/>
      <c r="Z325" s="132"/>
      <c r="AA325" s="262"/>
      <c r="AB325" s="51">
        <v>9018000</v>
      </c>
      <c r="AC325" s="28" t="s">
        <v>34</v>
      </c>
      <c r="AD325" s="55">
        <v>45939</v>
      </c>
      <c r="AE325" s="28" t="s">
        <v>33</v>
      </c>
      <c r="AF325" s="25"/>
      <c r="AG325" s="25"/>
      <c r="AH325" s="25"/>
      <c r="AI325" s="25"/>
      <c r="AJ325" s="116"/>
      <c r="AK325" s="25"/>
    </row>
    <row r="326" spans="1:37" ht="192.75" hidden="1" customHeight="1">
      <c r="B326" s="25" t="s">
        <v>814</v>
      </c>
      <c r="C326" s="25"/>
      <c r="D326" s="24" t="s">
        <v>815</v>
      </c>
      <c r="E326" s="25" t="s">
        <v>53</v>
      </c>
      <c r="F326" s="24" t="s">
        <v>230</v>
      </c>
      <c r="G326" s="51">
        <v>133540000</v>
      </c>
      <c r="H326" s="51">
        <v>133540000</v>
      </c>
      <c r="I326" s="83"/>
      <c r="J326" s="83"/>
      <c r="K326" s="83"/>
      <c r="L326" s="129"/>
      <c r="M326" s="61"/>
      <c r="N326" s="129"/>
      <c r="O326" s="35"/>
      <c r="P326" s="61"/>
      <c r="Q326" s="35"/>
      <c r="R326" s="61"/>
      <c r="S326" s="35"/>
      <c r="T326" s="35"/>
      <c r="U326" s="35"/>
      <c r="V326" s="35"/>
      <c r="W326" s="132"/>
      <c r="X326" s="132"/>
      <c r="Y326" s="132"/>
      <c r="Z326" s="132"/>
      <c r="AA326" s="262"/>
      <c r="AB326" s="51">
        <v>133540000</v>
      </c>
      <c r="AC326" s="31" t="s">
        <v>34</v>
      </c>
      <c r="AD326" s="33">
        <v>45944</v>
      </c>
      <c r="AE326" s="25" t="s">
        <v>75</v>
      </c>
      <c r="AF326" s="25"/>
      <c r="AG326" s="25"/>
      <c r="AH326" s="25"/>
      <c r="AI326" s="25"/>
      <c r="AJ326" s="116"/>
      <c r="AK326" s="25"/>
    </row>
    <row r="327" spans="1:37" ht="192.75" hidden="1" customHeight="1">
      <c r="B327" s="25" t="s">
        <v>816</v>
      </c>
      <c r="C327" s="25"/>
      <c r="D327" s="24" t="s">
        <v>817</v>
      </c>
      <c r="E327" s="25" t="s">
        <v>53</v>
      </c>
      <c r="F327" s="24" t="s">
        <v>818</v>
      </c>
      <c r="G327" s="51">
        <v>25395000</v>
      </c>
      <c r="H327" s="51">
        <v>27426600</v>
      </c>
      <c r="I327" s="83"/>
      <c r="J327" s="83"/>
      <c r="K327" s="83"/>
      <c r="L327" s="129"/>
      <c r="M327" s="61"/>
      <c r="N327" s="129"/>
      <c r="O327" s="35"/>
      <c r="P327" s="61"/>
      <c r="Q327" s="35"/>
      <c r="R327" s="61"/>
      <c r="S327" s="35"/>
      <c r="T327" s="35"/>
      <c r="U327" s="35"/>
      <c r="V327" s="35"/>
      <c r="W327" s="132"/>
      <c r="X327" s="132"/>
      <c r="Y327" s="132"/>
      <c r="Z327" s="132"/>
      <c r="AA327" s="262"/>
      <c r="AB327" s="51"/>
      <c r="AC327" s="31"/>
      <c r="AD327" s="33"/>
      <c r="AE327" s="25"/>
      <c r="AF327" s="25"/>
      <c r="AG327" s="25"/>
      <c r="AH327" s="25"/>
      <c r="AI327" s="25"/>
      <c r="AJ327" s="116"/>
      <c r="AK327" s="25"/>
    </row>
    <row r="328" spans="1:37" ht="192.75" hidden="1" customHeight="1">
      <c r="B328" s="25" t="s">
        <v>819</v>
      </c>
      <c r="C328" s="25"/>
      <c r="D328" s="24" t="s">
        <v>820</v>
      </c>
      <c r="E328" s="25" t="s">
        <v>53</v>
      </c>
      <c r="F328" s="24" t="s">
        <v>821</v>
      </c>
      <c r="G328" s="51">
        <v>1200000</v>
      </c>
      <c r="H328" s="51">
        <v>1296000</v>
      </c>
      <c r="I328" s="83"/>
      <c r="J328" s="83"/>
      <c r="K328" s="83"/>
      <c r="L328" s="129"/>
      <c r="M328" s="61"/>
      <c r="N328" s="129"/>
      <c r="O328" s="35"/>
      <c r="P328" s="61"/>
      <c r="Q328" s="35"/>
      <c r="R328" s="61"/>
      <c r="S328" s="35"/>
      <c r="T328" s="35"/>
      <c r="U328" s="35"/>
      <c r="V328" s="35"/>
      <c r="W328" s="132"/>
      <c r="X328" s="132"/>
      <c r="Y328" s="132"/>
      <c r="Z328" s="132"/>
      <c r="AA328" s="262"/>
      <c r="AB328" s="51"/>
      <c r="AC328" s="31"/>
      <c r="AD328" s="33"/>
      <c r="AE328" s="25"/>
      <c r="AF328" s="25"/>
      <c r="AG328" s="25"/>
      <c r="AH328" s="25"/>
      <c r="AI328" s="25"/>
      <c r="AJ328" s="116"/>
      <c r="AK328" s="25"/>
    </row>
    <row r="329" spans="1:37" ht="287.25" hidden="1" customHeight="1">
      <c r="B329" s="25" t="s">
        <v>822</v>
      </c>
      <c r="C329" s="25"/>
      <c r="D329" s="24" t="s">
        <v>823</v>
      </c>
      <c r="E329" s="25" t="s">
        <v>53</v>
      </c>
      <c r="F329" s="24" t="s">
        <v>191</v>
      </c>
      <c r="G329" s="51">
        <v>21369599</v>
      </c>
      <c r="H329" s="51">
        <v>23743999</v>
      </c>
      <c r="I329" s="83"/>
      <c r="J329" s="83"/>
      <c r="K329" s="83"/>
      <c r="L329" s="129"/>
      <c r="M329" s="61"/>
      <c r="N329" s="129"/>
      <c r="O329" s="35"/>
      <c r="P329" s="61"/>
      <c r="Q329" s="35"/>
      <c r="R329" s="61"/>
      <c r="S329" s="35"/>
      <c r="T329" s="35"/>
      <c r="U329" s="35"/>
      <c r="V329" s="35"/>
      <c r="W329" s="132"/>
      <c r="X329" s="132"/>
      <c r="Y329" s="132"/>
      <c r="Z329" s="132"/>
      <c r="AA329" s="262"/>
      <c r="AB329" s="51">
        <v>23743999</v>
      </c>
      <c r="AC329" s="31"/>
      <c r="AD329" s="33"/>
      <c r="AE329" s="25"/>
      <c r="AF329" s="25"/>
      <c r="AG329" s="25"/>
      <c r="AH329" s="25"/>
      <c r="AI329" s="25"/>
      <c r="AJ329" s="116"/>
      <c r="AK329" s="25"/>
    </row>
    <row r="330" spans="1:37" ht="286.5" hidden="1" customHeight="1">
      <c r="B330" s="25" t="s">
        <v>824</v>
      </c>
      <c r="C330" s="25"/>
      <c r="D330" s="24" t="s">
        <v>825</v>
      </c>
      <c r="E330" s="25" t="s">
        <v>53</v>
      </c>
      <c r="F330" s="24" t="s">
        <v>230</v>
      </c>
      <c r="G330" s="51">
        <v>5400000</v>
      </c>
      <c r="H330" s="51">
        <v>5940000</v>
      </c>
      <c r="I330" s="83"/>
      <c r="J330" s="83"/>
      <c r="K330" s="83"/>
      <c r="L330" s="129"/>
      <c r="M330" s="61"/>
      <c r="N330" s="129"/>
      <c r="O330" s="35"/>
      <c r="P330" s="61"/>
      <c r="Q330" s="35"/>
      <c r="R330" s="61"/>
      <c r="S330" s="35"/>
      <c r="T330" s="35"/>
      <c r="U330" s="35"/>
      <c r="V330" s="35"/>
      <c r="W330" s="132"/>
      <c r="X330" s="132"/>
      <c r="Y330" s="132"/>
      <c r="Z330" s="132"/>
      <c r="AA330" s="262"/>
      <c r="AB330" s="51"/>
      <c r="AC330" s="31"/>
      <c r="AD330" s="33"/>
      <c r="AE330" s="25"/>
      <c r="AF330" s="25"/>
      <c r="AG330" s="25"/>
      <c r="AH330" s="25"/>
      <c r="AI330" s="25"/>
      <c r="AJ330" s="116"/>
      <c r="AK330" s="25"/>
    </row>
    <row r="331" spans="1:37" ht="192.75" hidden="1" customHeight="1">
      <c r="B331" s="25" t="s">
        <v>826</v>
      </c>
      <c r="C331" s="25"/>
      <c r="D331" s="24" t="s">
        <v>827</v>
      </c>
      <c r="E331" s="25" t="s">
        <v>53</v>
      </c>
      <c r="F331" s="24" t="s">
        <v>107</v>
      </c>
      <c r="G331" s="51">
        <v>1178100</v>
      </c>
      <c r="H331" s="51">
        <v>1309000</v>
      </c>
      <c r="I331" s="83"/>
      <c r="J331" s="83"/>
      <c r="K331" s="83"/>
      <c r="L331" s="129"/>
      <c r="M331" s="61"/>
      <c r="N331" s="129"/>
      <c r="O331" s="35"/>
      <c r="P331" s="61"/>
      <c r="Q331" s="35"/>
      <c r="R331" s="61"/>
      <c r="S331" s="35"/>
      <c r="T331" s="35"/>
      <c r="U331" s="35"/>
      <c r="V331" s="35"/>
      <c r="W331" s="132"/>
      <c r="X331" s="132"/>
      <c r="Y331" s="132"/>
      <c r="Z331" s="132"/>
      <c r="AA331" s="262"/>
      <c r="AB331" s="51">
        <v>1309000</v>
      </c>
      <c r="AC331" s="31"/>
      <c r="AD331" s="33"/>
      <c r="AE331" s="25"/>
      <c r="AF331" s="25"/>
      <c r="AG331" s="25"/>
      <c r="AH331" s="25"/>
      <c r="AI331" s="25"/>
      <c r="AJ331" s="116"/>
      <c r="AK331" s="25"/>
    </row>
    <row r="332" spans="1:37" ht="192.75" hidden="1" customHeight="1">
      <c r="B332" s="25" t="s">
        <v>828</v>
      </c>
      <c r="C332" s="25"/>
      <c r="D332" s="24" t="s">
        <v>829</v>
      </c>
      <c r="E332" s="25" t="s">
        <v>31</v>
      </c>
      <c r="F332" s="24" t="s">
        <v>64</v>
      </c>
      <c r="G332" s="29">
        <v>70</v>
      </c>
      <c r="H332" s="29">
        <v>77</v>
      </c>
      <c r="I332" s="83"/>
      <c r="J332" s="83"/>
      <c r="K332" s="83"/>
      <c r="L332" s="129"/>
      <c r="M332" s="61"/>
      <c r="N332" s="129"/>
      <c r="O332" s="35"/>
      <c r="P332" s="61"/>
      <c r="Q332" s="35"/>
      <c r="R332" s="61"/>
      <c r="S332" s="35"/>
      <c r="T332" s="35"/>
      <c r="U332" s="35"/>
      <c r="V332" s="35"/>
      <c r="W332" s="132"/>
      <c r="X332" s="132"/>
      <c r="Y332" s="132"/>
      <c r="Z332" s="132"/>
      <c r="AA332" s="262"/>
      <c r="AB332" s="51"/>
      <c r="AC332" s="31"/>
      <c r="AD332" s="33"/>
      <c r="AE332" s="25"/>
      <c r="AF332" s="25"/>
      <c r="AG332" s="25"/>
      <c r="AH332" s="25"/>
      <c r="AI332" s="25"/>
      <c r="AJ332" s="116"/>
      <c r="AK332" s="25"/>
    </row>
    <row r="333" spans="1:37" ht="192.75" hidden="1" customHeight="1">
      <c r="B333" s="25" t="s">
        <v>830</v>
      </c>
      <c r="C333" s="25"/>
      <c r="D333" s="24" t="s">
        <v>831</v>
      </c>
      <c r="E333" s="25" t="s">
        <v>31</v>
      </c>
      <c r="F333" s="24" t="s">
        <v>67</v>
      </c>
      <c r="G333" s="29">
        <v>10</v>
      </c>
      <c r="H333" s="29">
        <v>10</v>
      </c>
      <c r="I333" s="83"/>
      <c r="J333" s="83"/>
      <c r="K333" s="83"/>
      <c r="L333" s="129"/>
      <c r="M333" s="61"/>
      <c r="N333" s="129"/>
      <c r="O333" s="35"/>
      <c r="P333" s="61"/>
      <c r="Q333" s="35"/>
      <c r="R333" s="61"/>
      <c r="S333" s="35"/>
      <c r="T333" s="35"/>
      <c r="U333" s="35"/>
      <c r="V333" s="35"/>
      <c r="W333" s="132"/>
      <c r="X333" s="132"/>
      <c r="Y333" s="132"/>
      <c r="Z333" s="132"/>
      <c r="AA333" s="262"/>
      <c r="AB333" s="51"/>
      <c r="AC333" s="31"/>
      <c r="AD333" s="33"/>
      <c r="AE333" s="25"/>
      <c r="AF333" s="25"/>
      <c r="AG333" s="25"/>
      <c r="AH333" s="25"/>
      <c r="AI333" s="25"/>
      <c r="AJ333" s="116"/>
      <c r="AK333" s="25"/>
    </row>
    <row r="334" spans="1:37" ht="243" hidden="1" customHeight="1">
      <c r="B334" s="25" t="s">
        <v>832</v>
      </c>
      <c r="C334" s="25"/>
      <c r="D334" s="24" t="s">
        <v>833</v>
      </c>
      <c r="E334" s="25" t="s">
        <v>31</v>
      </c>
      <c r="F334" s="24" t="s">
        <v>509</v>
      </c>
      <c r="G334" s="29">
        <v>2800</v>
      </c>
      <c r="H334" s="29">
        <v>3080</v>
      </c>
      <c r="I334" s="83"/>
      <c r="J334" s="83"/>
      <c r="K334" s="83"/>
      <c r="L334" s="129"/>
      <c r="M334" s="61"/>
      <c r="N334" s="129"/>
      <c r="O334" s="35"/>
      <c r="P334" s="61"/>
      <c r="Q334" s="35"/>
      <c r="R334" s="61"/>
      <c r="S334" s="35"/>
      <c r="T334" s="35"/>
      <c r="U334" s="35"/>
      <c r="V334" s="35"/>
      <c r="W334" s="132"/>
      <c r="X334" s="132"/>
      <c r="Y334" s="132"/>
      <c r="Z334" s="132"/>
      <c r="AA334" s="262"/>
      <c r="AB334" s="51"/>
      <c r="AC334" s="31"/>
      <c r="AD334" s="33"/>
      <c r="AE334" s="25"/>
      <c r="AF334" s="25"/>
      <c r="AG334" s="25"/>
      <c r="AH334" s="25"/>
      <c r="AI334" s="25"/>
      <c r="AJ334" s="116"/>
      <c r="AK334" s="25"/>
    </row>
    <row r="335" spans="1:37" ht="192.75" hidden="1" customHeight="1">
      <c r="B335" s="25" t="s">
        <v>834</v>
      </c>
      <c r="C335" s="25"/>
      <c r="D335" s="24" t="s">
        <v>835</v>
      </c>
      <c r="E335" s="25" t="s">
        <v>31</v>
      </c>
      <c r="F335" s="24" t="s">
        <v>836</v>
      </c>
      <c r="G335" s="29">
        <v>6945.75</v>
      </c>
      <c r="H335" s="29">
        <v>6945.75</v>
      </c>
      <c r="I335" s="83"/>
      <c r="J335" s="83"/>
      <c r="K335" s="83"/>
      <c r="L335" s="129"/>
      <c r="M335" s="61"/>
      <c r="N335" s="129"/>
      <c r="O335" s="35"/>
      <c r="P335" s="61"/>
      <c r="Q335" s="35"/>
      <c r="R335" s="61"/>
      <c r="S335" s="35"/>
      <c r="T335" s="35"/>
      <c r="U335" s="35"/>
      <c r="V335" s="35"/>
      <c r="W335" s="132"/>
      <c r="X335" s="132"/>
      <c r="Y335" s="132"/>
      <c r="Z335" s="132"/>
      <c r="AA335" s="262"/>
      <c r="AB335" s="51"/>
      <c r="AC335" s="31"/>
      <c r="AD335" s="33"/>
      <c r="AE335" s="25"/>
      <c r="AF335" s="25"/>
      <c r="AG335" s="25"/>
      <c r="AH335" s="25"/>
      <c r="AI335" s="25"/>
      <c r="AJ335" s="116"/>
      <c r="AK335" s="25"/>
    </row>
    <row r="336" spans="1:37" ht="192.75" hidden="1" customHeight="1">
      <c r="B336" s="25" t="s">
        <v>837</v>
      </c>
      <c r="C336" s="25"/>
      <c r="D336" s="24" t="s">
        <v>838</v>
      </c>
      <c r="E336" s="25" t="s">
        <v>53</v>
      </c>
      <c r="F336" s="24" t="s">
        <v>839</v>
      </c>
      <c r="G336" s="51">
        <v>500000</v>
      </c>
      <c r="H336" s="51">
        <v>550000</v>
      </c>
      <c r="I336" s="83"/>
      <c r="J336" s="83"/>
      <c r="K336" s="83"/>
      <c r="L336" s="129"/>
      <c r="M336" s="61"/>
      <c r="N336" s="129"/>
      <c r="O336" s="35"/>
      <c r="P336" s="61"/>
      <c r="Q336" s="35"/>
      <c r="R336" s="61"/>
      <c r="S336" s="35"/>
      <c r="T336" s="35"/>
      <c r="U336" s="35"/>
      <c r="V336" s="35"/>
      <c r="W336" s="132"/>
      <c r="X336" s="132"/>
      <c r="Y336" s="132"/>
      <c r="Z336" s="132"/>
      <c r="AA336" s="262"/>
      <c r="AB336" s="51">
        <v>550000</v>
      </c>
      <c r="AC336" s="31"/>
      <c r="AD336" s="33"/>
      <c r="AE336" s="25"/>
      <c r="AF336" s="25"/>
      <c r="AG336" s="25"/>
      <c r="AH336" s="25"/>
      <c r="AI336" s="25"/>
      <c r="AJ336" s="116"/>
      <c r="AK336" s="25"/>
    </row>
    <row r="337" spans="1:37" ht="192.75" hidden="1" customHeight="1">
      <c r="B337" s="25" t="s">
        <v>840</v>
      </c>
      <c r="C337" s="25"/>
      <c r="D337" s="24" t="s">
        <v>841</v>
      </c>
      <c r="E337" s="25" t="s">
        <v>53</v>
      </c>
      <c r="F337" s="24" t="s">
        <v>842</v>
      </c>
      <c r="G337" s="51">
        <v>435600000</v>
      </c>
      <c r="H337" s="51">
        <v>435600000</v>
      </c>
      <c r="I337" s="83"/>
      <c r="J337" s="83"/>
      <c r="K337" s="83"/>
      <c r="L337" s="129"/>
      <c r="M337" s="61"/>
      <c r="N337" s="129"/>
      <c r="O337" s="35"/>
      <c r="P337" s="61"/>
      <c r="Q337" s="35"/>
      <c r="R337" s="61"/>
      <c r="S337" s="35"/>
      <c r="T337" s="35"/>
      <c r="U337" s="35"/>
      <c r="V337" s="35"/>
      <c r="W337" s="132"/>
      <c r="X337" s="132"/>
      <c r="Y337" s="132"/>
      <c r="Z337" s="132"/>
      <c r="AA337" s="262"/>
      <c r="AB337" s="51">
        <v>435600000</v>
      </c>
      <c r="AC337" s="31" t="s">
        <v>34</v>
      </c>
      <c r="AD337" s="33">
        <v>45980</v>
      </c>
      <c r="AE337" s="25" t="s">
        <v>33</v>
      </c>
      <c r="AF337" s="25"/>
      <c r="AG337" s="25"/>
      <c r="AH337" s="25"/>
      <c r="AI337" s="25"/>
      <c r="AJ337" s="116"/>
      <c r="AK337" s="25"/>
    </row>
    <row r="338" spans="1:37" ht="192.75" hidden="1" customHeight="1">
      <c r="B338" s="25" t="s">
        <v>843</v>
      </c>
      <c r="C338" s="25"/>
      <c r="D338" s="24" t="s">
        <v>844</v>
      </c>
      <c r="E338" s="25" t="s">
        <v>53</v>
      </c>
      <c r="F338" s="24" t="s">
        <v>842</v>
      </c>
      <c r="G338" s="51">
        <v>106286400</v>
      </c>
      <c r="H338" s="51">
        <v>106286400</v>
      </c>
      <c r="I338" s="83"/>
      <c r="J338" s="83"/>
      <c r="K338" s="83"/>
      <c r="L338" s="129"/>
      <c r="M338" s="61"/>
      <c r="N338" s="129"/>
      <c r="O338" s="35"/>
      <c r="P338" s="61"/>
      <c r="Q338" s="35"/>
      <c r="R338" s="61"/>
      <c r="S338" s="35"/>
      <c r="T338" s="35"/>
      <c r="U338" s="35"/>
      <c r="V338" s="35"/>
      <c r="W338" s="132"/>
      <c r="X338" s="132"/>
      <c r="Y338" s="132"/>
      <c r="Z338" s="132"/>
      <c r="AA338" s="262"/>
      <c r="AB338" s="51">
        <v>106286400</v>
      </c>
      <c r="AC338" s="31" t="s">
        <v>34</v>
      </c>
      <c r="AD338" s="33">
        <v>45980</v>
      </c>
      <c r="AE338" s="25" t="s">
        <v>33</v>
      </c>
      <c r="AF338" s="25"/>
      <c r="AG338" s="25"/>
      <c r="AH338" s="25"/>
      <c r="AI338" s="25"/>
      <c r="AJ338" s="116"/>
      <c r="AK338" s="25"/>
    </row>
    <row r="339" spans="1:37" ht="192.75" hidden="1" customHeight="1">
      <c r="B339" s="54" t="s">
        <v>845</v>
      </c>
      <c r="C339" s="25"/>
      <c r="D339" s="24" t="s">
        <v>846</v>
      </c>
      <c r="E339" s="25" t="s">
        <v>53</v>
      </c>
      <c r="F339" s="24" t="s">
        <v>58</v>
      </c>
      <c r="G339" s="51">
        <v>6320000</v>
      </c>
      <c r="H339" s="51">
        <v>6825600</v>
      </c>
      <c r="I339" s="83"/>
      <c r="J339" s="83"/>
      <c r="K339" s="83"/>
      <c r="L339" s="129"/>
      <c r="M339" s="61"/>
      <c r="N339" s="129"/>
      <c r="O339" s="35"/>
      <c r="P339" s="61"/>
      <c r="Q339" s="35"/>
      <c r="R339" s="61"/>
      <c r="S339" s="35"/>
      <c r="T339" s="35"/>
      <c r="U339" s="35"/>
      <c r="V339" s="35"/>
      <c r="W339" s="132"/>
      <c r="X339" s="132"/>
      <c r="Y339" s="132"/>
      <c r="Z339" s="132"/>
      <c r="AA339" s="262"/>
      <c r="AB339" s="51">
        <v>6825600</v>
      </c>
      <c r="AC339" s="31" t="s">
        <v>34</v>
      </c>
      <c r="AD339" s="33">
        <v>46010</v>
      </c>
      <c r="AE339" s="25" t="s">
        <v>33</v>
      </c>
      <c r="AF339" s="25"/>
      <c r="AG339" s="25"/>
      <c r="AH339" s="25"/>
      <c r="AI339" s="25"/>
      <c r="AJ339" s="116"/>
      <c r="AK339" s="25"/>
    </row>
    <row r="340" spans="1:37" ht="192.75" hidden="1" customHeight="1">
      <c r="B340" s="54" t="s">
        <v>847</v>
      </c>
      <c r="C340" s="25"/>
      <c r="D340" s="24" t="s">
        <v>848</v>
      </c>
      <c r="E340" s="25" t="s">
        <v>53</v>
      </c>
      <c r="F340" s="24" t="s">
        <v>58</v>
      </c>
      <c r="G340" s="51">
        <v>13500000</v>
      </c>
      <c r="H340" s="51">
        <v>14580000</v>
      </c>
      <c r="I340" s="83"/>
      <c r="J340" s="83"/>
      <c r="K340" s="83"/>
      <c r="L340" s="129"/>
      <c r="M340" s="61"/>
      <c r="N340" s="129"/>
      <c r="O340" s="35"/>
      <c r="P340" s="61"/>
      <c r="Q340" s="35"/>
      <c r="R340" s="61"/>
      <c r="S340" s="35"/>
      <c r="T340" s="35"/>
      <c r="U340" s="35"/>
      <c r="V340" s="35"/>
      <c r="W340" s="132"/>
      <c r="X340" s="132"/>
      <c r="Y340" s="132"/>
      <c r="Z340" s="132"/>
      <c r="AA340" s="262"/>
      <c r="AB340" s="51">
        <v>14580000</v>
      </c>
      <c r="AC340" s="31" t="s">
        <v>34</v>
      </c>
      <c r="AD340" s="33">
        <v>46010</v>
      </c>
      <c r="AE340" s="25" t="s">
        <v>33</v>
      </c>
      <c r="AF340" s="25"/>
      <c r="AG340" s="25"/>
      <c r="AH340" s="25"/>
      <c r="AI340" s="25"/>
      <c r="AJ340" s="116"/>
      <c r="AK340" s="25"/>
    </row>
    <row r="341" spans="1:37" ht="192.75" hidden="1" customHeight="1">
      <c r="B341" s="54" t="s">
        <v>849</v>
      </c>
      <c r="C341" s="25"/>
      <c r="D341" s="24" t="s">
        <v>850</v>
      </c>
      <c r="E341" s="25" t="s">
        <v>53</v>
      </c>
      <c r="F341" s="24" t="s">
        <v>58</v>
      </c>
      <c r="G341" s="51">
        <v>1650000</v>
      </c>
      <c r="H341" s="51">
        <v>1815000</v>
      </c>
      <c r="I341" s="83"/>
      <c r="J341" s="83"/>
      <c r="K341" s="83"/>
      <c r="L341" s="129"/>
      <c r="M341" s="61"/>
      <c r="N341" s="129"/>
      <c r="O341" s="35"/>
      <c r="P341" s="61"/>
      <c r="Q341" s="35"/>
      <c r="R341" s="61"/>
      <c r="S341" s="35"/>
      <c r="T341" s="35"/>
      <c r="U341" s="35"/>
      <c r="V341" s="35"/>
      <c r="W341" s="132"/>
      <c r="X341" s="132"/>
      <c r="Y341" s="132"/>
      <c r="Z341" s="132"/>
      <c r="AA341" s="262"/>
      <c r="AB341" s="51">
        <v>1815000</v>
      </c>
      <c r="AC341" s="31" t="s">
        <v>34</v>
      </c>
      <c r="AD341" s="33">
        <v>46010</v>
      </c>
      <c r="AE341" s="25" t="s">
        <v>33</v>
      </c>
      <c r="AF341" s="25"/>
      <c r="AG341" s="25"/>
      <c r="AH341" s="25"/>
      <c r="AI341" s="25"/>
      <c r="AJ341" s="116"/>
      <c r="AK341" s="25"/>
    </row>
    <row r="342" spans="1:37" ht="192.75" hidden="1" customHeight="1">
      <c r="B342" s="54" t="s">
        <v>851</v>
      </c>
      <c r="C342" s="25"/>
      <c r="D342" s="24" t="s">
        <v>852</v>
      </c>
      <c r="E342" s="25" t="s">
        <v>53</v>
      </c>
      <c r="F342" s="24" t="s">
        <v>58</v>
      </c>
      <c r="G342" s="51">
        <v>360000</v>
      </c>
      <c r="H342" s="51">
        <v>388800</v>
      </c>
      <c r="I342" s="83"/>
      <c r="J342" s="83"/>
      <c r="K342" s="83"/>
      <c r="L342" s="129"/>
      <c r="M342" s="61"/>
      <c r="N342" s="129"/>
      <c r="O342" s="35"/>
      <c r="P342" s="61"/>
      <c r="Q342" s="35"/>
      <c r="R342" s="61"/>
      <c r="S342" s="35"/>
      <c r="T342" s="35"/>
      <c r="U342" s="35"/>
      <c r="V342" s="35"/>
      <c r="W342" s="132"/>
      <c r="X342" s="132"/>
      <c r="Y342" s="132"/>
      <c r="Z342" s="132"/>
      <c r="AA342" s="262"/>
      <c r="AB342" s="51">
        <f>H342</f>
        <v>388800</v>
      </c>
      <c r="AC342" s="31" t="s">
        <v>34</v>
      </c>
      <c r="AD342" s="33"/>
      <c r="AE342" s="25" t="s">
        <v>33</v>
      </c>
      <c r="AF342" s="25"/>
      <c r="AG342" s="25"/>
      <c r="AH342" s="25"/>
      <c r="AI342" s="25"/>
      <c r="AJ342" s="116"/>
      <c r="AK342" s="25"/>
    </row>
    <row r="343" spans="1:37" ht="192.75" hidden="1" customHeight="1">
      <c r="B343" s="54" t="s">
        <v>853</v>
      </c>
      <c r="C343" s="28"/>
      <c r="D343" s="27" t="s">
        <v>854</v>
      </c>
      <c r="E343" s="28" t="s">
        <v>53</v>
      </c>
      <c r="F343" s="27" t="s">
        <v>58</v>
      </c>
      <c r="G343" s="58">
        <v>1750000</v>
      </c>
      <c r="H343" s="58">
        <v>1890000</v>
      </c>
      <c r="I343" s="82"/>
      <c r="J343" s="82"/>
      <c r="K343" s="82"/>
      <c r="L343" s="138"/>
      <c r="M343" s="79"/>
      <c r="N343" s="138"/>
      <c r="O343" s="80"/>
      <c r="P343" s="79"/>
      <c r="Q343" s="80"/>
      <c r="R343" s="79"/>
      <c r="S343" s="80"/>
      <c r="T343" s="80"/>
      <c r="U343" s="80"/>
      <c r="V343" s="80"/>
      <c r="W343" s="141"/>
      <c r="X343" s="141"/>
      <c r="Y343" s="141"/>
      <c r="Z343" s="141"/>
      <c r="AA343" s="273"/>
      <c r="AB343" s="58"/>
      <c r="AC343" s="54"/>
      <c r="AD343" s="55"/>
      <c r="AE343" s="28"/>
      <c r="AF343" s="28"/>
      <c r="AG343" s="28"/>
      <c r="AH343" s="28"/>
      <c r="AI343" s="28"/>
      <c r="AJ343" s="128"/>
      <c r="AK343" s="28"/>
    </row>
    <row r="344" spans="1:37" ht="192.75" hidden="1" customHeight="1">
      <c r="A344" s="25"/>
      <c r="B344" s="54" t="s">
        <v>855</v>
      </c>
      <c r="C344" s="25"/>
      <c r="D344" s="24" t="s">
        <v>856</v>
      </c>
      <c r="E344" s="28" t="s">
        <v>53</v>
      </c>
      <c r="F344" s="27" t="s">
        <v>58</v>
      </c>
      <c r="G344" s="51">
        <v>1650000</v>
      </c>
      <c r="H344" s="51">
        <v>1815000</v>
      </c>
      <c r="I344" s="83"/>
      <c r="J344" s="83"/>
      <c r="K344" s="83"/>
      <c r="L344" s="129"/>
      <c r="M344" s="61"/>
      <c r="N344" s="129"/>
      <c r="O344" s="35"/>
      <c r="P344" s="61"/>
      <c r="Q344" s="35"/>
      <c r="R344" s="61"/>
      <c r="S344" s="35"/>
      <c r="T344" s="35"/>
      <c r="U344" s="35"/>
      <c r="V344" s="35"/>
      <c r="W344" s="132"/>
      <c r="X344" s="132"/>
      <c r="Y344" s="132"/>
      <c r="Z344" s="132"/>
      <c r="AA344" s="262"/>
      <c r="AB344" s="51"/>
      <c r="AC344" s="25"/>
      <c r="AD344" s="33"/>
      <c r="AE344" s="25"/>
      <c r="AF344" s="25"/>
      <c r="AG344" s="25"/>
      <c r="AH344" s="25"/>
      <c r="AI344" s="25"/>
      <c r="AJ344" s="116"/>
      <c r="AK344" s="25"/>
    </row>
    <row r="345" spans="1:37" ht="192.75" hidden="1" customHeight="1">
      <c r="A345" s="25"/>
      <c r="B345" s="54" t="s">
        <v>857</v>
      </c>
      <c r="C345" s="25"/>
      <c r="D345" s="24" t="s">
        <v>858</v>
      </c>
      <c r="E345" s="28" t="s">
        <v>53</v>
      </c>
      <c r="F345" s="27" t="s">
        <v>58</v>
      </c>
      <c r="G345" s="51">
        <v>590000</v>
      </c>
      <c r="H345" s="51">
        <v>637200</v>
      </c>
      <c r="I345" s="83"/>
      <c r="J345" s="83"/>
      <c r="K345" s="83"/>
      <c r="L345" s="129"/>
      <c r="M345" s="61"/>
      <c r="N345" s="129"/>
      <c r="O345" s="35"/>
      <c r="P345" s="61"/>
      <c r="Q345" s="35"/>
      <c r="R345" s="61"/>
      <c r="S345" s="35"/>
      <c r="T345" s="35"/>
      <c r="U345" s="35"/>
      <c r="V345" s="35"/>
      <c r="W345" s="132"/>
      <c r="X345" s="132"/>
      <c r="Y345" s="132"/>
      <c r="Z345" s="132"/>
      <c r="AA345" s="262"/>
      <c r="AB345" s="51">
        <f>H345</f>
        <v>637200</v>
      </c>
      <c r="AC345" s="31" t="s">
        <v>34</v>
      </c>
      <c r="AD345" s="33"/>
      <c r="AE345" s="25" t="s">
        <v>33</v>
      </c>
      <c r="AF345" s="25"/>
      <c r="AG345" s="25"/>
      <c r="AH345" s="25"/>
      <c r="AI345" s="25"/>
      <c r="AJ345" s="116"/>
      <c r="AK345" s="25"/>
    </row>
    <row r="346" spans="1:37" ht="192.75" hidden="1" customHeight="1">
      <c r="A346" s="28"/>
      <c r="B346" s="54" t="s">
        <v>859</v>
      </c>
      <c r="C346" s="25">
        <v>3041169944</v>
      </c>
      <c r="D346" s="27" t="s">
        <v>860</v>
      </c>
      <c r="E346" s="28" t="s">
        <v>53</v>
      </c>
      <c r="F346" s="27" t="s">
        <v>643</v>
      </c>
      <c r="G346" s="296">
        <v>1614.55</v>
      </c>
      <c r="H346" s="58"/>
      <c r="I346" s="82"/>
      <c r="J346" s="82"/>
      <c r="K346" s="82"/>
      <c r="L346" s="138"/>
      <c r="M346" s="79"/>
      <c r="N346" s="138"/>
      <c r="O346" s="80"/>
      <c r="P346" s="79"/>
      <c r="Q346" s="80"/>
      <c r="R346" s="79"/>
      <c r="S346" s="80"/>
      <c r="T346" s="80"/>
      <c r="U346" s="80"/>
      <c r="V346" s="80"/>
      <c r="W346" s="141"/>
      <c r="X346" s="141"/>
      <c r="Y346" s="141"/>
      <c r="Z346" s="141"/>
      <c r="AA346" s="273"/>
      <c r="AB346" s="58"/>
      <c r="AC346" s="28"/>
      <c r="AD346" s="55"/>
      <c r="AE346" s="28"/>
      <c r="AF346" s="28"/>
      <c r="AG346" s="28"/>
      <c r="AH346" s="28"/>
      <c r="AI346" s="28"/>
      <c r="AJ346" s="128"/>
      <c r="AK346" s="28"/>
    </row>
    <row r="347" spans="1:37" ht="192.75" hidden="1" customHeight="1">
      <c r="A347" s="28"/>
      <c r="B347" s="54" t="s">
        <v>861</v>
      </c>
      <c r="C347" s="28">
        <v>3041169943</v>
      </c>
      <c r="D347" s="27" t="s">
        <v>862</v>
      </c>
      <c r="E347" s="28" t="s">
        <v>31</v>
      </c>
      <c r="F347" s="27" t="s">
        <v>643</v>
      </c>
      <c r="G347" s="296">
        <v>1614.55</v>
      </c>
      <c r="H347" s="58"/>
      <c r="I347" s="82"/>
      <c r="J347" s="82"/>
      <c r="K347" s="82"/>
      <c r="L347" s="138"/>
      <c r="M347" s="79"/>
      <c r="N347" s="138"/>
      <c r="O347" s="80"/>
      <c r="P347" s="79"/>
      <c r="Q347" s="80"/>
      <c r="R347" s="79"/>
      <c r="S347" s="80"/>
      <c r="T347" s="80"/>
      <c r="U347" s="80"/>
      <c r="V347" s="80"/>
      <c r="W347" s="141"/>
      <c r="X347" s="141"/>
      <c r="Y347" s="141"/>
      <c r="Z347" s="141"/>
      <c r="AA347" s="273"/>
      <c r="AB347" s="58"/>
      <c r="AC347" s="28"/>
      <c r="AD347" s="55"/>
      <c r="AE347" s="28"/>
      <c r="AF347" s="28"/>
      <c r="AG347" s="28"/>
      <c r="AH347" s="28"/>
      <c r="AI347" s="28"/>
      <c r="AJ347" s="128"/>
      <c r="AK347" s="28"/>
    </row>
    <row r="348" spans="1:37" ht="192.75" hidden="1" customHeight="1">
      <c r="A348" s="25"/>
      <c r="B348" s="54" t="s">
        <v>863</v>
      </c>
      <c r="C348" s="25"/>
      <c r="D348" s="24" t="s">
        <v>864</v>
      </c>
      <c r="E348" s="28" t="s">
        <v>53</v>
      </c>
      <c r="F348" s="24" t="s">
        <v>230</v>
      </c>
      <c r="G348" s="51">
        <v>10920000</v>
      </c>
      <c r="H348" s="51">
        <v>12012000</v>
      </c>
      <c r="I348" s="83"/>
      <c r="J348" s="83"/>
      <c r="K348" s="83"/>
      <c r="L348" s="129"/>
      <c r="M348" s="61"/>
      <c r="N348" s="129"/>
      <c r="O348" s="35"/>
      <c r="P348" s="61"/>
      <c r="Q348" s="35"/>
      <c r="R348" s="61"/>
      <c r="S348" s="35"/>
      <c r="T348" s="35"/>
      <c r="U348" s="35"/>
      <c r="V348" s="35"/>
      <c r="W348" s="132"/>
      <c r="X348" s="132"/>
      <c r="Y348" s="132"/>
      <c r="Z348" s="132"/>
      <c r="AA348" s="262"/>
      <c r="AB348" s="51"/>
      <c r="AC348" s="25"/>
      <c r="AD348" s="33"/>
      <c r="AE348" s="25"/>
      <c r="AF348" s="25"/>
      <c r="AG348" s="25"/>
      <c r="AH348" s="25"/>
      <c r="AI348" s="25"/>
      <c r="AJ348" s="116"/>
      <c r="AK348" s="25"/>
    </row>
    <row r="349" spans="1:37" ht="192.75" hidden="1" customHeight="1">
      <c r="A349" s="25"/>
      <c r="B349" s="54" t="s">
        <v>865</v>
      </c>
      <c r="C349" s="25"/>
      <c r="D349" s="24" t="s">
        <v>866</v>
      </c>
      <c r="E349" s="28" t="s">
        <v>53</v>
      </c>
      <c r="F349" s="24" t="s">
        <v>230</v>
      </c>
      <c r="G349" s="51">
        <v>1800000</v>
      </c>
      <c r="H349" s="51">
        <v>1980000</v>
      </c>
      <c r="I349" s="83"/>
      <c r="J349" s="83"/>
      <c r="K349" s="83"/>
      <c r="L349" s="129"/>
      <c r="M349" s="61"/>
      <c r="N349" s="129"/>
      <c r="O349" s="35"/>
      <c r="P349" s="61"/>
      <c r="Q349" s="35"/>
      <c r="R349" s="61"/>
      <c r="S349" s="35"/>
      <c r="T349" s="35"/>
      <c r="U349" s="35"/>
      <c r="V349" s="35"/>
      <c r="W349" s="132"/>
      <c r="X349" s="132"/>
      <c r="Y349" s="132"/>
      <c r="Z349" s="132"/>
      <c r="AA349" s="262"/>
      <c r="AB349" s="51"/>
      <c r="AC349" s="25"/>
      <c r="AD349" s="33"/>
      <c r="AE349" s="25"/>
      <c r="AF349" s="25"/>
      <c r="AG349" s="25"/>
      <c r="AH349" s="25"/>
      <c r="AI349" s="25"/>
      <c r="AJ349" s="116"/>
      <c r="AK349" s="25"/>
    </row>
    <row r="350" spans="1:37" ht="192.75" hidden="1" customHeight="1">
      <c r="A350" s="28"/>
      <c r="B350" s="54" t="s">
        <v>867</v>
      </c>
      <c r="C350" s="28"/>
      <c r="D350" s="27" t="s">
        <v>868</v>
      </c>
      <c r="E350" s="28" t="s">
        <v>53</v>
      </c>
      <c r="F350" s="27" t="s">
        <v>546</v>
      </c>
      <c r="G350" s="58">
        <v>12000000</v>
      </c>
      <c r="H350" s="58">
        <v>13200000</v>
      </c>
      <c r="I350" s="82"/>
      <c r="J350" s="82"/>
      <c r="K350" s="82"/>
      <c r="L350" s="138"/>
      <c r="M350" s="79"/>
      <c r="N350" s="138"/>
      <c r="O350" s="80"/>
      <c r="P350" s="79"/>
      <c r="Q350" s="80"/>
      <c r="R350" s="79"/>
      <c r="S350" s="80"/>
      <c r="T350" s="80"/>
      <c r="U350" s="80"/>
      <c r="V350" s="80"/>
      <c r="W350" s="141"/>
      <c r="X350" s="141"/>
      <c r="Y350" s="141"/>
      <c r="Z350" s="141"/>
      <c r="AA350" s="273"/>
      <c r="AB350" s="58"/>
      <c r="AC350" s="28"/>
      <c r="AD350" s="55"/>
      <c r="AE350" s="28"/>
      <c r="AF350" s="28"/>
      <c r="AG350" s="28"/>
      <c r="AH350" s="28"/>
      <c r="AI350" s="28"/>
      <c r="AJ350" s="128"/>
      <c r="AK350" s="28"/>
    </row>
    <row r="351" spans="1:37" ht="192.75" hidden="1" customHeight="1">
      <c r="A351" s="25"/>
      <c r="B351" s="54" t="s">
        <v>869</v>
      </c>
      <c r="C351" s="25"/>
      <c r="D351" s="24" t="s">
        <v>870</v>
      </c>
      <c r="E351" s="28" t="s">
        <v>53</v>
      </c>
      <c r="F351" s="24" t="s">
        <v>211</v>
      </c>
      <c r="G351" s="51">
        <v>21000000</v>
      </c>
      <c r="H351" s="51">
        <v>22680000</v>
      </c>
      <c r="I351" s="83"/>
      <c r="J351" s="83"/>
      <c r="K351" s="83"/>
      <c r="L351" s="129"/>
      <c r="M351" s="61"/>
      <c r="N351" s="129"/>
      <c r="O351" s="35"/>
      <c r="P351" s="61"/>
      <c r="Q351" s="35"/>
      <c r="R351" s="61"/>
      <c r="S351" s="35"/>
      <c r="T351" s="35"/>
      <c r="U351" s="35"/>
      <c r="V351" s="35"/>
      <c r="W351" s="132"/>
      <c r="X351" s="132"/>
      <c r="Y351" s="132"/>
      <c r="Z351" s="132"/>
      <c r="AA351" s="262"/>
      <c r="AB351" s="51"/>
      <c r="AC351" s="25"/>
      <c r="AD351" s="33"/>
      <c r="AE351" s="25"/>
      <c r="AF351" s="25"/>
      <c r="AG351" s="25"/>
      <c r="AH351" s="25"/>
      <c r="AI351" s="25"/>
      <c r="AJ351" s="116"/>
      <c r="AK351" s="25"/>
    </row>
    <row r="352" spans="1:37" ht="192.75" hidden="1" customHeight="1">
      <c r="A352" s="25"/>
      <c r="B352" s="54" t="s">
        <v>871</v>
      </c>
      <c r="C352" s="25"/>
      <c r="D352" s="24" t="s">
        <v>872</v>
      </c>
      <c r="E352" s="28" t="s">
        <v>53</v>
      </c>
      <c r="F352" s="24" t="s">
        <v>211</v>
      </c>
      <c r="G352" s="51">
        <v>7500000</v>
      </c>
      <c r="H352" s="51">
        <v>8100000</v>
      </c>
      <c r="I352" s="83"/>
      <c r="J352" s="83"/>
      <c r="K352" s="83"/>
      <c r="L352" s="129"/>
      <c r="M352" s="61"/>
      <c r="N352" s="129"/>
      <c r="O352" s="35"/>
      <c r="P352" s="61"/>
      <c r="Q352" s="35"/>
      <c r="R352" s="61"/>
      <c r="S352" s="35"/>
      <c r="T352" s="35"/>
      <c r="U352" s="35"/>
      <c r="V352" s="35"/>
      <c r="W352" s="132"/>
      <c r="X352" s="132"/>
      <c r="Y352" s="132"/>
      <c r="Z352" s="132"/>
      <c r="AA352" s="262"/>
      <c r="AB352" s="51"/>
      <c r="AC352" s="25"/>
      <c r="AD352" s="33"/>
      <c r="AE352" s="25"/>
      <c r="AF352" s="25"/>
      <c r="AG352" s="25"/>
      <c r="AH352" s="25"/>
      <c r="AI352" s="25"/>
      <c r="AJ352" s="116"/>
      <c r="AK352" s="25"/>
    </row>
    <row r="353" spans="1:37" ht="192.75" hidden="1" customHeight="1">
      <c r="A353" s="28"/>
      <c r="B353" s="28" t="s">
        <v>873</v>
      </c>
      <c r="C353" s="28"/>
      <c r="D353" s="27" t="s">
        <v>874</v>
      </c>
      <c r="E353" s="28" t="s">
        <v>875</v>
      </c>
      <c r="F353" s="27" t="s">
        <v>630</v>
      </c>
      <c r="G353" s="296">
        <v>1171.05</v>
      </c>
      <c r="H353" s="296">
        <v>1171.05</v>
      </c>
      <c r="I353" s="82"/>
      <c r="J353" s="82"/>
      <c r="K353" s="82"/>
      <c r="L353" s="138"/>
      <c r="M353" s="79"/>
      <c r="N353" s="138"/>
      <c r="O353" s="80"/>
      <c r="P353" s="79"/>
      <c r="Q353" s="80"/>
      <c r="R353" s="79"/>
      <c r="S353" s="80"/>
      <c r="T353" s="80"/>
      <c r="U353" s="80"/>
      <c r="V353" s="80"/>
      <c r="W353" s="141"/>
      <c r="X353" s="141"/>
      <c r="Y353" s="141"/>
      <c r="Z353" s="141"/>
      <c r="AA353" s="273"/>
      <c r="AB353" s="58"/>
      <c r="AC353" s="28"/>
      <c r="AD353" s="55"/>
      <c r="AE353" s="28"/>
      <c r="AF353" s="28"/>
      <c r="AG353" s="28"/>
      <c r="AH353" s="28"/>
      <c r="AI353" s="28"/>
      <c r="AJ353" s="128"/>
      <c r="AK353" s="28"/>
    </row>
    <row r="354" spans="1:37" ht="192.75" hidden="1" customHeight="1">
      <c r="A354" s="54"/>
      <c r="B354" s="28" t="s">
        <v>876</v>
      </c>
      <c r="C354" s="53"/>
      <c r="D354" s="27" t="s">
        <v>877</v>
      </c>
      <c r="E354" s="28" t="s">
        <v>53</v>
      </c>
      <c r="F354" s="27" t="s">
        <v>768</v>
      </c>
      <c r="G354" s="58">
        <v>138245040</v>
      </c>
      <c r="H354" s="58">
        <v>138245040</v>
      </c>
      <c r="I354" s="82"/>
      <c r="J354" s="82"/>
      <c r="K354" s="82"/>
      <c r="L354" s="138"/>
      <c r="M354" s="79"/>
      <c r="N354" s="138"/>
      <c r="O354" s="80"/>
      <c r="P354" s="79"/>
      <c r="Q354" s="80"/>
      <c r="R354" s="79"/>
      <c r="S354" s="80"/>
      <c r="T354" s="80"/>
      <c r="U354" s="80"/>
      <c r="V354" s="80"/>
      <c r="W354" s="141"/>
      <c r="X354" s="141"/>
      <c r="Y354" s="141"/>
      <c r="Z354" s="141"/>
      <c r="AA354" s="273"/>
      <c r="AB354" s="58"/>
      <c r="AC354" s="28"/>
      <c r="AD354" s="55"/>
      <c r="AE354" s="28"/>
      <c r="AF354" s="28"/>
      <c r="AG354" s="28"/>
      <c r="AH354" s="28"/>
      <c r="AI354" s="28"/>
      <c r="AJ354" s="128"/>
      <c r="AK354" s="28"/>
    </row>
    <row r="355" spans="1:37" ht="192.75" hidden="1" customHeight="1">
      <c r="A355" s="28"/>
      <c r="B355" s="28" t="s">
        <v>878</v>
      </c>
      <c r="C355" s="28"/>
      <c r="D355" s="27" t="s">
        <v>879</v>
      </c>
      <c r="E355" s="28" t="s">
        <v>53</v>
      </c>
      <c r="F355" s="27" t="s">
        <v>58</v>
      </c>
      <c r="G355" s="58">
        <v>18787000</v>
      </c>
      <c r="H355" s="58">
        <v>20289960</v>
      </c>
      <c r="I355" s="82"/>
      <c r="J355" s="82"/>
      <c r="K355" s="82"/>
      <c r="L355" s="138"/>
      <c r="M355" s="79"/>
      <c r="N355" s="138"/>
      <c r="O355" s="80"/>
      <c r="P355" s="79"/>
      <c r="Q355" s="80"/>
      <c r="R355" s="79"/>
      <c r="S355" s="80"/>
      <c r="T355" s="80"/>
      <c r="U355" s="80"/>
      <c r="V355" s="80"/>
      <c r="W355" s="141"/>
      <c r="X355" s="141"/>
      <c r="Y355" s="141"/>
      <c r="Z355" s="141"/>
      <c r="AA355" s="273"/>
      <c r="AB355" s="58"/>
      <c r="AC355" s="28"/>
      <c r="AD355" s="55"/>
      <c r="AE355" s="28"/>
      <c r="AF355" s="28"/>
      <c r="AG355" s="28"/>
      <c r="AH355" s="28"/>
      <c r="AI355" s="28"/>
      <c r="AJ355" s="128"/>
      <c r="AK355" s="28"/>
    </row>
    <row r="356" spans="1:37" ht="192.75" hidden="1" customHeight="1">
      <c r="A356" s="25"/>
      <c r="B356" s="25" t="s">
        <v>880</v>
      </c>
      <c r="C356" s="25"/>
      <c r="D356" s="24" t="s">
        <v>881</v>
      </c>
      <c r="E356" s="28" t="s">
        <v>53</v>
      </c>
      <c r="F356" s="24" t="s">
        <v>191</v>
      </c>
      <c r="G356" s="51">
        <v>2400000</v>
      </c>
      <c r="H356" s="51">
        <v>2640000</v>
      </c>
      <c r="I356" s="83"/>
      <c r="J356" s="83"/>
      <c r="K356" s="83"/>
      <c r="L356" s="129"/>
      <c r="M356" s="61"/>
      <c r="N356" s="129"/>
      <c r="O356" s="35"/>
      <c r="P356" s="61"/>
      <c r="Q356" s="35"/>
      <c r="R356" s="61"/>
      <c r="S356" s="35"/>
      <c r="T356" s="35"/>
      <c r="U356" s="35"/>
      <c r="V356" s="35"/>
      <c r="W356" s="132"/>
      <c r="X356" s="132"/>
      <c r="Y356" s="132"/>
      <c r="Z356" s="132"/>
      <c r="AA356" s="262"/>
      <c r="AB356" s="51">
        <v>2640000</v>
      </c>
      <c r="AC356" s="25"/>
      <c r="AD356" s="33"/>
      <c r="AE356" s="25"/>
      <c r="AF356" s="25"/>
      <c r="AG356" s="25"/>
      <c r="AH356" s="25"/>
      <c r="AI356" s="25"/>
      <c r="AJ356" s="297"/>
      <c r="AK356" s="25"/>
    </row>
    <row r="357" spans="1:37" ht="308.25" hidden="1" customHeight="1">
      <c r="A357" s="25"/>
      <c r="B357" s="25" t="s">
        <v>882</v>
      </c>
      <c r="C357" s="25"/>
      <c r="D357" s="24" t="s">
        <v>883</v>
      </c>
      <c r="E357" s="28" t="s">
        <v>53</v>
      </c>
      <c r="F357" s="24" t="s">
        <v>58</v>
      </c>
      <c r="G357" s="51">
        <v>1840000</v>
      </c>
      <c r="H357" s="51">
        <v>1987200</v>
      </c>
      <c r="I357" s="83"/>
      <c r="J357" s="83"/>
      <c r="K357" s="83"/>
      <c r="L357" s="129"/>
      <c r="M357" s="61"/>
      <c r="N357" s="129"/>
      <c r="O357" s="35"/>
      <c r="P357" s="61"/>
      <c r="Q357" s="35"/>
      <c r="R357" s="61"/>
      <c r="S357" s="35"/>
      <c r="T357" s="35"/>
      <c r="U357" s="35"/>
      <c r="V357" s="35"/>
      <c r="W357" s="132"/>
      <c r="X357" s="132"/>
      <c r="Y357" s="132"/>
      <c r="Z357" s="132"/>
      <c r="AA357" s="262"/>
      <c r="AB357" s="51"/>
      <c r="AC357" s="25"/>
      <c r="AD357" s="33"/>
      <c r="AE357" s="25"/>
      <c r="AF357" s="25"/>
      <c r="AG357" s="25"/>
      <c r="AH357" s="25"/>
      <c r="AI357" s="25"/>
      <c r="AJ357" s="297"/>
      <c r="AK357" s="25"/>
    </row>
    <row r="358" spans="1:37" ht="192.75" hidden="1" customHeight="1">
      <c r="A358" s="28"/>
      <c r="B358" s="28" t="str">
        <f>LEFT(B357,3) &amp; TEXT(VALUE(RIGHT(B357,5)) + 1,"00000")</f>
        <v>ITP00350</v>
      </c>
      <c r="C358" s="28"/>
      <c r="D358" s="27" t="s">
        <v>884</v>
      </c>
      <c r="E358" s="28" t="s">
        <v>53</v>
      </c>
      <c r="F358" s="24" t="s">
        <v>58</v>
      </c>
      <c r="G358" s="58">
        <v>940000</v>
      </c>
      <c r="H358" s="58">
        <v>1015200</v>
      </c>
      <c r="I358" s="82"/>
      <c r="J358" s="82"/>
      <c r="K358" s="82"/>
      <c r="L358" s="138"/>
      <c r="M358" s="79"/>
      <c r="N358" s="138"/>
      <c r="O358" s="80"/>
      <c r="P358" s="79"/>
      <c r="Q358" s="80"/>
      <c r="R358" s="79"/>
      <c r="S358" s="80"/>
      <c r="T358" s="80"/>
      <c r="U358" s="80"/>
      <c r="V358" s="80"/>
      <c r="W358" s="141"/>
      <c r="X358" s="141"/>
      <c r="Y358" s="141"/>
      <c r="Z358" s="141"/>
      <c r="AA358" s="273"/>
      <c r="AB358" s="58"/>
      <c r="AC358" s="28"/>
      <c r="AD358" s="55"/>
      <c r="AE358" s="28"/>
      <c r="AF358" s="28"/>
      <c r="AG358" s="28"/>
      <c r="AH358" s="28"/>
      <c r="AI358" s="28"/>
      <c r="AJ358" s="295"/>
      <c r="AK358" s="28"/>
    </row>
    <row r="359" spans="1:37" ht="192.75" hidden="1" customHeight="1">
      <c r="A359" s="54"/>
      <c r="B359" s="28" t="str">
        <f>LEFT(B358,3) &amp; TEXT(VALUE(RIGHT(B358,5)) + 1,"00000")</f>
        <v>ITP00351</v>
      </c>
      <c r="C359" s="53"/>
      <c r="D359" s="27" t="s">
        <v>668</v>
      </c>
      <c r="E359" s="28" t="s">
        <v>53</v>
      </c>
      <c r="F359" s="24" t="s">
        <v>58</v>
      </c>
      <c r="G359" s="58">
        <v>1400000</v>
      </c>
      <c r="H359" s="58">
        <v>1540000</v>
      </c>
      <c r="I359" s="82"/>
      <c r="J359" s="82"/>
      <c r="K359" s="82"/>
      <c r="L359" s="138"/>
      <c r="M359" s="79"/>
      <c r="N359" s="138"/>
      <c r="O359" s="80"/>
      <c r="P359" s="79"/>
      <c r="Q359" s="80"/>
      <c r="R359" s="79"/>
      <c r="S359" s="80"/>
      <c r="T359" s="80"/>
      <c r="U359" s="80"/>
      <c r="V359" s="80"/>
      <c r="W359" s="141"/>
      <c r="X359" s="141"/>
      <c r="Y359" s="141"/>
      <c r="Z359" s="141"/>
      <c r="AA359" s="273"/>
      <c r="AB359" s="58"/>
      <c r="AC359" s="28"/>
      <c r="AD359" s="55"/>
      <c r="AE359" s="28"/>
      <c r="AF359" s="28"/>
      <c r="AG359" s="28"/>
      <c r="AH359" s="28"/>
      <c r="AI359" s="28"/>
      <c r="AJ359" s="128"/>
      <c r="AK359" s="28"/>
    </row>
    <row r="360" spans="1:37" ht="192.75" hidden="1" customHeight="1">
      <c r="A360" s="28"/>
      <c r="B360" s="28" t="str">
        <f t="shared" ref="B360:B377" si="13">LEFT(B359,3) &amp; TEXT(VALUE(RIGHT(B359,5)) + 1,"00000")</f>
        <v>ITP00352</v>
      </c>
      <c r="C360" s="28"/>
      <c r="D360" s="27" t="s">
        <v>885</v>
      </c>
      <c r="E360" s="28" t="s">
        <v>53</v>
      </c>
      <c r="F360" s="27" t="s">
        <v>195</v>
      </c>
      <c r="G360" s="58">
        <v>820000</v>
      </c>
      <c r="H360" s="58">
        <v>820000</v>
      </c>
      <c r="I360" s="82"/>
      <c r="J360" s="82"/>
      <c r="K360" s="82"/>
      <c r="L360" s="138"/>
      <c r="M360" s="79"/>
      <c r="N360" s="138"/>
      <c r="O360" s="80"/>
      <c r="P360" s="79"/>
      <c r="Q360" s="80"/>
      <c r="R360" s="79"/>
      <c r="S360" s="80"/>
      <c r="T360" s="80"/>
      <c r="U360" s="80"/>
      <c r="V360" s="80"/>
      <c r="W360" s="141"/>
      <c r="X360" s="141"/>
      <c r="Y360" s="141"/>
      <c r="Z360" s="141"/>
      <c r="AA360" s="273"/>
      <c r="AB360" s="58"/>
      <c r="AC360" s="28"/>
      <c r="AD360" s="55"/>
      <c r="AE360" s="28"/>
      <c r="AF360" s="28"/>
      <c r="AG360" s="28"/>
      <c r="AH360" s="28"/>
      <c r="AI360" s="28"/>
      <c r="AJ360" s="128"/>
      <c r="AK360" s="28"/>
    </row>
    <row r="361" spans="1:37" ht="393.75" hidden="1" customHeight="1">
      <c r="A361" s="25"/>
      <c r="B361" s="28" t="str">
        <f t="shared" si="13"/>
        <v>ITP00353</v>
      </c>
      <c r="C361" s="25"/>
      <c r="D361" s="24" t="s">
        <v>886</v>
      </c>
      <c r="E361" s="28" t="s">
        <v>53</v>
      </c>
      <c r="F361" s="24" t="s">
        <v>230</v>
      </c>
      <c r="G361" s="51">
        <v>8400000</v>
      </c>
      <c r="H361" s="51">
        <v>9240000</v>
      </c>
      <c r="I361" s="83"/>
      <c r="J361" s="83"/>
      <c r="K361" s="83"/>
      <c r="L361" s="129"/>
      <c r="M361" s="61"/>
      <c r="N361" s="129"/>
      <c r="O361" s="35"/>
      <c r="P361" s="61"/>
      <c r="Q361" s="35"/>
      <c r="R361" s="61"/>
      <c r="S361" s="35"/>
      <c r="T361" s="35"/>
      <c r="U361" s="35"/>
      <c r="V361" s="35"/>
      <c r="W361" s="132"/>
      <c r="X361" s="132"/>
      <c r="Y361" s="132"/>
      <c r="Z361" s="132"/>
      <c r="AA361" s="262"/>
      <c r="AB361" s="51">
        <f>H361</f>
        <v>9240000</v>
      </c>
      <c r="AC361" s="31" t="s">
        <v>34</v>
      </c>
      <c r="AD361" s="33"/>
      <c r="AE361" s="25" t="s">
        <v>33</v>
      </c>
      <c r="AF361" s="25"/>
      <c r="AG361" s="25"/>
      <c r="AH361" s="25"/>
      <c r="AI361" s="25"/>
      <c r="AJ361" s="116"/>
      <c r="AK361" s="25"/>
    </row>
    <row r="362" spans="1:37" ht="230.25" hidden="1" customHeight="1">
      <c r="A362" s="25"/>
      <c r="B362" s="28" t="str">
        <f t="shared" si="13"/>
        <v>ITP00354</v>
      </c>
      <c r="C362" s="25"/>
      <c r="D362" s="24" t="s">
        <v>887</v>
      </c>
      <c r="E362" s="28" t="s">
        <v>53</v>
      </c>
      <c r="F362" s="24" t="s">
        <v>191</v>
      </c>
      <c r="G362" s="51">
        <v>7053465</v>
      </c>
      <c r="H362" s="51" t="s">
        <v>888</v>
      </c>
      <c r="I362" s="83"/>
      <c r="J362" s="83"/>
      <c r="K362" s="83"/>
      <c r="L362" s="129"/>
      <c r="M362" s="61"/>
      <c r="N362" s="129"/>
      <c r="O362" s="35"/>
      <c r="P362" s="61"/>
      <c r="Q362" s="35"/>
      <c r="R362" s="61"/>
      <c r="S362" s="35"/>
      <c r="T362" s="35"/>
      <c r="U362" s="35"/>
      <c r="V362" s="35"/>
      <c r="W362" s="132"/>
      <c r="X362" s="132"/>
      <c r="Y362" s="132"/>
      <c r="Z362" s="132"/>
      <c r="AA362" s="262"/>
      <c r="AB362" s="51" t="s">
        <v>888</v>
      </c>
      <c r="AC362" s="25"/>
      <c r="AD362" s="33"/>
      <c r="AE362" s="25"/>
      <c r="AF362" s="25"/>
      <c r="AG362" s="25"/>
      <c r="AH362" s="25"/>
      <c r="AI362" s="25"/>
      <c r="AJ362" s="116"/>
      <c r="AK362" s="25"/>
    </row>
    <row r="363" spans="1:37" ht="192.75" hidden="1" customHeight="1">
      <c r="A363" s="25"/>
      <c r="B363" s="28" t="str">
        <f t="shared" si="13"/>
        <v>ITP00355</v>
      </c>
      <c r="C363" s="25"/>
      <c r="D363" s="27" t="s">
        <v>889</v>
      </c>
      <c r="E363" s="25" t="s">
        <v>774</v>
      </c>
      <c r="F363" s="24" t="s">
        <v>32</v>
      </c>
      <c r="G363" s="298">
        <v>415.8</v>
      </c>
      <c r="H363" s="298">
        <v>415.8</v>
      </c>
      <c r="I363" s="83"/>
      <c r="J363" s="83"/>
      <c r="K363" s="83"/>
      <c r="L363" s="129"/>
      <c r="M363" s="61"/>
      <c r="N363" s="129"/>
      <c r="O363" s="35"/>
      <c r="P363" s="61"/>
      <c r="Q363" s="35"/>
      <c r="R363" s="61"/>
      <c r="S363" s="35"/>
      <c r="T363" s="35"/>
      <c r="U363" s="35"/>
      <c r="V363" s="35"/>
      <c r="W363" s="132"/>
      <c r="X363" s="132"/>
      <c r="Y363" s="141"/>
      <c r="Z363" s="141"/>
      <c r="AA363" s="262"/>
      <c r="AB363" s="51"/>
      <c r="AC363" s="25"/>
      <c r="AD363" s="33"/>
      <c r="AE363" s="25"/>
      <c r="AF363" s="25"/>
      <c r="AG363" s="25"/>
      <c r="AH363" s="25"/>
      <c r="AI363" s="25"/>
      <c r="AJ363" s="116"/>
      <c r="AK363" s="25"/>
    </row>
    <row r="364" spans="1:37" ht="192.75" hidden="1" customHeight="1">
      <c r="A364" s="25"/>
      <c r="B364" s="28" t="str">
        <f t="shared" si="13"/>
        <v>ITP00356</v>
      </c>
      <c r="C364" s="31"/>
      <c r="D364" s="24" t="s">
        <v>890</v>
      </c>
      <c r="E364" s="53" t="s">
        <v>53</v>
      </c>
      <c r="F364" s="24" t="s">
        <v>58</v>
      </c>
      <c r="G364" s="51">
        <v>56700000</v>
      </c>
      <c r="H364" s="51">
        <v>61236000</v>
      </c>
      <c r="I364" s="83"/>
      <c r="J364" s="83"/>
      <c r="K364" s="83"/>
      <c r="L364" s="129"/>
      <c r="M364" s="61"/>
      <c r="N364" s="129"/>
      <c r="O364" s="35"/>
      <c r="P364" s="61"/>
      <c r="Q364" s="35"/>
      <c r="R364" s="61"/>
      <c r="S364" s="35"/>
      <c r="T364" s="35"/>
      <c r="U364" s="35"/>
      <c r="V364" s="35"/>
      <c r="W364" s="132"/>
      <c r="X364" s="232"/>
      <c r="Y364" s="33"/>
      <c r="Z364" s="33"/>
      <c r="AA364" s="236"/>
      <c r="AB364" s="51"/>
      <c r="AC364" s="25"/>
      <c r="AD364" s="33"/>
      <c r="AE364" s="25"/>
      <c r="AF364" s="25"/>
      <c r="AG364" s="25"/>
      <c r="AH364" s="25"/>
      <c r="AI364" s="25"/>
      <c r="AJ364" s="116"/>
      <c r="AK364" s="25"/>
    </row>
    <row r="365" spans="1:37" ht="192.75" hidden="1" customHeight="1">
      <c r="A365" s="25"/>
      <c r="B365" s="28" t="str">
        <f t="shared" si="13"/>
        <v>ITP00357</v>
      </c>
      <c r="C365" s="31"/>
      <c r="D365" s="24" t="s">
        <v>891</v>
      </c>
      <c r="E365" s="53" t="s">
        <v>53</v>
      </c>
      <c r="F365" s="24" t="s">
        <v>58</v>
      </c>
      <c r="G365" s="51">
        <v>70730000</v>
      </c>
      <c r="H365" s="51">
        <v>76388400</v>
      </c>
      <c r="I365" s="83"/>
      <c r="J365" s="83"/>
      <c r="K365" s="83"/>
      <c r="L365" s="129"/>
      <c r="M365" s="61"/>
      <c r="N365" s="129"/>
      <c r="O365" s="35"/>
      <c r="P365" s="61"/>
      <c r="Q365" s="35"/>
      <c r="R365" s="61"/>
      <c r="S365" s="35"/>
      <c r="T365" s="35"/>
      <c r="U365" s="35"/>
      <c r="V365" s="35"/>
      <c r="W365" s="132"/>
      <c r="X365" s="132"/>
      <c r="Y365" s="271"/>
      <c r="Z365" s="271"/>
      <c r="AA365" s="262"/>
      <c r="AB365" s="51"/>
      <c r="AC365" s="51"/>
      <c r="AD365" s="31"/>
      <c r="AE365" s="33"/>
      <c r="AF365" s="25"/>
      <c r="AG365" s="25"/>
      <c r="AH365" s="25"/>
      <c r="AI365" s="25"/>
      <c r="AJ365" s="116"/>
      <c r="AK365" s="25"/>
    </row>
    <row r="366" spans="1:37" ht="250.5" hidden="1" customHeight="1">
      <c r="A366" s="25"/>
      <c r="B366" s="28" t="str">
        <f t="shared" si="13"/>
        <v>ITP00358</v>
      </c>
      <c r="C366" s="25"/>
      <c r="D366" s="48" t="s">
        <v>892</v>
      </c>
      <c r="E366" s="28" t="s">
        <v>53</v>
      </c>
      <c r="F366" s="24" t="s">
        <v>191</v>
      </c>
      <c r="G366" s="51">
        <v>10434800</v>
      </c>
      <c r="H366" s="51">
        <v>10434800</v>
      </c>
      <c r="I366" s="83"/>
      <c r="J366" s="83"/>
      <c r="K366" s="83"/>
      <c r="L366" s="129"/>
      <c r="M366" s="61"/>
      <c r="N366" s="129"/>
      <c r="O366" s="35"/>
      <c r="P366" s="61"/>
      <c r="Q366" s="35"/>
      <c r="R366" s="61"/>
      <c r="S366" s="35"/>
      <c r="T366" s="35"/>
      <c r="U366" s="35"/>
      <c r="V366" s="35"/>
      <c r="W366" s="132"/>
      <c r="X366" s="132"/>
      <c r="Y366" s="132"/>
      <c r="Z366" s="132"/>
      <c r="AA366" s="262"/>
      <c r="AB366" s="51">
        <v>10434800</v>
      </c>
      <c r="AC366" s="25">
        <v>10434800</v>
      </c>
      <c r="AD366" s="31" t="s">
        <v>34</v>
      </c>
      <c r="AE366" s="33"/>
      <c r="AF366" s="25" t="s">
        <v>33</v>
      </c>
      <c r="AG366" s="25"/>
      <c r="AH366" s="25"/>
      <c r="AI366" s="25"/>
      <c r="AJ366" s="116"/>
      <c r="AK366" s="25"/>
    </row>
    <row r="367" spans="1:37" ht="192.75" hidden="1" customHeight="1">
      <c r="A367" s="25"/>
      <c r="B367" s="28" t="str">
        <f t="shared" si="13"/>
        <v>ITP00359</v>
      </c>
      <c r="C367" s="25"/>
      <c r="D367" s="24" t="s">
        <v>893</v>
      </c>
      <c r="E367" s="28" t="s">
        <v>53</v>
      </c>
      <c r="F367" s="24" t="s">
        <v>839</v>
      </c>
      <c r="G367" s="51">
        <v>550000</v>
      </c>
      <c r="H367" s="51">
        <v>550000</v>
      </c>
      <c r="I367" s="83"/>
      <c r="J367" s="83"/>
      <c r="K367" s="83"/>
      <c r="L367" s="129"/>
      <c r="M367" s="61"/>
      <c r="N367" s="129"/>
      <c r="O367" s="35"/>
      <c r="P367" s="61"/>
      <c r="Q367" s="35"/>
      <c r="R367" s="61"/>
      <c r="S367" s="35"/>
      <c r="T367" s="35"/>
      <c r="U367" s="35"/>
      <c r="V367" s="35"/>
      <c r="W367" s="132"/>
      <c r="X367" s="132"/>
      <c r="Y367" s="132"/>
      <c r="Z367" s="132"/>
      <c r="AA367" s="262"/>
      <c r="AB367" s="51">
        <v>550000</v>
      </c>
      <c r="AC367" s="25">
        <v>550000</v>
      </c>
      <c r="AD367" s="31" t="s">
        <v>34</v>
      </c>
      <c r="AE367" s="33"/>
      <c r="AF367" s="25" t="s">
        <v>33</v>
      </c>
      <c r="AG367" s="25"/>
      <c r="AH367" s="25"/>
      <c r="AI367" s="25"/>
      <c r="AJ367" s="116"/>
      <c r="AK367" s="25"/>
    </row>
    <row r="368" spans="1:37" ht="192.75" hidden="1" customHeight="1">
      <c r="A368" s="25"/>
      <c r="B368" s="28" t="str">
        <f t="shared" si="13"/>
        <v>ITP00360</v>
      </c>
      <c r="C368" s="25"/>
      <c r="D368" s="24" t="s">
        <v>894</v>
      </c>
      <c r="E368" s="28" t="s">
        <v>53</v>
      </c>
      <c r="F368" s="24" t="s">
        <v>230</v>
      </c>
      <c r="G368" s="51">
        <v>8400000</v>
      </c>
      <c r="H368" s="51">
        <v>9240000</v>
      </c>
      <c r="I368" s="83"/>
      <c r="J368" s="83"/>
      <c r="K368" s="83"/>
      <c r="L368" s="129"/>
      <c r="M368" s="61"/>
      <c r="N368" s="129"/>
      <c r="O368" s="35"/>
      <c r="P368" s="61"/>
      <c r="Q368" s="35"/>
      <c r="R368" s="61"/>
      <c r="S368" s="35"/>
      <c r="T368" s="35"/>
      <c r="U368" s="35"/>
      <c r="V368" s="35"/>
      <c r="W368" s="132"/>
      <c r="X368" s="132"/>
      <c r="Y368" s="132"/>
      <c r="Z368" s="132"/>
      <c r="AA368" s="262"/>
      <c r="AB368" s="51"/>
      <c r="AC368" s="25">
        <v>9240000</v>
      </c>
      <c r="AD368" s="31" t="s">
        <v>34</v>
      </c>
      <c r="AE368" s="33"/>
      <c r="AF368" s="25" t="s">
        <v>33</v>
      </c>
      <c r="AG368" s="25"/>
      <c r="AH368" s="25"/>
      <c r="AI368" s="25"/>
      <c r="AJ368" s="116"/>
      <c r="AK368" s="25"/>
    </row>
    <row r="369" spans="1:37" ht="192.75" hidden="1" customHeight="1">
      <c r="A369" s="25"/>
      <c r="B369" s="28" t="str">
        <f t="shared" si="13"/>
        <v>ITP00361</v>
      </c>
      <c r="C369" s="25"/>
      <c r="D369" s="24" t="s">
        <v>895</v>
      </c>
      <c r="E369" s="28" t="s">
        <v>53</v>
      </c>
      <c r="F369" s="24" t="s">
        <v>230</v>
      </c>
      <c r="G369" s="51">
        <v>216000000</v>
      </c>
      <c r="H369" s="51">
        <v>237600000</v>
      </c>
      <c r="I369" s="83"/>
      <c r="J369" s="83"/>
      <c r="K369" s="83"/>
      <c r="L369" s="129"/>
      <c r="M369" s="61"/>
      <c r="N369" s="129"/>
      <c r="O369" s="35"/>
      <c r="P369" s="61"/>
      <c r="Q369" s="35"/>
      <c r="R369" s="61"/>
      <c r="S369" s="35"/>
      <c r="T369" s="35"/>
      <c r="U369" s="35"/>
      <c r="V369" s="35"/>
      <c r="W369" s="132"/>
      <c r="X369" s="132"/>
      <c r="Y369" s="132"/>
      <c r="Z369" s="132"/>
      <c r="AA369" s="262"/>
      <c r="AB369" s="51"/>
      <c r="AC369" s="25"/>
      <c r="AD369" s="33"/>
      <c r="AE369" s="25"/>
      <c r="AF369" s="25"/>
      <c r="AG369" s="25"/>
      <c r="AH369" s="25"/>
      <c r="AI369" s="25"/>
      <c r="AJ369" s="116"/>
      <c r="AK369" s="25"/>
    </row>
    <row r="370" spans="1:37" ht="192.75" hidden="1" customHeight="1">
      <c r="A370" s="25"/>
      <c r="B370" s="28" t="str">
        <f t="shared" si="13"/>
        <v>ITP00362</v>
      </c>
      <c r="C370" s="25"/>
      <c r="D370" s="24" t="s">
        <v>896</v>
      </c>
      <c r="E370" s="28" t="s">
        <v>53</v>
      </c>
      <c r="F370" s="24" t="s">
        <v>107</v>
      </c>
      <c r="G370" s="51">
        <v>1309000</v>
      </c>
      <c r="H370" s="51">
        <v>1309000</v>
      </c>
      <c r="I370" s="83"/>
      <c r="J370" s="83"/>
      <c r="K370" s="83"/>
      <c r="L370" s="129"/>
      <c r="M370" s="61"/>
      <c r="N370" s="129"/>
      <c r="O370" s="35"/>
      <c r="P370" s="61"/>
      <c r="Q370" s="35"/>
      <c r="R370" s="61"/>
      <c r="S370" s="35"/>
      <c r="T370" s="35"/>
      <c r="U370" s="35"/>
      <c r="V370" s="35"/>
      <c r="W370" s="132"/>
      <c r="X370" s="132"/>
      <c r="Y370" s="132"/>
      <c r="Z370" s="132"/>
      <c r="AA370" s="262"/>
      <c r="AB370" s="51">
        <v>1309000</v>
      </c>
      <c r="AC370" s="25">
        <v>1309000</v>
      </c>
      <c r="AD370" s="31" t="s">
        <v>34</v>
      </c>
      <c r="AE370" s="33"/>
      <c r="AF370" s="25" t="s">
        <v>33</v>
      </c>
      <c r="AG370" s="25"/>
      <c r="AH370" s="25"/>
      <c r="AI370" s="25"/>
      <c r="AJ370" s="116"/>
      <c r="AK370" s="25"/>
    </row>
    <row r="371" spans="1:37" ht="192.75" hidden="1" customHeight="1">
      <c r="A371" s="25"/>
      <c r="B371" s="28" t="str">
        <f t="shared" si="13"/>
        <v>ITP00363</v>
      </c>
      <c r="C371" s="25"/>
      <c r="D371" s="24" t="s">
        <v>897</v>
      </c>
      <c r="E371" s="25" t="s">
        <v>31</v>
      </c>
      <c r="F371" s="24" t="s">
        <v>509</v>
      </c>
      <c r="G371" s="298">
        <v>2800</v>
      </c>
      <c r="H371" s="298">
        <v>3080</v>
      </c>
      <c r="I371" s="83"/>
      <c r="J371" s="83"/>
      <c r="K371" s="83"/>
      <c r="L371" s="129"/>
      <c r="M371" s="61"/>
      <c r="N371" s="129"/>
      <c r="O371" s="35"/>
      <c r="P371" s="61"/>
      <c r="Q371" s="35"/>
      <c r="R371" s="61"/>
      <c r="S371" s="35"/>
      <c r="T371" s="35"/>
      <c r="U371" s="35"/>
      <c r="V371" s="35"/>
      <c r="W371" s="132"/>
      <c r="X371" s="132"/>
      <c r="Y371" s="132"/>
      <c r="Z371" s="132"/>
      <c r="AA371" s="262"/>
      <c r="AB371" s="51"/>
      <c r="AC371" s="25"/>
      <c r="AD371" s="33"/>
      <c r="AE371" s="25"/>
      <c r="AF371" s="25"/>
      <c r="AG371" s="25"/>
      <c r="AH371" s="25"/>
      <c r="AI371" s="25"/>
      <c r="AJ371" s="116"/>
      <c r="AK371" s="25"/>
    </row>
    <row r="372" spans="1:37" ht="192.75" hidden="1" customHeight="1">
      <c r="A372" s="25"/>
      <c r="B372" s="28" t="str">
        <f t="shared" si="13"/>
        <v>ITP00364</v>
      </c>
      <c r="C372" s="25"/>
      <c r="D372" s="24" t="s">
        <v>898</v>
      </c>
      <c r="E372" s="25" t="s">
        <v>31</v>
      </c>
      <c r="F372" s="24" t="s">
        <v>64</v>
      </c>
      <c r="G372" s="298">
        <v>70</v>
      </c>
      <c r="H372" s="298">
        <v>77</v>
      </c>
      <c r="I372" s="83"/>
      <c r="J372" s="83"/>
      <c r="K372" s="83"/>
      <c r="L372" s="129"/>
      <c r="M372" s="61"/>
      <c r="N372" s="129"/>
      <c r="O372" s="35"/>
      <c r="P372" s="61"/>
      <c r="Q372" s="35"/>
      <c r="R372" s="61"/>
      <c r="S372" s="35"/>
      <c r="T372" s="35"/>
      <c r="U372" s="35"/>
      <c r="V372" s="35"/>
      <c r="W372" s="132"/>
      <c r="X372" s="132"/>
      <c r="Y372" s="132"/>
      <c r="Z372" s="132"/>
      <c r="AA372" s="262"/>
      <c r="AB372" s="51"/>
      <c r="AC372" s="25"/>
      <c r="AD372" s="33"/>
      <c r="AE372" s="25"/>
      <c r="AF372" s="25"/>
      <c r="AG372" s="25"/>
      <c r="AH372" s="25"/>
      <c r="AI372" s="25"/>
      <c r="AJ372" s="116"/>
      <c r="AK372" s="25"/>
    </row>
    <row r="373" spans="1:37" ht="192.75" hidden="1" customHeight="1">
      <c r="A373" s="25"/>
      <c r="B373" s="28" t="str">
        <f t="shared" si="13"/>
        <v>ITP00365</v>
      </c>
      <c r="C373" s="25"/>
      <c r="D373" s="24" t="s">
        <v>899</v>
      </c>
      <c r="E373" s="28" t="s">
        <v>53</v>
      </c>
      <c r="F373" s="24" t="s">
        <v>801</v>
      </c>
      <c r="G373" s="51">
        <v>18518518.52</v>
      </c>
      <c r="H373" s="51">
        <v>19990000</v>
      </c>
      <c r="I373" s="83"/>
      <c r="J373" s="83"/>
      <c r="K373" s="83"/>
      <c r="L373" s="129"/>
      <c r="M373" s="61"/>
      <c r="N373" s="129"/>
      <c r="O373" s="35"/>
      <c r="P373" s="61"/>
      <c r="Q373" s="35"/>
      <c r="R373" s="61"/>
      <c r="S373" s="35"/>
      <c r="T373" s="35"/>
      <c r="U373" s="35"/>
      <c r="V373" s="35"/>
      <c r="W373" s="132"/>
      <c r="X373" s="132"/>
      <c r="Y373" s="132"/>
      <c r="Z373" s="132"/>
      <c r="AA373" s="262"/>
      <c r="AB373" s="51"/>
      <c r="AC373" s="25"/>
      <c r="AD373" s="33"/>
      <c r="AE373" s="25"/>
      <c r="AF373" s="25"/>
      <c r="AG373" s="25"/>
      <c r="AH373" s="25"/>
      <c r="AI373" s="25"/>
      <c r="AJ373" s="116"/>
      <c r="AK373" s="25"/>
    </row>
    <row r="374" spans="1:37" ht="192.75" hidden="1" customHeight="1">
      <c r="A374" s="54"/>
      <c r="B374" s="28" t="str">
        <f t="shared" si="13"/>
        <v>ITP00366</v>
      </c>
      <c r="C374" s="53"/>
      <c r="D374" s="27" t="s">
        <v>900</v>
      </c>
      <c r="E374" s="138" t="s">
        <v>53</v>
      </c>
      <c r="F374" s="27" t="s">
        <v>305</v>
      </c>
      <c r="G374" s="58">
        <v>400000</v>
      </c>
      <c r="H374" s="58">
        <v>412000</v>
      </c>
      <c r="I374" s="82"/>
      <c r="J374" s="82"/>
      <c r="K374" s="82"/>
      <c r="L374" s="138"/>
      <c r="M374" s="79"/>
      <c r="N374" s="138"/>
      <c r="O374" s="80"/>
      <c r="P374" s="79"/>
      <c r="Q374" s="80"/>
      <c r="R374" s="79"/>
      <c r="S374" s="80"/>
      <c r="T374" s="80"/>
      <c r="U374" s="80"/>
      <c r="V374" s="80"/>
      <c r="W374" s="141"/>
      <c r="X374" s="141"/>
      <c r="Y374" s="141"/>
      <c r="Z374" s="141"/>
      <c r="AA374" s="273"/>
      <c r="AB374" s="58"/>
      <c r="AC374" s="28"/>
      <c r="AD374" s="55"/>
      <c r="AE374" s="28"/>
      <c r="AF374" s="28"/>
      <c r="AG374" s="28"/>
      <c r="AH374" s="28"/>
      <c r="AI374" s="28"/>
      <c r="AJ374" s="128"/>
      <c r="AK374" s="28"/>
    </row>
    <row r="375" spans="1:37" ht="192.75" hidden="1" customHeight="1">
      <c r="A375" s="25"/>
      <c r="B375" s="28" t="str">
        <f t="shared" si="13"/>
        <v>ITP00367</v>
      </c>
      <c r="C375" s="25"/>
      <c r="D375" s="24" t="s">
        <v>901</v>
      </c>
      <c r="E375" s="138" t="s">
        <v>53</v>
      </c>
      <c r="F375" s="24" t="s">
        <v>58</v>
      </c>
      <c r="G375" s="51">
        <v>2190000</v>
      </c>
      <c r="H375" s="51">
        <v>2365200</v>
      </c>
      <c r="I375" s="83"/>
      <c r="J375" s="83"/>
      <c r="K375" s="83"/>
      <c r="L375" s="129"/>
      <c r="M375" s="61"/>
      <c r="N375" s="129"/>
      <c r="O375" s="35"/>
      <c r="P375" s="61"/>
      <c r="Q375" s="35"/>
      <c r="R375" s="61"/>
      <c r="S375" s="35"/>
      <c r="T375" s="35"/>
      <c r="U375" s="35"/>
      <c r="V375" s="35"/>
      <c r="W375" s="132"/>
      <c r="X375" s="132"/>
      <c r="Y375" s="132"/>
      <c r="Z375" s="132"/>
      <c r="AA375" s="262"/>
      <c r="AB375" s="51"/>
      <c r="AC375" s="25"/>
      <c r="AD375" s="33"/>
      <c r="AE375" s="25"/>
      <c r="AF375" s="25"/>
      <c r="AG375" s="25"/>
      <c r="AH375" s="25"/>
      <c r="AI375" s="25"/>
      <c r="AJ375" s="116"/>
      <c r="AK375" s="25"/>
    </row>
    <row r="376" spans="1:37" ht="192.75" hidden="1" customHeight="1">
      <c r="A376" s="25"/>
      <c r="B376" s="28" t="str">
        <f t="shared" si="13"/>
        <v>ITP00368</v>
      </c>
      <c r="C376" s="25"/>
      <c r="D376" s="27" t="s">
        <v>668</v>
      </c>
      <c r="E376" s="28" t="s">
        <v>53</v>
      </c>
      <c r="F376" s="24" t="s">
        <v>58</v>
      </c>
      <c r="G376" s="58">
        <v>4800000</v>
      </c>
      <c r="H376" s="58">
        <v>5280000</v>
      </c>
      <c r="I376" s="83"/>
      <c r="J376" s="83"/>
      <c r="K376" s="83"/>
      <c r="L376" s="129"/>
      <c r="M376" s="61"/>
      <c r="N376" s="129"/>
      <c r="O376" s="35"/>
      <c r="P376" s="61"/>
      <c r="Q376" s="35"/>
      <c r="R376" s="61"/>
      <c r="S376" s="35"/>
      <c r="T376" s="35"/>
      <c r="U376" s="35"/>
      <c r="V376" s="35"/>
      <c r="W376" s="132"/>
      <c r="X376" s="132"/>
      <c r="Y376" s="132"/>
      <c r="Z376" s="132"/>
      <c r="AA376" s="262"/>
      <c r="AB376" s="51"/>
      <c r="AC376" s="25"/>
      <c r="AD376" s="33"/>
      <c r="AE376" s="25"/>
      <c r="AF376" s="25"/>
      <c r="AG376" s="25"/>
      <c r="AH376" s="25"/>
      <c r="AI376" s="25"/>
      <c r="AJ376" s="116"/>
      <c r="AK376" s="25"/>
    </row>
    <row r="377" spans="1:37" ht="192.75" hidden="1" customHeight="1">
      <c r="A377" s="25"/>
      <c r="B377" s="28" t="str">
        <f t="shared" si="13"/>
        <v>ITP00369</v>
      </c>
      <c r="C377" s="25"/>
      <c r="D377" s="27" t="s">
        <v>902</v>
      </c>
      <c r="E377" s="28" t="s">
        <v>53</v>
      </c>
      <c r="F377" s="27" t="s">
        <v>58</v>
      </c>
      <c r="G377" s="58">
        <v>900000</v>
      </c>
      <c r="H377" s="58">
        <v>972000</v>
      </c>
      <c r="I377" s="83"/>
      <c r="J377" s="83"/>
      <c r="K377" s="83"/>
      <c r="L377" s="129"/>
      <c r="M377" s="61"/>
      <c r="N377" s="129"/>
      <c r="O377" s="35"/>
      <c r="P377" s="61"/>
      <c r="Q377" s="35"/>
      <c r="R377" s="61"/>
      <c r="S377" s="35"/>
      <c r="T377" s="35"/>
      <c r="U377" s="35"/>
      <c r="V377" s="35"/>
      <c r="W377" s="132"/>
      <c r="X377" s="132"/>
      <c r="Y377" s="132"/>
      <c r="Z377" s="132"/>
      <c r="AA377" s="262"/>
      <c r="AB377" s="51"/>
      <c r="AC377" s="25"/>
      <c r="AD377" s="33"/>
      <c r="AE377" s="25"/>
      <c r="AF377" s="25"/>
      <c r="AG377" s="25"/>
      <c r="AH377" s="25"/>
      <c r="AI377" s="25"/>
      <c r="AJ377" s="116"/>
      <c r="AK377" s="25"/>
    </row>
    <row r="378" spans="1:37" ht="192.75" hidden="1" customHeight="1">
      <c r="A378" s="28"/>
      <c r="B378" s="28" t="str">
        <f>LEFT(B377,3) &amp; TEXT(VALUE(RIGHT(B377,5)) + 1,"00000")</f>
        <v>ITP00370</v>
      </c>
      <c r="C378" s="54"/>
      <c r="D378" s="27" t="s">
        <v>903</v>
      </c>
      <c r="E378" s="28" t="s">
        <v>53</v>
      </c>
      <c r="F378" s="27" t="s">
        <v>58</v>
      </c>
      <c r="G378" s="58">
        <v>4800000</v>
      </c>
      <c r="H378" s="58">
        <v>5184000</v>
      </c>
      <c r="I378" s="85"/>
      <c r="J378" s="82"/>
      <c r="K378" s="82"/>
      <c r="L378" s="138"/>
      <c r="M378" s="79"/>
      <c r="N378" s="138"/>
      <c r="O378" s="80"/>
      <c r="P378" s="79"/>
      <c r="Q378" s="80"/>
      <c r="R378" s="79"/>
      <c r="S378" s="80"/>
      <c r="T378" s="80"/>
      <c r="U378" s="80"/>
      <c r="V378" s="80"/>
      <c r="W378" s="141"/>
      <c r="X378" s="141"/>
      <c r="Y378" s="141"/>
      <c r="Z378" s="141"/>
      <c r="AA378" s="273"/>
      <c r="AB378" s="58"/>
      <c r="AC378" s="28"/>
      <c r="AD378" s="55"/>
      <c r="AE378" s="28"/>
      <c r="AF378" s="28"/>
      <c r="AG378" s="28"/>
      <c r="AH378" s="28"/>
      <c r="AI378" s="28"/>
      <c r="AJ378" s="128"/>
      <c r="AK378" s="28"/>
    </row>
    <row r="379" spans="1:37" ht="192.75" hidden="1" customHeight="1">
      <c r="A379" s="100"/>
      <c r="B379" s="299" t="str">
        <f>LEFT(B378,3) &amp; TEXT(VALUE(RIGHT(B378,5)) + 1,"00000")</f>
        <v>ITP00371</v>
      </c>
      <c r="C379" s="300"/>
      <c r="D379" s="62" t="s">
        <v>904</v>
      </c>
      <c r="E379" s="299" t="s">
        <v>53</v>
      </c>
      <c r="F379" s="301" t="s">
        <v>801</v>
      </c>
      <c r="G379" s="302">
        <v>8601852</v>
      </c>
      <c r="H379" s="302">
        <v>9290000</v>
      </c>
      <c r="I379" s="85"/>
      <c r="J379" s="82"/>
      <c r="K379" s="82"/>
      <c r="L379" s="138"/>
      <c r="M379" s="79"/>
      <c r="N379" s="138"/>
      <c r="O379" s="80"/>
      <c r="P379" s="79"/>
      <c r="Q379" s="80"/>
      <c r="R379" s="79"/>
      <c r="S379" s="80"/>
      <c r="T379" s="80"/>
      <c r="U379" s="80"/>
      <c r="V379" s="80"/>
      <c r="W379" s="141"/>
      <c r="X379" s="141"/>
      <c r="Y379" s="141"/>
      <c r="Z379" s="141"/>
      <c r="AA379" s="273"/>
      <c r="AB379" s="58"/>
      <c r="AC379" s="28"/>
      <c r="AD379" s="55"/>
      <c r="AE379" s="28"/>
      <c r="AF379" s="28"/>
      <c r="AG379" s="28"/>
      <c r="AH379" s="28"/>
      <c r="AI379" s="28"/>
      <c r="AJ379" s="128"/>
      <c r="AK379" s="28"/>
    </row>
    <row r="380" spans="1:37" ht="252.75" hidden="1" customHeight="1">
      <c r="A380" s="25"/>
      <c r="B380" s="28" t="str">
        <f t="shared" ref="B380:B389" si="14">LEFT(B379,3) &amp; TEXT(VALUE(RIGHT(B379,5)) + 1,"00000")</f>
        <v>ITP00372</v>
      </c>
      <c r="C380" s="25"/>
      <c r="D380" s="24" t="s">
        <v>905</v>
      </c>
      <c r="E380" s="28" t="s">
        <v>53</v>
      </c>
      <c r="F380" s="24" t="s">
        <v>191</v>
      </c>
      <c r="G380" s="51">
        <v>10434800</v>
      </c>
      <c r="H380" s="51">
        <v>10434800</v>
      </c>
      <c r="I380" s="83"/>
      <c r="J380" s="83"/>
      <c r="K380" s="83"/>
      <c r="L380" s="129"/>
      <c r="M380" s="61"/>
      <c r="N380" s="129"/>
      <c r="O380" s="35"/>
      <c r="P380" s="61"/>
      <c r="Q380" s="35"/>
      <c r="R380" s="61"/>
      <c r="S380" s="35"/>
      <c r="T380" s="35"/>
      <c r="U380" s="35"/>
      <c r="V380" s="35"/>
      <c r="W380" s="132"/>
      <c r="X380" s="132"/>
      <c r="Y380" s="132"/>
      <c r="Z380" s="132"/>
      <c r="AA380" s="262"/>
      <c r="AB380" s="51">
        <v>10434800</v>
      </c>
      <c r="AC380" s="25"/>
      <c r="AD380" s="33"/>
      <c r="AE380" s="25"/>
      <c r="AF380" s="25"/>
      <c r="AG380" s="25"/>
      <c r="AH380" s="25"/>
      <c r="AI380" s="25"/>
      <c r="AJ380" s="297"/>
      <c r="AK380" s="25"/>
    </row>
    <row r="381" spans="1:37" ht="192.75" hidden="1" customHeight="1">
      <c r="A381" s="25"/>
      <c r="B381" s="28" t="str">
        <f t="shared" si="14"/>
        <v>ITP00373</v>
      </c>
      <c r="C381" s="25"/>
      <c r="D381" s="24" t="s">
        <v>906</v>
      </c>
      <c r="E381" s="28" t="s">
        <v>53</v>
      </c>
      <c r="F381" s="24" t="s">
        <v>107</v>
      </c>
      <c r="G381" s="51">
        <v>1309000</v>
      </c>
      <c r="H381" s="51">
        <v>1309000</v>
      </c>
      <c r="I381" s="83"/>
      <c r="J381" s="83"/>
      <c r="K381" s="83"/>
      <c r="L381" s="129"/>
      <c r="M381" s="61"/>
      <c r="N381" s="129"/>
      <c r="O381" s="35"/>
      <c r="P381" s="61"/>
      <c r="Q381" s="35"/>
      <c r="R381" s="61"/>
      <c r="S381" s="35"/>
      <c r="T381" s="35"/>
      <c r="U381" s="35"/>
      <c r="V381" s="35"/>
      <c r="W381" s="132"/>
      <c r="X381" s="132"/>
      <c r="Y381" s="132"/>
      <c r="Z381" s="132"/>
      <c r="AA381" s="262"/>
      <c r="AB381" s="51">
        <v>1309000</v>
      </c>
      <c r="AC381" s="25"/>
      <c r="AD381" s="33"/>
      <c r="AE381" s="25"/>
      <c r="AF381" s="25"/>
      <c r="AG381" s="25"/>
      <c r="AH381" s="25"/>
      <c r="AI381" s="25"/>
      <c r="AJ381" s="297"/>
      <c r="AK381" s="25"/>
    </row>
    <row r="382" spans="1:37" ht="192.75" hidden="1" customHeight="1">
      <c r="A382" s="25"/>
      <c r="B382" s="28" t="str">
        <f t="shared" si="14"/>
        <v>ITP00374</v>
      </c>
      <c r="C382" s="25"/>
      <c r="D382" s="24" t="s">
        <v>907</v>
      </c>
      <c r="E382" s="28" t="s">
        <v>53</v>
      </c>
      <c r="F382" s="24" t="s">
        <v>839</v>
      </c>
      <c r="G382" s="51">
        <v>500000</v>
      </c>
      <c r="H382" s="51">
        <v>550000</v>
      </c>
      <c r="I382" s="83"/>
      <c r="J382" s="83"/>
      <c r="K382" s="83"/>
      <c r="L382" s="129"/>
      <c r="M382" s="61"/>
      <c r="N382" s="129"/>
      <c r="O382" s="35"/>
      <c r="P382" s="61"/>
      <c r="Q382" s="35"/>
      <c r="R382" s="61"/>
      <c r="S382" s="35"/>
      <c r="T382" s="35"/>
      <c r="U382" s="35"/>
      <c r="V382" s="35"/>
      <c r="W382" s="132"/>
      <c r="X382" s="132"/>
      <c r="Y382" s="132"/>
      <c r="Z382" s="132"/>
      <c r="AA382" s="262"/>
      <c r="AB382" s="51">
        <v>550000</v>
      </c>
      <c r="AC382" s="25"/>
      <c r="AD382" s="33"/>
      <c r="AE382" s="25"/>
      <c r="AF382" s="25"/>
      <c r="AG382" s="25"/>
      <c r="AH382" s="25"/>
      <c r="AI382" s="25"/>
      <c r="AJ382" s="297"/>
      <c r="AK382" s="25"/>
    </row>
    <row r="383" spans="1:37" ht="405" hidden="1" customHeight="1">
      <c r="A383" s="25"/>
      <c r="B383" s="28" t="str">
        <f t="shared" si="14"/>
        <v>ITP00375</v>
      </c>
      <c r="C383" s="25"/>
      <c r="D383" s="24" t="s">
        <v>908</v>
      </c>
      <c r="E383" s="28" t="s">
        <v>53</v>
      </c>
      <c r="F383" s="24" t="s">
        <v>230</v>
      </c>
      <c r="G383" s="51">
        <v>16507151</v>
      </c>
      <c r="H383" s="51">
        <v>18175866</v>
      </c>
      <c r="I383" s="83"/>
      <c r="J383" s="83"/>
      <c r="K383" s="83"/>
      <c r="L383" s="129"/>
      <c r="M383" s="61"/>
      <c r="N383" s="129"/>
      <c r="O383" s="35"/>
      <c r="P383" s="61"/>
      <c r="Q383" s="35"/>
      <c r="R383" s="61"/>
      <c r="S383" s="35"/>
      <c r="T383" s="35"/>
      <c r="U383" s="35"/>
      <c r="V383" s="35"/>
      <c r="W383" s="132"/>
      <c r="X383" s="132"/>
      <c r="Y383" s="132"/>
      <c r="Z383" s="132"/>
      <c r="AA383" s="262"/>
      <c r="AB383" s="51"/>
      <c r="AC383" s="25"/>
      <c r="AD383" s="33"/>
      <c r="AE383" s="25"/>
      <c r="AF383" s="25"/>
      <c r="AG383" s="25"/>
      <c r="AH383" s="25"/>
      <c r="AI383" s="25"/>
      <c r="AJ383" s="297"/>
      <c r="AK383" s="25"/>
    </row>
    <row r="384" spans="1:37" ht="192.75" hidden="1" customHeight="1">
      <c r="A384" s="28"/>
      <c r="B384" s="28" t="str">
        <f t="shared" si="14"/>
        <v>ITP00376</v>
      </c>
      <c r="C384" s="28"/>
      <c r="D384" s="27" t="s">
        <v>909</v>
      </c>
      <c r="E384" s="28" t="s">
        <v>31</v>
      </c>
      <c r="F384" s="27" t="s">
        <v>64</v>
      </c>
      <c r="G384" s="298">
        <v>70</v>
      </c>
      <c r="H384" s="298">
        <v>77</v>
      </c>
      <c r="I384" s="82"/>
      <c r="J384" s="82"/>
      <c r="K384" s="82"/>
      <c r="L384" s="138"/>
      <c r="M384" s="79"/>
      <c r="N384" s="138"/>
      <c r="O384" s="80"/>
      <c r="P384" s="79"/>
      <c r="Q384" s="80"/>
      <c r="R384" s="79"/>
      <c r="S384" s="80"/>
      <c r="T384" s="80"/>
      <c r="U384" s="80"/>
      <c r="V384" s="80"/>
      <c r="W384" s="141"/>
      <c r="X384" s="141"/>
      <c r="Y384" s="141"/>
      <c r="Z384" s="141"/>
      <c r="AA384" s="273"/>
      <c r="AB384" s="58"/>
      <c r="AC384" s="28"/>
      <c r="AD384" s="55"/>
      <c r="AE384" s="28"/>
      <c r="AF384" s="28"/>
      <c r="AG384" s="28"/>
      <c r="AH384" s="28"/>
      <c r="AI384" s="28"/>
      <c r="AJ384" s="295"/>
      <c r="AK384" s="28"/>
    </row>
    <row r="385" spans="1:37" ht="383.25" hidden="1" customHeight="1">
      <c r="A385" s="25"/>
      <c r="B385" s="28" t="str">
        <f t="shared" si="14"/>
        <v>ITP00377</v>
      </c>
      <c r="C385" s="25"/>
      <c r="D385" s="24" t="s">
        <v>910</v>
      </c>
      <c r="E385" s="28" t="s">
        <v>31</v>
      </c>
      <c r="F385" s="24"/>
      <c r="G385" s="298">
        <v>2800</v>
      </c>
      <c r="H385" s="298">
        <v>3080</v>
      </c>
      <c r="I385" s="83"/>
      <c r="J385" s="83"/>
      <c r="K385" s="83"/>
      <c r="L385" s="129"/>
      <c r="M385" s="61"/>
      <c r="N385" s="129"/>
      <c r="O385" s="35"/>
      <c r="P385" s="61"/>
      <c r="Q385" s="35"/>
      <c r="R385" s="61"/>
      <c r="S385" s="35"/>
      <c r="T385" s="35"/>
      <c r="U385" s="35"/>
      <c r="V385" s="35"/>
      <c r="W385" s="132"/>
      <c r="X385" s="132"/>
      <c r="Y385" s="132"/>
      <c r="Z385" s="132"/>
      <c r="AA385" s="262"/>
      <c r="AB385" s="51"/>
      <c r="AC385" s="25"/>
      <c r="AD385" s="33"/>
      <c r="AE385" s="25"/>
      <c r="AF385" s="25"/>
      <c r="AG385" s="25"/>
      <c r="AH385" s="25"/>
      <c r="AI385" s="25"/>
      <c r="AJ385" s="116"/>
      <c r="AK385" s="25"/>
    </row>
    <row r="386" spans="1:37" ht="192.75" hidden="1" customHeight="1">
      <c r="A386" s="25"/>
      <c r="B386" s="28" t="str">
        <f t="shared" si="14"/>
        <v>ITP00378</v>
      </c>
      <c r="C386" s="25"/>
      <c r="D386" s="24" t="s">
        <v>911</v>
      </c>
      <c r="E386" s="28" t="s">
        <v>53</v>
      </c>
      <c r="F386" s="24" t="s">
        <v>58</v>
      </c>
      <c r="G386" s="51">
        <v>12800000</v>
      </c>
      <c r="H386" s="51">
        <v>14080000</v>
      </c>
      <c r="I386" s="83"/>
      <c r="J386" s="83"/>
      <c r="K386" s="83"/>
      <c r="L386" s="129"/>
      <c r="M386" s="61"/>
      <c r="N386" s="129"/>
      <c r="O386" s="35"/>
      <c r="P386" s="61"/>
      <c r="Q386" s="35"/>
      <c r="R386" s="61"/>
      <c r="S386" s="35"/>
      <c r="T386" s="35"/>
      <c r="U386" s="35"/>
      <c r="V386" s="35"/>
      <c r="W386" s="132"/>
      <c r="X386" s="132"/>
      <c r="Y386" s="132"/>
      <c r="Z386" s="132"/>
      <c r="AA386" s="262"/>
      <c r="AB386" s="51"/>
      <c r="AC386" s="25"/>
      <c r="AD386" s="33"/>
      <c r="AE386" s="25"/>
      <c r="AF386" s="25"/>
      <c r="AG386" s="25"/>
      <c r="AH386" s="25"/>
      <c r="AI386" s="25"/>
      <c r="AJ386" s="116"/>
      <c r="AK386" s="25"/>
    </row>
    <row r="387" spans="1:37" ht="192.75" hidden="1" customHeight="1">
      <c r="A387" s="25"/>
      <c r="B387" s="28" t="str">
        <f t="shared" si="14"/>
        <v>ITP00379</v>
      </c>
      <c r="C387" s="25"/>
      <c r="D387" s="24" t="s">
        <v>912</v>
      </c>
      <c r="E387" s="28" t="s">
        <v>53</v>
      </c>
      <c r="F387" s="24" t="s">
        <v>58</v>
      </c>
      <c r="G387" s="51">
        <v>284620000</v>
      </c>
      <c r="H387" s="51">
        <v>307389600</v>
      </c>
      <c r="I387" s="83"/>
      <c r="J387" s="83"/>
      <c r="K387" s="83"/>
      <c r="L387" s="129"/>
      <c r="M387" s="61"/>
      <c r="N387" s="129"/>
      <c r="O387" s="35"/>
      <c r="P387" s="61"/>
      <c r="Q387" s="35"/>
      <c r="R387" s="61"/>
      <c r="S387" s="35"/>
      <c r="T387" s="35"/>
      <c r="U387" s="35"/>
      <c r="V387" s="35"/>
      <c r="W387" s="132"/>
      <c r="X387" s="132"/>
      <c r="Y387" s="132"/>
      <c r="Z387" s="132"/>
      <c r="AA387" s="262"/>
      <c r="AB387" s="51"/>
      <c r="AC387" s="25"/>
      <c r="AD387" s="33"/>
      <c r="AE387" s="25"/>
      <c r="AF387" s="25"/>
      <c r="AG387" s="25"/>
      <c r="AH387" s="25"/>
      <c r="AI387" s="25"/>
      <c r="AJ387" s="116"/>
      <c r="AK387" s="25"/>
    </row>
    <row r="388" spans="1:37" ht="192.75" hidden="1" customHeight="1">
      <c r="A388" s="54"/>
      <c r="B388" s="28" t="str">
        <f t="shared" si="14"/>
        <v>ITP00380</v>
      </c>
      <c r="C388" s="53"/>
      <c r="D388" s="27" t="s">
        <v>913</v>
      </c>
      <c r="E388" s="28" t="s">
        <v>53</v>
      </c>
      <c r="F388" s="24" t="s">
        <v>58</v>
      </c>
      <c r="G388" s="58">
        <v>28200000</v>
      </c>
      <c r="H388" s="58">
        <v>30456000</v>
      </c>
      <c r="I388" s="82"/>
      <c r="J388" s="82"/>
      <c r="K388" s="82"/>
      <c r="L388" s="138"/>
      <c r="M388" s="79"/>
      <c r="N388" s="138"/>
      <c r="O388" s="80"/>
      <c r="P388" s="79"/>
      <c r="Q388" s="80"/>
      <c r="R388" s="79"/>
      <c r="S388" s="80"/>
      <c r="T388" s="80"/>
      <c r="U388" s="80"/>
      <c r="V388" s="80"/>
      <c r="W388" s="141"/>
      <c r="X388" s="141"/>
      <c r="Y388" s="141"/>
      <c r="Z388" s="141"/>
      <c r="AA388" s="273"/>
      <c r="AB388" s="58"/>
      <c r="AC388" s="28"/>
      <c r="AD388" s="55"/>
      <c r="AE388" s="28"/>
      <c r="AF388" s="28"/>
      <c r="AG388" s="28"/>
      <c r="AH388" s="28"/>
      <c r="AI388" s="28"/>
      <c r="AJ388" s="128"/>
      <c r="AK388" s="28"/>
    </row>
    <row r="389" spans="1:37" ht="192.75" hidden="1" customHeight="1">
      <c r="A389" s="25"/>
      <c r="B389" s="28" t="str">
        <f t="shared" si="14"/>
        <v>ITP00381</v>
      </c>
      <c r="C389" s="25"/>
      <c r="D389" s="24" t="s">
        <v>914</v>
      </c>
      <c r="E389" s="28" t="s">
        <v>53</v>
      </c>
      <c r="F389" s="24" t="s">
        <v>58</v>
      </c>
      <c r="G389" s="51">
        <v>12600000</v>
      </c>
      <c r="H389" s="51">
        <v>13608000</v>
      </c>
      <c r="I389" s="83"/>
      <c r="J389" s="83"/>
      <c r="K389" s="83"/>
      <c r="L389" s="129"/>
      <c r="M389" s="61"/>
      <c r="N389" s="129"/>
      <c r="O389" s="35"/>
      <c r="P389" s="61"/>
      <c r="Q389" s="35"/>
      <c r="R389" s="61"/>
      <c r="S389" s="35"/>
      <c r="T389" s="35"/>
      <c r="U389" s="35"/>
      <c r="V389" s="35"/>
      <c r="W389" s="132"/>
      <c r="X389" s="132"/>
      <c r="Y389" s="132"/>
      <c r="Z389" s="132"/>
      <c r="AA389" s="262"/>
      <c r="AB389" s="51"/>
      <c r="AC389" s="25"/>
      <c r="AD389" s="33"/>
      <c r="AE389" s="25"/>
      <c r="AF389" s="25"/>
      <c r="AG389" s="25"/>
      <c r="AH389" s="25"/>
      <c r="AI389" s="25"/>
      <c r="AJ389" s="116"/>
      <c r="AK389" s="25"/>
    </row>
    <row r="390" spans="1:37" ht="192.75" hidden="1" customHeight="1">
      <c r="A390" s="31"/>
      <c r="B390" s="28" t="str">
        <f>LEFT(B389,3) &amp; TEXT(VALUE(RIGHT(B389,5)) + 1,"00000")</f>
        <v>ITP00382</v>
      </c>
      <c r="C390" s="32"/>
      <c r="D390" s="24" t="s">
        <v>915</v>
      </c>
      <c r="E390" s="28" t="s">
        <v>31</v>
      </c>
      <c r="F390" s="24" t="s">
        <v>138</v>
      </c>
      <c r="G390" s="298">
        <v>3935.76</v>
      </c>
      <c r="H390" s="298">
        <v>3935.76</v>
      </c>
      <c r="I390" s="83"/>
      <c r="J390" s="83"/>
      <c r="K390" s="83"/>
      <c r="L390" s="129"/>
      <c r="M390" s="61"/>
      <c r="N390" s="129"/>
      <c r="O390" s="35"/>
      <c r="P390" s="61"/>
      <c r="Q390" s="35"/>
      <c r="R390" s="61"/>
      <c r="S390" s="35"/>
      <c r="T390" s="35"/>
      <c r="U390" s="35"/>
      <c r="V390" s="35"/>
      <c r="W390" s="132"/>
      <c r="X390" s="132"/>
      <c r="Y390" s="132"/>
      <c r="Z390" s="132"/>
      <c r="AA390" s="262"/>
      <c r="AB390" s="51"/>
      <c r="AC390" s="25"/>
      <c r="AD390" s="33"/>
      <c r="AE390" s="25"/>
      <c r="AF390" s="25"/>
      <c r="AG390" s="25"/>
      <c r="AH390" s="25"/>
      <c r="AI390" s="25"/>
      <c r="AJ390" s="116"/>
      <c r="AK390" s="25"/>
    </row>
    <row r="391" spans="1:37" ht="192.75" hidden="1" customHeight="1">
      <c r="A391" s="31"/>
      <c r="B391" s="28" t="str">
        <f>LEFT(B390,3) &amp; TEXT(VALUE(RIGHT(B390,5)) + 1,"00000")</f>
        <v>ITP00383</v>
      </c>
      <c r="C391" s="32"/>
      <c r="D391" s="24" t="s">
        <v>916</v>
      </c>
      <c r="E391" s="28" t="s">
        <v>53</v>
      </c>
      <c r="F391" s="24" t="s">
        <v>138</v>
      </c>
      <c r="G391" s="298">
        <v>39003.97</v>
      </c>
      <c r="H391" s="298">
        <v>39003.97</v>
      </c>
      <c r="I391" s="83"/>
      <c r="J391" s="83"/>
      <c r="K391" s="83"/>
      <c r="L391" s="129"/>
      <c r="M391" s="61"/>
      <c r="N391" s="129"/>
      <c r="O391" s="35"/>
      <c r="P391" s="61"/>
      <c r="Q391" s="35"/>
      <c r="R391" s="61"/>
      <c r="S391" s="35"/>
      <c r="T391" s="35"/>
      <c r="U391" s="35"/>
      <c r="V391" s="35"/>
      <c r="W391" s="132"/>
      <c r="X391" s="132"/>
      <c r="Y391" s="132"/>
      <c r="Z391" s="132"/>
      <c r="AA391" s="262"/>
      <c r="AB391" s="51"/>
      <c r="AC391" s="25"/>
      <c r="AD391" s="33"/>
      <c r="AE391" s="25"/>
      <c r="AF391" s="25"/>
      <c r="AG391" s="25"/>
      <c r="AH391" s="25"/>
      <c r="AI391" s="25"/>
      <c r="AJ391" s="116"/>
      <c r="AK391" s="25"/>
    </row>
    <row r="392" spans="1:37" ht="192.75" hidden="1" customHeight="1">
      <c r="A392" s="31"/>
      <c r="B392" s="28" t="str">
        <f>LEFT(B391,3) &amp; TEXT(VALUE(RIGHT(B391,5)) + 1,"00000")</f>
        <v>ITP00384</v>
      </c>
      <c r="C392" s="32"/>
      <c r="D392" s="24" t="s">
        <v>917</v>
      </c>
      <c r="E392" s="28" t="s">
        <v>53</v>
      </c>
      <c r="F392" s="24" t="s">
        <v>58</v>
      </c>
      <c r="G392" s="51">
        <v>177650000</v>
      </c>
      <c r="H392" s="51">
        <v>0</v>
      </c>
      <c r="I392" s="83"/>
      <c r="J392" s="83"/>
      <c r="K392" s="83"/>
      <c r="L392" s="129"/>
      <c r="M392" s="61"/>
      <c r="N392" s="129"/>
      <c r="O392" s="35"/>
      <c r="P392" s="61"/>
      <c r="Q392" s="35"/>
      <c r="R392" s="61"/>
      <c r="S392" s="35"/>
      <c r="T392" s="35"/>
      <c r="U392" s="35"/>
      <c r="V392" s="35"/>
      <c r="W392" s="132"/>
      <c r="X392" s="132"/>
      <c r="Y392" s="132"/>
      <c r="Z392" s="132"/>
      <c r="AA392" s="262"/>
      <c r="AB392" s="51"/>
      <c r="AC392" s="25"/>
      <c r="AD392" s="33"/>
      <c r="AE392" s="25"/>
      <c r="AF392" s="25"/>
      <c r="AG392" s="25"/>
      <c r="AH392" s="25"/>
      <c r="AI392" s="25"/>
      <c r="AJ392" s="116"/>
      <c r="AK392" s="25"/>
    </row>
    <row r="393" spans="1:37" ht="192.75" hidden="1" customHeight="1">
      <c r="A393" s="31"/>
      <c r="B393" s="28" t="str">
        <f t="shared" ref="B393:B404" si="15">LEFT(B392,3) &amp; TEXT(VALUE(RIGHT(B392,5)) + 1,"00000")</f>
        <v>ITP00385</v>
      </c>
      <c r="C393" s="32"/>
      <c r="D393" s="27" t="s">
        <v>909</v>
      </c>
      <c r="E393" s="28" t="s">
        <v>31</v>
      </c>
      <c r="F393" s="27" t="s">
        <v>64</v>
      </c>
      <c r="G393" s="298">
        <v>70</v>
      </c>
      <c r="H393" s="298">
        <v>77</v>
      </c>
      <c r="I393" s="83"/>
      <c r="J393" s="83"/>
      <c r="K393" s="83"/>
      <c r="L393" s="129"/>
      <c r="M393" s="61"/>
      <c r="N393" s="129"/>
      <c r="O393" s="35"/>
      <c r="P393" s="61"/>
      <c r="Q393" s="35"/>
      <c r="R393" s="61"/>
      <c r="S393" s="35"/>
      <c r="T393" s="35"/>
      <c r="U393" s="35"/>
      <c r="V393" s="35"/>
      <c r="W393" s="132"/>
      <c r="X393" s="132"/>
      <c r="Y393" s="132"/>
      <c r="Z393" s="132"/>
      <c r="AA393" s="262"/>
      <c r="AB393" s="51"/>
      <c r="AC393" s="25"/>
      <c r="AD393" s="33"/>
      <c r="AE393" s="25"/>
      <c r="AF393" s="25"/>
      <c r="AG393" s="25"/>
      <c r="AH393" s="25"/>
      <c r="AI393" s="25"/>
      <c r="AJ393" s="116"/>
      <c r="AK393" s="25"/>
    </row>
    <row r="394" spans="1:37" ht="192.75" hidden="1" customHeight="1">
      <c r="A394" s="54"/>
      <c r="B394" s="28" t="str">
        <f t="shared" si="15"/>
        <v>ITP00386</v>
      </c>
      <c r="C394" s="53"/>
      <c r="D394" s="27" t="s">
        <v>910</v>
      </c>
      <c r="E394" s="28" t="s">
        <v>31</v>
      </c>
      <c r="F394" s="27"/>
      <c r="G394" s="303">
        <v>2800</v>
      </c>
      <c r="H394" s="303">
        <v>3080</v>
      </c>
      <c r="I394" s="82"/>
      <c r="J394" s="82"/>
      <c r="K394" s="82"/>
      <c r="L394" s="138"/>
      <c r="M394" s="79"/>
      <c r="N394" s="138"/>
      <c r="O394" s="80"/>
      <c r="P394" s="79"/>
      <c r="Q394" s="80"/>
      <c r="R394" s="79"/>
      <c r="S394" s="80"/>
      <c r="T394" s="80"/>
      <c r="U394" s="80"/>
      <c r="V394" s="80"/>
      <c r="W394" s="141"/>
      <c r="X394" s="141"/>
      <c r="Y394" s="141"/>
      <c r="Z394" s="141"/>
      <c r="AA394" s="273"/>
      <c r="AB394" s="58"/>
      <c r="AC394" s="28"/>
      <c r="AD394" s="55"/>
      <c r="AE394" s="28"/>
      <c r="AF394" s="28"/>
      <c r="AG394" s="28"/>
      <c r="AH394" s="28"/>
      <c r="AI394" s="28"/>
      <c r="AJ394" s="128"/>
      <c r="AK394" s="28"/>
    </row>
    <row r="395" spans="1:37" ht="192.75" hidden="1" customHeight="1">
      <c r="A395" s="28"/>
      <c r="B395" s="28" t="str">
        <f t="shared" si="15"/>
        <v>ITP00387</v>
      </c>
      <c r="C395" s="28"/>
      <c r="D395" s="27" t="s">
        <v>918</v>
      </c>
      <c r="E395" s="28" t="s">
        <v>53</v>
      </c>
      <c r="F395" s="27"/>
      <c r="G395" s="303" t="s">
        <v>919</v>
      </c>
      <c r="H395" s="303" t="s">
        <v>919</v>
      </c>
      <c r="I395" s="82"/>
      <c r="J395" s="82"/>
      <c r="K395" s="82"/>
      <c r="L395" s="138"/>
      <c r="M395" s="79"/>
      <c r="N395" s="138"/>
      <c r="O395" s="80"/>
      <c r="P395" s="79"/>
      <c r="Q395" s="80"/>
      <c r="R395" s="79"/>
      <c r="S395" s="80"/>
      <c r="T395" s="80"/>
      <c r="U395" s="80"/>
      <c r="V395" s="80"/>
      <c r="W395" s="141"/>
      <c r="X395" s="141"/>
      <c r="Y395" s="141"/>
      <c r="Z395" s="141"/>
      <c r="AA395" s="273"/>
      <c r="AB395" s="58"/>
      <c r="AC395" s="28"/>
      <c r="AD395" s="55"/>
      <c r="AE395" s="28"/>
      <c r="AF395" s="28"/>
      <c r="AG395" s="28"/>
      <c r="AH395" s="28"/>
      <c r="AI395" s="28"/>
      <c r="AJ395" s="128"/>
      <c r="AK395" s="28"/>
    </row>
    <row r="396" spans="1:37" ht="192.75" hidden="1" customHeight="1">
      <c r="A396" s="25"/>
      <c r="B396" s="25" t="str">
        <f t="shared" si="15"/>
        <v>ITP00388</v>
      </c>
      <c r="C396" s="25"/>
      <c r="D396" s="24" t="s">
        <v>920</v>
      </c>
      <c r="E396" s="25" t="s">
        <v>53</v>
      </c>
      <c r="F396" s="24" t="s">
        <v>58</v>
      </c>
      <c r="G396" s="298" t="s">
        <v>921</v>
      </c>
      <c r="H396" s="298" t="s">
        <v>922</v>
      </c>
      <c r="I396" s="85"/>
      <c r="J396" s="82"/>
      <c r="K396" s="82"/>
      <c r="L396" s="138"/>
      <c r="M396" s="61"/>
      <c r="N396" s="129"/>
      <c r="O396" s="35"/>
      <c r="P396" s="61"/>
      <c r="Q396" s="35"/>
      <c r="R396" s="61"/>
      <c r="S396" s="35"/>
      <c r="T396" s="35"/>
      <c r="U396" s="35"/>
      <c r="V396" s="35"/>
      <c r="W396" s="132"/>
      <c r="X396" s="132"/>
      <c r="Y396" s="132"/>
      <c r="Z396" s="132"/>
      <c r="AA396" s="262"/>
      <c r="AB396" s="51"/>
      <c r="AC396" s="25"/>
      <c r="AD396" s="33"/>
      <c r="AE396" s="25"/>
      <c r="AF396" s="25"/>
      <c r="AG396" s="25"/>
      <c r="AH396" s="25"/>
      <c r="AI396" s="25"/>
      <c r="AJ396" s="116"/>
      <c r="AK396" s="25"/>
    </row>
    <row r="397" spans="1:37" ht="192.75" hidden="1" customHeight="1">
      <c r="A397" s="28"/>
      <c r="B397" s="28" t="str">
        <f t="shared" si="15"/>
        <v>ITP00389</v>
      </c>
      <c r="C397" s="28"/>
      <c r="D397" s="27" t="s">
        <v>923</v>
      </c>
      <c r="E397" s="28" t="s">
        <v>53</v>
      </c>
      <c r="F397" s="27" t="s">
        <v>58</v>
      </c>
      <c r="G397" s="303" t="s">
        <v>924</v>
      </c>
      <c r="H397" s="303" t="s">
        <v>925</v>
      </c>
      <c r="I397" s="85"/>
      <c r="J397" s="82"/>
      <c r="K397" s="82"/>
      <c r="L397" s="138"/>
      <c r="M397" s="230"/>
      <c r="N397" s="138"/>
      <c r="O397" s="80"/>
      <c r="P397" s="79"/>
      <c r="Q397" s="80"/>
      <c r="R397" s="79"/>
      <c r="S397" s="80"/>
      <c r="T397" s="80"/>
      <c r="U397" s="80"/>
      <c r="V397" s="80"/>
      <c r="W397" s="141"/>
      <c r="X397" s="141"/>
      <c r="Y397" s="141"/>
      <c r="Z397" s="141"/>
      <c r="AA397" s="273"/>
      <c r="AB397" s="58"/>
      <c r="AC397" s="28"/>
      <c r="AD397" s="55"/>
      <c r="AE397" s="28"/>
      <c r="AF397" s="28"/>
      <c r="AG397" s="28"/>
      <c r="AH397" s="28"/>
      <c r="AI397" s="28"/>
      <c r="AJ397" s="128"/>
      <c r="AK397" s="28"/>
    </row>
    <row r="398" spans="1:37" ht="192.75" hidden="1" customHeight="1">
      <c r="A398" s="25"/>
      <c r="B398" s="25" t="str">
        <f t="shared" si="15"/>
        <v>ITP00390</v>
      </c>
      <c r="C398" s="25"/>
      <c r="D398" s="24" t="s">
        <v>926</v>
      </c>
      <c r="E398" s="25" t="s">
        <v>53</v>
      </c>
      <c r="F398" s="24" t="s">
        <v>58</v>
      </c>
      <c r="G398" s="304">
        <v>3600000</v>
      </c>
      <c r="H398" s="304">
        <v>3888000</v>
      </c>
      <c r="I398" s="83"/>
      <c r="J398" s="83"/>
      <c r="K398" s="83"/>
      <c r="L398" s="129"/>
      <c r="M398" s="61"/>
      <c r="N398" s="129"/>
      <c r="O398" s="35"/>
      <c r="P398" s="61"/>
      <c r="Q398" s="35"/>
      <c r="R398" s="61"/>
      <c r="S398" s="35"/>
      <c r="T398" s="35"/>
      <c r="U398" s="35"/>
      <c r="V398" s="35"/>
      <c r="W398" s="132"/>
      <c r="X398" s="132"/>
      <c r="Y398" s="132"/>
      <c r="Z398" s="132"/>
      <c r="AA398" s="262"/>
      <c r="AB398" s="51"/>
      <c r="AC398" s="25"/>
      <c r="AD398" s="33"/>
      <c r="AE398" s="25"/>
      <c r="AF398" s="25"/>
      <c r="AG398" s="25"/>
      <c r="AH398" s="25"/>
      <c r="AI398" s="25"/>
      <c r="AJ398" s="116"/>
      <c r="AK398" s="25"/>
    </row>
    <row r="399" spans="1:37" ht="192.75" hidden="1" customHeight="1">
      <c r="A399" s="28"/>
      <c r="B399" s="28" t="str">
        <f t="shared" si="15"/>
        <v>ITP00391</v>
      </c>
      <c r="C399" s="28"/>
      <c r="D399" s="27" t="s">
        <v>927</v>
      </c>
      <c r="E399" s="25" t="s">
        <v>53</v>
      </c>
      <c r="F399" s="27" t="s">
        <v>191</v>
      </c>
      <c r="G399" s="305">
        <v>4224000</v>
      </c>
      <c r="H399" s="305">
        <v>4224000</v>
      </c>
      <c r="I399" s="82"/>
      <c r="J399" s="82"/>
      <c r="K399" s="82"/>
      <c r="L399" s="138"/>
      <c r="M399" s="79"/>
      <c r="N399" s="138"/>
      <c r="O399" s="80"/>
      <c r="P399" s="79"/>
      <c r="Q399" s="80"/>
      <c r="R399" s="79"/>
      <c r="S399" s="80"/>
      <c r="T399" s="80"/>
      <c r="U399" s="80"/>
      <c r="V399" s="80"/>
      <c r="W399" s="141"/>
      <c r="X399" s="141"/>
      <c r="Y399" s="141"/>
      <c r="Z399" s="141"/>
      <c r="AA399" s="273"/>
      <c r="AB399" s="305">
        <v>4224000</v>
      </c>
      <c r="AC399" s="28"/>
      <c r="AD399" s="55"/>
      <c r="AE399" s="28"/>
      <c r="AF399" s="28"/>
      <c r="AG399" s="28"/>
      <c r="AH399" s="28"/>
      <c r="AI399" s="28"/>
      <c r="AJ399" s="128"/>
      <c r="AK399" s="28"/>
    </row>
    <row r="400" spans="1:37" ht="300.75" hidden="1" customHeight="1">
      <c r="A400" s="25"/>
      <c r="B400" s="25" t="str">
        <f t="shared" si="15"/>
        <v>ITP00392</v>
      </c>
      <c r="C400" s="25"/>
      <c r="D400" s="24" t="s">
        <v>928</v>
      </c>
      <c r="E400" s="25" t="s">
        <v>53</v>
      </c>
      <c r="F400" s="27" t="s">
        <v>191</v>
      </c>
      <c r="G400" s="305">
        <v>10476875</v>
      </c>
      <c r="H400" s="305">
        <v>10476875</v>
      </c>
      <c r="I400" s="83"/>
      <c r="J400" s="83"/>
      <c r="K400" s="83"/>
      <c r="L400" s="129"/>
      <c r="M400" s="61"/>
      <c r="N400" s="129"/>
      <c r="O400" s="35"/>
      <c r="P400" s="61"/>
      <c r="Q400" s="35"/>
      <c r="R400" s="61"/>
      <c r="S400" s="35"/>
      <c r="T400" s="35"/>
      <c r="U400" s="35"/>
      <c r="V400" s="35"/>
      <c r="W400" s="132"/>
      <c r="X400" s="132"/>
      <c r="Y400" s="132"/>
      <c r="Z400" s="132"/>
      <c r="AA400" s="262"/>
      <c r="AB400" s="305">
        <v>10476875</v>
      </c>
      <c r="AC400" s="25"/>
      <c r="AD400" s="33"/>
      <c r="AE400" s="25"/>
      <c r="AF400" s="25"/>
      <c r="AG400" s="25"/>
      <c r="AH400" s="25"/>
      <c r="AI400" s="25"/>
      <c r="AJ400" s="116"/>
      <c r="AK400" s="25"/>
    </row>
    <row r="401" spans="1:37" ht="192.75" hidden="1" customHeight="1">
      <c r="A401" s="25"/>
      <c r="B401" s="25" t="str">
        <f t="shared" si="15"/>
        <v>ITP00393</v>
      </c>
      <c r="C401" s="25"/>
      <c r="D401" s="24" t="s">
        <v>929</v>
      </c>
      <c r="E401" s="25" t="s">
        <v>53</v>
      </c>
      <c r="F401" s="24" t="s">
        <v>839</v>
      </c>
      <c r="G401" s="305">
        <v>500000</v>
      </c>
      <c r="H401" s="305">
        <v>550000</v>
      </c>
      <c r="I401" s="83"/>
      <c r="J401" s="83"/>
      <c r="K401" s="83"/>
      <c r="L401" s="129"/>
      <c r="M401" s="61"/>
      <c r="N401" s="129"/>
      <c r="O401" s="35"/>
      <c r="P401" s="61"/>
      <c r="Q401" s="35"/>
      <c r="R401" s="61"/>
      <c r="S401" s="35"/>
      <c r="T401" s="35"/>
      <c r="U401" s="35"/>
      <c r="V401" s="35"/>
      <c r="W401" s="132"/>
      <c r="X401" s="132"/>
      <c r="Y401" s="132"/>
      <c r="Z401" s="132"/>
      <c r="AA401" s="262"/>
      <c r="AB401" s="305">
        <v>550000</v>
      </c>
      <c r="AC401" s="25"/>
      <c r="AD401" s="33"/>
      <c r="AE401" s="25"/>
      <c r="AF401" s="25"/>
      <c r="AG401" s="25"/>
      <c r="AH401" s="25"/>
      <c r="AI401" s="25"/>
      <c r="AJ401" s="116"/>
      <c r="AK401" s="25"/>
    </row>
    <row r="402" spans="1:37" ht="192.75" hidden="1" customHeight="1">
      <c r="A402" s="28"/>
      <c r="B402" s="28" t="str">
        <f t="shared" si="15"/>
        <v>ITP00394</v>
      </c>
      <c r="C402" s="28"/>
      <c r="D402" s="27" t="s">
        <v>930</v>
      </c>
      <c r="E402" s="28" t="s">
        <v>53</v>
      </c>
      <c r="F402" s="306" t="s">
        <v>107</v>
      </c>
      <c r="G402" s="305">
        <v>1309000</v>
      </c>
      <c r="H402" s="305">
        <v>1309000</v>
      </c>
      <c r="I402" s="85"/>
      <c r="J402" s="82"/>
      <c r="K402" s="82"/>
      <c r="L402" s="138"/>
      <c r="M402" s="79"/>
      <c r="N402" s="138"/>
      <c r="O402" s="80"/>
      <c r="P402" s="79"/>
      <c r="Q402" s="80"/>
      <c r="R402" s="79"/>
      <c r="S402" s="80"/>
      <c r="T402" s="80"/>
      <c r="U402" s="80"/>
      <c r="V402" s="80"/>
      <c r="W402" s="141"/>
      <c r="X402" s="141"/>
      <c r="Y402" s="141"/>
      <c r="Z402" s="141"/>
      <c r="AA402" s="273"/>
      <c r="AB402" s="305">
        <v>1309000</v>
      </c>
      <c r="AC402" s="28"/>
      <c r="AD402" s="55"/>
      <c r="AE402" s="28"/>
      <c r="AF402" s="28"/>
      <c r="AG402" s="28"/>
      <c r="AH402" s="28"/>
      <c r="AI402" s="28"/>
      <c r="AJ402" s="128"/>
      <c r="AK402" s="28"/>
    </row>
    <row r="403" spans="1:37" ht="409.5" hidden="1" customHeight="1">
      <c r="A403" s="54"/>
      <c r="B403" s="28" t="str">
        <f t="shared" si="15"/>
        <v>ITP00395</v>
      </c>
      <c r="C403" s="307"/>
      <c r="D403" s="27" t="s">
        <v>931</v>
      </c>
      <c r="E403" s="28" t="s">
        <v>53</v>
      </c>
      <c r="F403" s="27" t="s">
        <v>230</v>
      </c>
      <c r="G403" s="305">
        <v>15767100</v>
      </c>
      <c r="H403" s="305">
        <v>17343810</v>
      </c>
      <c r="I403" s="85"/>
      <c r="J403" s="82"/>
      <c r="K403" s="82"/>
      <c r="L403" s="138"/>
      <c r="M403" s="79"/>
      <c r="N403" s="138"/>
      <c r="O403" s="80"/>
      <c r="P403" s="79"/>
      <c r="Q403" s="80"/>
      <c r="R403" s="79"/>
      <c r="S403" s="80"/>
      <c r="T403" s="80"/>
      <c r="U403" s="80"/>
      <c r="V403" s="80"/>
      <c r="W403" s="141"/>
      <c r="X403" s="141"/>
      <c r="Y403" s="141"/>
      <c r="Z403" s="141"/>
      <c r="AA403" s="273"/>
      <c r="AB403" s="58"/>
      <c r="AC403" s="28"/>
      <c r="AD403" s="55"/>
      <c r="AE403" s="28"/>
      <c r="AF403" s="28"/>
      <c r="AG403" s="28"/>
      <c r="AH403" s="28"/>
      <c r="AI403" s="28"/>
      <c r="AJ403" s="128"/>
      <c r="AK403" s="28"/>
    </row>
    <row r="404" spans="1:37" ht="409.5" hidden="1" customHeight="1">
      <c r="A404" s="31"/>
      <c r="B404" s="25" t="str">
        <f t="shared" si="15"/>
        <v>ITP00396</v>
      </c>
      <c r="C404" s="25"/>
      <c r="D404" s="24" t="s">
        <v>932</v>
      </c>
      <c r="E404" s="25" t="s">
        <v>53</v>
      </c>
      <c r="F404" s="24" t="s">
        <v>58</v>
      </c>
      <c r="G404" s="304">
        <v>137150000</v>
      </c>
      <c r="H404" s="304">
        <v>148122000</v>
      </c>
      <c r="I404" s="84"/>
      <c r="J404" s="83"/>
      <c r="K404" s="83"/>
      <c r="L404" s="129"/>
      <c r="M404" s="61"/>
      <c r="N404" s="129"/>
      <c r="O404" s="35"/>
      <c r="P404" s="61"/>
      <c r="Q404" s="35"/>
      <c r="R404" s="61"/>
      <c r="S404" s="35"/>
      <c r="T404" s="35"/>
      <c r="U404" s="35"/>
      <c r="V404" s="35"/>
      <c r="W404" s="132"/>
      <c r="X404" s="132"/>
      <c r="Y404" s="132"/>
      <c r="Z404" s="132"/>
      <c r="AA404" s="262"/>
      <c r="AB404" s="51"/>
      <c r="AC404" s="25"/>
      <c r="AD404" s="33"/>
      <c r="AE404" s="25"/>
      <c r="AF404" s="25"/>
      <c r="AG404" s="25"/>
      <c r="AH404" s="25"/>
      <c r="AI404" s="25"/>
      <c r="AJ404" s="116"/>
      <c r="AK404" s="25"/>
    </row>
    <row r="405" spans="1:37" ht="129.75" hidden="1" customHeight="1">
      <c r="A405" s="31"/>
      <c r="B405" s="25" t="str">
        <f>LEFT(B404,3) &amp; TEXT(VALUE(RIGHT(B404,5)) + 1,"00000")</f>
        <v>ITP00397</v>
      </c>
      <c r="C405" s="25"/>
      <c r="D405" s="24" t="s">
        <v>933</v>
      </c>
      <c r="E405" s="25" t="s">
        <v>749</v>
      </c>
      <c r="F405" s="24" t="s">
        <v>468</v>
      </c>
      <c r="G405" s="305">
        <v>22977000</v>
      </c>
      <c r="H405" s="305">
        <v>22977000</v>
      </c>
      <c r="I405" s="84"/>
      <c r="J405" s="83"/>
      <c r="K405" s="83"/>
      <c r="L405" s="129"/>
      <c r="M405" s="61"/>
      <c r="N405" s="129"/>
      <c r="O405" s="35"/>
      <c r="P405" s="61"/>
      <c r="Q405" s="35"/>
      <c r="R405" s="61"/>
      <c r="S405" s="35"/>
      <c r="T405" s="35"/>
      <c r="U405" s="35"/>
      <c r="V405" s="35"/>
      <c r="W405" s="132"/>
      <c r="X405" s="132"/>
      <c r="Y405" s="132"/>
      <c r="Z405" s="132"/>
      <c r="AA405" s="262"/>
      <c r="AB405" s="51"/>
      <c r="AC405" s="25"/>
      <c r="AD405" s="33"/>
      <c r="AE405" s="25"/>
      <c r="AF405" s="25"/>
      <c r="AG405" s="25"/>
      <c r="AH405" s="25"/>
      <c r="AI405" s="25"/>
      <c r="AJ405" s="116"/>
      <c r="AK405" s="25"/>
    </row>
    <row r="406" spans="1:37" ht="129.75" hidden="1" customHeight="1">
      <c r="A406" s="31"/>
      <c r="B406" s="25" t="str">
        <f>LEFT(B405,3) &amp; TEXT(VALUE(RIGHT(B405,5)) + 1,"00000")</f>
        <v>ITP00398</v>
      </c>
      <c r="C406" s="25"/>
      <c r="D406" s="24" t="s">
        <v>934</v>
      </c>
      <c r="E406" s="25" t="s">
        <v>31</v>
      </c>
      <c r="F406" s="38" t="s">
        <v>47</v>
      </c>
      <c r="G406" s="298">
        <v>3193.6</v>
      </c>
      <c r="H406" s="298">
        <v>3193.6</v>
      </c>
      <c r="I406" s="84"/>
      <c r="J406" s="83"/>
      <c r="K406" s="83"/>
      <c r="L406" s="129"/>
      <c r="M406" s="61"/>
      <c r="N406" s="129"/>
      <c r="O406" s="35"/>
      <c r="P406" s="61"/>
      <c r="Q406" s="35"/>
      <c r="R406" s="61"/>
      <c r="S406" s="35"/>
      <c r="T406" s="35"/>
      <c r="U406" s="35"/>
      <c r="V406" s="35"/>
      <c r="W406" s="132"/>
      <c r="X406" s="132"/>
      <c r="Y406" s="132"/>
      <c r="Z406" s="132"/>
      <c r="AA406" s="262"/>
      <c r="AB406" s="51"/>
      <c r="AC406" s="25"/>
      <c r="AD406" s="33"/>
      <c r="AE406" s="25"/>
      <c r="AF406" s="25"/>
      <c r="AG406" s="25"/>
      <c r="AH406" s="25"/>
      <c r="AI406" s="25"/>
      <c r="AJ406" s="116"/>
      <c r="AK406" s="25"/>
    </row>
    <row r="407" spans="1:37" hidden="1">
      <c r="A407" s="315" t="s">
        <v>935</v>
      </c>
      <c r="B407" s="315"/>
      <c r="C407" s="287"/>
    </row>
    <row r="408" spans="1:37" ht="15" hidden="1" customHeight="1">
      <c r="A408" s="25"/>
      <c r="B408" s="217" t="s">
        <v>936</v>
      </c>
      <c r="C408" s="256"/>
    </row>
    <row r="409" spans="1:37" ht="15" hidden="1" customHeight="1">
      <c r="A409" s="25"/>
      <c r="B409" s="234" t="s">
        <v>937</v>
      </c>
      <c r="C409" s="290"/>
    </row>
    <row r="410" spans="1:37" ht="15" hidden="1" customHeight="1">
      <c r="A410" s="25"/>
      <c r="B410" s="235" t="s">
        <v>938</v>
      </c>
      <c r="C410" s="291"/>
    </row>
    <row r="411" spans="1:37" ht="25.5" customHeight="1">
      <c r="AB411" s="308"/>
    </row>
    <row r="416" spans="1:37" ht="15" customHeight="1">
      <c r="AA416" s="58"/>
    </row>
  </sheetData>
  <autoFilter ref="A1:AK410" xr:uid="{38A927C6-9CAB-4A96-805A-C50FCD592367}">
    <filterColumn colId="5">
      <filters>
        <filter val="FPT"/>
        <filter val="FTI (FPT)"/>
      </filters>
    </filterColumn>
    <filterColumn colId="9" showButton="0"/>
    <filterColumn colId="11" showButton="0"/>
    <filterColumn colId="12" showButton="0"/>
    <filterColumn colId="14" showButton="0"/>
    <filterColumn colId="15" showButton="0"/>
    <filterColumn colId="17" showButton="0"/>
    <filterColumn colId="19" showButton="0"/>
    <filterColumn colId="20" showButton="0"/>
    <filterColumn colId="22" showButton="0"/>
    <filterColumn colId="23" showButton="0"/>
    <filterColumn colId="24" showButton="0"/>
    <filterColumn colId="25" showButton="0"/>
    <filterColumn colId="27" showButton="0"/>
    <filterColumn colId="28" showButton="0"/>
    <filterColumn colId="29" showButton="0"/>
    <filterColumn colId="31" showButton="0"/>
    <filterColumn colId="32" showButton="0"/>
    <filterColumn colId="34" showButton="0"/>
  </autoFilter>
  <mergeCells count="38">
    <mergeCell ref="AJ41:AJ43"/>
    <mergeCell ref="AI1:AJ1"/>
    <mergeCell ref="A90:A93"/>
    <mergeCell ref="B90:B93"/>
    <mergeCell ref="E90:E93"/>
    <mergeCell ref="F90:F93"/>
    <mergeCell ref="AF41:AF43"/>
    <mergeCell ref="B41:B43"/>
    <mergeCell ref="E41:E43"/>
    <mergeCell ref="F41:F43"/>
    <mergeCell ref="AE41:AE43"/>
    <mergeCell ref="V41:V43"/>
    <mergeCell ref="J41:J43"/>
    <mergeCell ref="K41:K43"/>
    <mergeCell ref="I41:I43"/>
    <mergeCell ref="AG41:AG43"/>
    <mergeCell ref="AH41:AH43"/>
    <mergeCell ref="Q41:Q43"/>
    <mergeCell ref="AB41:AB43"/>
    <mergeCell ref="AI41:AI43"/>
    <mergeCell ref="AF1:AH1"/>
    <mergeCell ref="AB1:AE1"/>
    <mergeCell ref="J1:K1"/>
    <mergeCell ref="L1:N1"/>
    <mergeCell ref="O1:Q1"/>
    <mergeCell ref="T1:V1"/>
    <mergeCell ref="W1:AA1"/>
    <mergeCell ref="R1:S1"/>
    <mergeCell ref="M41:M43"/>
    <mergeCell ref="AC41:AC43"/>
    <mergeCell ref="AD41:AD43"/>
    <mergeCell ref="L41:L43"/>
    <mergeCell ref="A407:B407"/>
    <mergeCell ref="N41:N43"/>
    <mergeCell ref="B134:B136"/>
    <mergeCell ref="A134:A136"/>
    <mergeCell ref="E134:E136"/>
    <mergeCell ref="F134:F136"/>
  </mergeCells>
  <phoneticPr fontId="1" type="noConversion"/>
  <conditionalFormatting sqref="A6:A90 D78:F82 AG115:XFD122 W128:Z128 X129:Z129 W130:Z131 D153:D157 AC135 AE135:AK135 AC166:AC170 AC171:AD171 B159:C181 AA179:XFD183 W181:Z181 B182:Z195 W198:Z198 D199:Z200 D201:F201 I201:Z201 AA196:XFD198 W204:Z205 B196:C205 AA202:AK205 D407:AK407 AL204:XFD209 D207:Z209 B207:C207 W212:Z212 AA210:XFD212 AL214:XFD220 B209:C214 W214:AK214 W213:XFD213 B215:Z219 B220:G220 I220:Z220 W223:AB223 AA221:AB222 AD221:XFD223 W229:AB229 AA227:AB228 A230:E230 G230:AB230 B221:C231 A231:AB231 A232:E232 G232:AB232 W233:AB237 W240:AB240 AA238:AB239 A241:A242 B233:C242 D241:E242 A243:E243 G241:AB243 W244:AB245 F246:F252 A246:D252 I252:AK252 W254:AB254 AA253:AB253 AL224:XFD255 AA255:AB255 AD253:AK255 A259 AL259:XFD278 A256 G256:AB256 W257:AB258 D256:E256 D259 B244:C259 AD256:XFD258 G259:AK260 A260:E260 G261:AB261 W262:AB263 C262:C263 A261 C261:E261 AD261:AK263 I246:AB251 AD227:AK251 A264:D264 A265:C266 A267:D269 F264:F269 I264:AK269 W271:AB271 AA270:AB270 AA272:AB272 C270:C272 G273:AB273 W274:AB275 C274:C275 A273 C273:E273 B261:B277 W280:AB280 AA279:AB279 A276:E278 G276:AB278 AA281:AB282 A408:AK1048576 AA284:AB284 AA283 AD270:AK278 W281:Z288 B279:C288 D283:F288 AC281:AC288 I283:V288 C292:D292 G289:AB289 W290:AB291 C290:C291 A289 C289:E289 AD279:XFD291 B289:B292 F292 I292:XFD295 B293:F293 I296:AA321 AC296:XFD321 F294:F321 B294:D321 G322:AB322 C323:C324 A322 C322:E322 W323:AB324 B322:B336 AD322:XFD325 I325:AA363 F325:F362 AC353:AK364 AC326:XFD352 I364:X364 AA364 AD365:AK365 AL353:XFD1048576 I365:AA404 AC366:AK404 F364:F392 E326:E392 G338:H392 B325:D392 B393:H404 B405:AK406 AA286:AB288 AA285 AB342:AB404">
    <cfRule type="cellIs" dxfId="1419" priority="2201" operator="equal">
      <formula>"Done"</formula>
    </cfRule>
    <cfRule type="cellIs" dxfId="1418" priority="2202" operator="equal">
      <formula>"Approved"</formula>
    </cfRule>
    <cfRule type="cellIs" dxfId="1417" priority="2203" operator="equal">
      <formula>"Get Approval"</formula>
    </cfRule>
    <cfRule type="cellIs" dxfId="1416" priority="2204" operator="equal">
      <formula>"Partial Approval"</formula>
    </cfRule>
    <cfRule type="cellIs" dxfId="1415" priority="2205" operator="equal">
      <formula>"Reviewing"</formula>
    </cfRule>
  </conditionalFormatting>
  <conditionalFormatting sqref="A1:F2 D91:D93 J104:V106 A407 A4:F5 A3:E3">
    <cfRule type="cellIs" dxfId="1414" priority="2441" operator="equal">
      <formula>"Done"</formula>
    </cfRule>
    <cfRule type="cellIs" dxfId="1413" priority="2442" operator="equal">
      <formula>"Approved"</formula>
    </cfRule>
    <cfRule type="cellIs" dxfId="1412" priority="2443" operator="equal">
      <formula>"Get Approval"</formula>
    </cfRule>
    <cfRule type="cellIs" dxfId="1411" priority="2444" operator="equal">
      <formula>"Partial Approval"</formula>
    </cfRule>
    <cfRule type="cellIs" dxfId="1410" priority="2445" operator="equal">
      <formula>"Reviewing"</formula>
    </cfRule>
  </conditionalFormatting>
  <conditionalFormatting sqref="B99:C105">
    <cfRule type="cellIs" dxfId="1409" priority="2006" operator="equal">
      <formula>"Done"</formula>
    </cfRule>
    <cfRule type="cellIs" dxfId="1408" priority="2007" operator="equal">
      <formula>"Approved"</formula>
    </cfRule>
    <cfRule type="cellIs" dxfId="1407" priority="2008" operator="equal">
      <formula>"Get Approval"</formula>
    </cfRule>
    <cfRule type="cellIs" dxfId="1406" priority="2009" operator="equal">
      <formula>"Partial Approval"</formula>
    </cfRule>
    <cfRule type="cellIs" dxfId="1405" priority="2010" operator="equal">
      <formula>"Reviewing"</formula>
    </cfRule>
  </conditionalFormatting>
  <conditionalFormatting sqref="B127:C134">
    <cfRule type="cellIs" dxfId="1404" priority="1336" operator="equal">
      <formula>"Done"</formula>
    </cfRule>
    <cfRule type="cellIs" dxfId="1403" priority="1337" operator="equal">
      <formula>"Approved"</formula>
    </cfRule>
    <cfRule type="cellIs" dxfId="1402" priority="1338" operator="equal">
      <formula>"Get Approval"</formula>
    </cfRule>
    <cfRule type="cellIs" dxfId="1401" priority="1339" operator="equal">
      <formula>"Partial Approval"</formula>
    </cfRule>
    <cfRule type="cellIs" dxfId="1400" priority="1340" operator="equal">
      <formula>"Reviewing"</formula>
    </cfRule>
  </conditionalFormatting>
  <conditionalFormatting sqref="B46:D47">
    <cfRule type="cellIs" dxfId="1399" priority="2526" operator="equal">
      <formula>"Done"</formula>
    </cfRule>
    <cfRule type="cellIs" dxfId="1398" priority="2527" operator="equal">
      <formula>"Approved"</formula>
    </cfRule>
    <cfRule type="cellIs" dxfId="1397" priority="2528" operator="equal">
      <formula>"Get Approval"</formula>
    </cfRule>
    <cfRule type="cellIs" dxfId="1396" priority="2529" operator="equal">
      <formula>"Partial Approval"</formula>
    </cfRule>
    <cfRule type="cellIs" dxfId="1395" priority="2530" operator="equal">
      <formula>"Reviewing"</formula>
    </cfRule>
  </conditionalFormatting>
  <conditionalFormatting sqref="B69:F69">
    <cfRule type="cellIs" dxfId="1394" priority="2376" operator="equal">
      <formula>"Done"</formula>
    </cfRule>
    <cfRule type="cellIs" dxfId="1393" priority="2377" operator="equal">
      <formula>"Approved"</formula>
    </cfRule>
    <cfRule type="cellIs" dxfId="1392" priority="2378" operator="equal">
      <formula>"Get Approval"</formula>
    </cfRule>
    <cfRule type="cellIs" dxfId="1391" priority="2379" operator="equal">
      <formula>"Partial Approval"</formula>
    </cfRule>
    <cfRule type="cellIs" dxfId="1390" priority="2380" operator="equal">
      <formula>"Reviewing"</formula>
    </cfRule>
  </conditionalFormatting>
  <conditionalFormatting sqref="B98:F98">
    <cfRule type="cellIs" dxfId="1389" priority="2026" operator="equal">
      <formula>"Done"</formula>
    </cfRule>
    <cfRule type="cellIs" dxfId="1388" priority="2027" operator="equal">
      <formula>"Approved"</formula>
    </cfRule>
    <cfRule type="cellIs" dxfId="1387" priority="2028" operator="equal">
      <formula>"Get Approval"</formula>
    </cfRule>
    <cfRule type="cellIs" dxfId="1386" priority="2029" operator="equal">
      <formula>"Partial Approval"</formula>
    </cfRule>
    <cfRule type="cellIs" dxfId="1385" priority="2030" operator="equal">
      <formula>"Reviewing"</formula>
    </cfRule>
  </conditionalFormatting>
  <conditionalFormatting sqref="B110:H114 B115:E115 G115:H115">
    <cfRule type="cellIs" dxfId="1384" priority="1801" operator="equal">
      <formula>"Done"</formula>
    </cfRule>
    <cfRule type="cellIs" dxfId="1383" priority="1802" operator="equal">
      <formula>"Approved"</formula>
    </cfRule>
    <cfRule type="cellIs" dxfId="1382" priority="1803" operator="equal">
      <formula>"Get Approval"</formula>
    </cfRule>
    <cfRule type="cellIs" dxfId="1381" priority="1804" operator="equal">
      <formula>"Partial Approval"</formula>
    </cfRule>
    <cfRule type="cellIs" dxfId="1380" priority="1805" operator="equal">
      <formula>"Reviewing"</formula>
    </cfRule>
  </conditionalFormatting>
  <conditionalFormatting sqref="B106:I106">
    <cfRule type="cellIs" dxfId="1379" priority="1681" operator="equal">
      <formula>"Done"</formula>
    </cfRule>
    <cfRule type="cellIs" dxfId="1378" priority="1682" operator="equal">
      <formula>"Approved"</formula>
    </cfRule>
    <cfRule type="cellIs" dxfId="1377" priority="1683" operator="equal">
      <formula>"Get Approval"</formula>
    </cfRule>
    <cfRule type="cellIs" dxfId="1376" priority="1684" operator="equal">
      <formula>"Partial Approval"</formula>
    </cfRule>
    <cfRule type="cellIs" dxfId="1375" priority="1685" operator="equal">
      <formula>"Reviewing"</formula>
    </cfRule>
  </conditionalFormatting>
  <conditionalFormatting sqref="B44:V45">
    <cfRule type="cellIs" dxfId="1374" priority="2561" operator="equal">
      <formula>"Done"</formula>
    </cfRule>
    <cfRule type="cellIs" dxfId="1373" priority="2562" operator="equal">
      <formula>"Approved"</formula>
    </cfRule>
    <cfRule type="cellIs" dxfId="1372" priority="2563" operator="equal">
      <formula>"Get Approval"</formula>
    </cfRule>
    <cfRule type="cellIs" dxfId="1371" priority="2564" operator="equal">
      <formula>"Partial Approval"</formula>
    </cfRule>
    <cfRule type="cellIs" dxfId="1370" priority="2565" operator="equal">
      <formula>"Reviewing"</formula>
    </cfRule>
  </conditionalFormatting>
  <conditionalFormatting sqref="B107:V109">
    <cfRule type="cellIs" dxfId="1369" priority="1876" operator="equal">
      <formula>"Done"</formula>
    </cfRule>
    <cfRule type="cellIs" dxfId="1368" priority="1877" operator="equal">
      <formula>"Approved"</formula>
    </cfRule>
    <cfRule type="cellIs" dxfId="1367" priority="1878" operator="equal">
      <formula>"Get Approval"</formula>
    </cfRule>
    <cfRule type="cellIs" dxfId="1366" priority="1879" operator="equal">
      <formula>"Partial Approval"</formula>
    </cfRule>
    <cfRule type="cellIs" dxfId="1365" priority="1880" operator="equal">
      <formula>"Reviewing"</formula>
    </cfRule>
  </conditionalFormatting>
  <conditionalFormatting sqref="B53:W56">
    <cfRule type="cellIs" dxfId="1364" priority="2546" operator="equal">
      <formula>"Done"</formula>
    </cfRule>
    <cfRule type="cellIs" dxfId="1363" priority="2547" operator="equal">
      <formula>"Approved"</formula>
    </cfRule>
    <cfRule type="cellIs" dxfId="1362" priority="2548" operator="equal">
      <formula>"Get Approval"</formula>
    </cfRule>
    <cfRule type="cellIs" dxfId="1361" priority="2549" operator="equal">
      <formula>"Partial Approval"</formula>
    </cfRule>
    <cfRule type="cellIs" dxfId="1360" priority="2550" operator="equal">
      <formula>"Reviewing"</formula>
    </cfRule>
  </conditionalFormatting>
  <conditionalFormatting sqref="B122:AF122 B116:Y119 AA116:AF119 B120:F121 I120:AF121">
    <cfRule type="cellIs" dxfId="1359" priority="1276" operator="equal">
      <formula>"Done"</formula>
    </cfRule>
    <cfRule type="cellIs" dxfId="1358" priority="1277" operator="equal">
      <formula>"Approved"</formula>
    </cfRule>
    <cfRule type="cellIs" dxfId="1357" priority="1278" operator="equal">
      <formula>"Get Approval"</formula>
    </cfRule>
    <cfRule type="cellIs" dxfId="1356" priority="1279" operator="equal">
      <formula>"Partial Approval"</formula>
    </cfRule>
    <cfRule type="cellIs" dxfId="1355" priority="1280" operator="equal">
      <formula>"Reviewing"</formula>
    </cfRule>
  </conditionalFormatting>
  <conditionalFormatting sqref="B123:XFD124 B126:XFD126 B125:X125 AA125:XFD125">
    <cfRule type="cellIs" dxfId="1354" priority="1231" operator="equal">
      <formula>"Done"</formula>
    </cfRule>
    <cfRule type="cellIs" dxfId="1353" priority="1232" operator="equal">
      <formula>"Approved"</formula>
    </cfRule>
    <cfRule type="cellIs" dxfId="1352" priority="1233" operator="equal">
      <formula>"Get Approval"</formula>
    </cfRule>
    <cfRule type="cellIs" dxfId="1351" priority="1234" operator="equal">
      <formula>"Partial Approval"</formula>
    </cfRule>
    <cfRule type="cellIs" dxfId="1350" priority="1235" operator="equal">
      <formula>"Reviewing"</formula>
    </cfRule>
  </conditionalFormatting>
  <conditionalFormatting sqref="D83:D87">
    <cfRule type="cellIs" dxfId="1349" priority="2171" operator="equal">
      <formula>"Done"</formula>
    </cfRule>
    <cfRule type="cellIs" dxfId="1348" priority="2172" operator="equal">
      <formula>"Approved"</formula>
    </cfRule>
    <cfRule type="cellIs" dxfId="1347" priority="2173" operator="equal">
      <formula>"Get Approval"</formula>
    </cfRule>
    <cfRule type="cellIs" dxfId="1346" priority="2174" operator="equal">
      <formula>"Partial Approval"</formula>
    </cfRule>
    <cfRule type="cellIs" dxfId="1345" priority="2175" operator="equal">
      <formula>"Reviewing"</formula>
    </cfRule>
  </conditionalFormatting>
  <conditionalFormatting sqref="D134:D136">
    <cfRule type="cellIs" dxfId="1344" priority="1211" operator="equal">
      <formula>"Done"</formula>
    </cfRule>
    <cfRule type="cellIs" dxfId="1343" priority="1212" operator="equal">
      <formula>"Approved"</formula>
    </cfRule>
    <cfRule type="cellIs" dxfId="1342" priority="1213" operator="equal">
      <formula>"Get Approval"</formula>
    </cfRule>
    <cfRule type="cellIs" dxfId="1341" priority="1214" operator="equal">
      <formula>"Partial Approval"</formula>
    </cfRule>
    <cfRule type="cellIs" dxfId="1340" priority="1215" operator="equal">
      <formula>"Reviewing"</formula>
    </cfRule>
  </conditionalFormatting>
  <conditionalFormatting sqref="D70:F71">
    <cfRule type="cellIs" dxfId="1339" priority="2371" operator="equal">
      <formula>"Done"</formula>
    </cfRule>
    <cfRule type="cellIs" dxfId="1338" priority="2372" operator="equal">
      <formula>"Approved"</formula>
    </cfRule>
    <cfRule type="cellIs" dxfId="1337" priority="2373" operator="equal">
      <formula>"Get Approval"</formula>
    </cfRule>
    <cfRule type="cellIs" dxfId="1336" priority="2374" operator="equal">
      <formula>"Partial Approval"</formula>
    </cfRule>
    <cfRule type="cellIs" dxfId="1335" priority="2375" operator="equal">
      <formula>"Reviewing"</formula>
    </cfRule>
  </conditionalFormatting>
  <conditionalFormatting sqref="D88:F89 I88:Y89 G91:AA93">
    <cfRule type="cellIs" dxfId="1334" priority="2046" operator="equal">
      <formula>"Done"</formula>
    </cfRule>
    <cfRule type="cellIs" dxfId="1333" priority="2047" operator="equal">
      <formula>"Approved"</formula>
    </cfRule>
    <cfRule type="cellIs" dxfId="1332" priority="2048" operator="equal">
      <formula>"Get Approval"</formula>
    </cfRule>
    <cfRule type="cellIs" dxfId="1331" priority="2049" operator="equal">
      <formula>"Partial Approval"</formula>
    </cfRule>
    <cfRule type="cellIs" dxfId="1330" priority="2050" operator="equal">
      <formula>"Reviewing"</formula>
    </cfRule>
  </conditionalFormatting>
  <conditionalFormatting sqref="D97:F97">
    <cfRule type="cellIs" dxfId="1329" priority="2041" operator="equal">
      <formula>"Done"</formula>
    </cfRule>
    <cfRule type="cellIs" dxfId="1328" priority="2042" operator="equal">
      <formula>"Approved"</formula>
    </cfRule>
    <cfRule type="cellIs" dxfId="1327" priority="2043" operator="equal">
      <formula>"Get Approval"</formula>
    </cfRule>
    <cfRule type="cellIs" dxfId="1326" priority="2044" operator="equal">
      <formula>"Partial Approval"</formula>
    </cfRule>
    <cfRule type="cellIs" dxfId="1325" priority="2045" operator="equal">
      <formula>"Reviewing"</formula>
    </cfRule>
  </conditionalFormatting>
  <conditionalFormatting sqref="D131:F133 E134:F134">
    <cfRule type="cellIs" dxfId="1324" priority="1251" operator="equal">
      <formula>"Done"</formula>
    </cfRule>
    <cfRule type="cellIs" dxfId="1323" priority="1252" operator="equal">
      <formula>"Approved"</formula>
    </cfRule>
    <cfRule type="cellIs" dxfId="1322" priority="1253" operator="equal">
      <formula>"Get Approval"</formula>
    </cfRule>
    <cfRule type="cellIs" dxfId="1321" priority="1254" operator="equal">
      <formula>"Partial Approval"</formula>
    </cfRule>
    <cfRule type="cellIs" dxfId="1320" priority="1255" operator="equal">
      <formula>"Reviewing"</formula>
    </cfRule>
  </conditionalFormatting>
  <conditionalFormatting sqref="D68:H68">
    <cfRule type="cellIs" dxfId="1319" priority="2426" operator="equal">
      <formula>"Done"</formula>
    </cfRule>
    <cfRule type="cellIs" dxfId="1318" priority="2427" operator="equal">
      <formula>"Approved"</formula>
    </cfRule>
    <cfRule type="cellIs" dxfId="1317" priority="2428" operator="equal">
      <formula>"Get Approval"</formula>
    </cfRule>
    <cfRule type="cellIs" dxfId="1316" priority="2429" operator="equal">
      <formula>"Partial Approval"</formula>
    </cfRule>
    <cfRule type="cellIs" dxfId="1315" priority="2430" operator="equal">
      <formula>"Reviewing"</formula>
    </cfRule>
  </conditionalFormatting>
  <conditionalFormatting sqref="D103:I105">
    <cfRule type="cellIs" dxfId="1314" priority="1886" operator="equal">
      <formula>"Done"</formula>
    </cfRule>
    <cfRule type="cellIs" dxfId="1313" priority="1887" operator="equal">
      <formula>"Approved"</formula>
    </cfRule>
    <cfRule type="cellIs" dxfId="1312" priority="1888" operator="equal">
      <formula>"Get Approval"</formula>
    </cfRule>
    <cfRule type="cellIs" dxfId="1311" priority="1889" operator="equal">
      <formula>"Partial Approval"</formula>
    </cfRule>
    <cfRule type="cellIs" dxfId="1310" priority="1890" operator="equal">
      <formula>"Reviewing"</formula>
    </cfRule>
  </conditionalFormatting>
  <conditionalFormatting sqref="D128:V130 O131:V131">
    <cfRule type="cellIs" dxfId="1309" priority="1316" operator="equal">
      <formula>"Done"</formula>
    </cfRule>
    <cfRule type="cellIs" dxfId="1308" priority="1317" operator="equal">
      <formula>"Approved"</formula>
    </cfRule>
    <cfRule type="cellIs" dxfId="1307" priority="1318" operator="equal">
      <formula>"Get Approval"</formula>
    </cfRule>
    <cfRule type="cellIs" dxfId="1306" priority="1319" operator="equal">
      <formula>"Partial Approval"</formula>
    </cfRule>
    <cfRule type="cellIs" dxfId="1305" priority="1320" operator="equal">
      <formula>"Reviewing"</formula>
    </cfRule>
  </conditionalFormatting>
  <conditionalFormatting sqref="D57:W66">
    <cfRule type="cellIs" dxfId="1304" priority="1481" operator="equal">
      <formula>"Done"</formula>
    </cfRule>
    <cfRule type="cellIs" dxfId="1303" priority="1482" operator="equal">
      <formula>"Approved"</formula>
    </cfRule>
    <cfRule type="cellIs" dxfId="1302" priority="1483" operator="equal">
      <formula>"Get Approval"</formula>
    </cfRule>
    <cfRule type="cellIs" dxfId="1301" priority="1484" operator="equal">
      <formula>"Partial Approval"</formula>
    </cfRule>
    <cfRule type="cellIs" dxfId="1300" priority="1485" operator="equal">
      <formula>"Reviewing"</formula>
    </cfRule>
  </conditionalFormatting>
  <conditionalFormatting sqref="D67:Y67">
    <cfRule type="cellIs" dxfId="1299" priority="2331" operator="equal">
      <formula>"Done"</formula>
    </cfRule>
    <cfRule type="cellIs" dxfId="1298" priority="2332" operator="equal">
      <formula>"Approved"</formula>
    </cfRule>
    <cfRule type="cellIs" dxfId="1297" priority="2333" operator="equal">
      <formula>"Get Approval"</formula>
    </cfRule>
    <cfRule type="cellIs" dxfId="1296" priority="2334" operator="equal">
      <formula>"Partial Approval"</formula>
    </cfRule>
    <cfRule type="cellIs" dxfId="1295" priority="2335" operator="equal">
      <formula>"Reviewing"</formula>
    </cfRule>
  </conditionalFormatting>
  <conditionalFormatting sqref="D72:Y73 D77:AA77">
    <cfRule type="cellIs" dxfId="1294" priority="1666" operator="equal">
      <formula>"Done"</formula>
    </cfRule>
    <cfRule type="cellIs" dxfId="1293" priority="1667" operator="equal">
      <formula>"Approved"</formula>
    </cfRule>
    <cfRule type="cellIs" dxfId="1292" priority="1668" operator="equal">
      <formula>"Get Approval"</formula>
    </cfRule>
    <cfRule type="cellIs" dxfId="1291" priority="1669" operator="equal">
      <formula>"Partial Approval"</formula>
    </cfRule>
    <cfRule type="cellIs" dxfId="1290" priority="1670" operator="equal">
      <formula>"Reviewing"</formula>
    </cfRule>
  </conditionalFormatting>
  <conditionalFormatting sqref="D99:Y102">
    <cfRule type="cellIs" dxfId="1289" priority="1406" operator="equal">
      <formula>"Done"</formula>
    </cfRule>
    <cfRule type="cellIs" dxfId="1288" priority="1407" operator="equal">
      <formula>"Approved"</formula>
    </cfRule>
    <cfRule type="cellIs" dxfId="1287" priority="1408" operator="equal">
      <formula>"Get Approval"</formula>
    </cfRule>
    <cfRule type="cellIs" dxfId="1286" priority="1409" operator="equal">
      <formula>"Partial Approval"</formula>
    </cfRule>
    <cfRule type="cellIs" dxfId="1285" priority="1410" operator="equal">
      <formula>"Reviewing"</formula>
    </cfRule>
  </conditionalFormatting>
  <conditionalFormatting sqref="D50:AA52">
    <cfRule type="cellIs" dxfId="1284" priority="1631" operator="equal">
      <formula>"Done"</formula>
    </cfRule>
    <cfRule type="cellIs" dxfId="1283" priority="1632" operator="equal">
      <formula>"Approved"</formula>
    </cfRule>
    <cfRule type="cellIs" dxfId="1282" priority="1633" operator="equal">
      <formula>"Get Approval"</formula>
    </cfRule>
    <cfRule type="cellIs" dxfId="1281" priority="1634" operator="equal">
      <formula>"Partial Approval"</formula>
    </cfRule>
    <cfRule type="cellIs" dxfId="1280" priority="1635" operator="equal">
      <formula>"Reviewing"</formula>
    </cfRule>
  </conditionalFormatting>
  <conditionalFormatting sqref="D94:AA96">
    <cfRule type="cellIs" dxfId="1279" priority="1456" operator="equal">
      <formula>"Done"</formula>
    </cfRule>
    <cfRule type="cellIs" dxfId="1278" priority="1457" operator="equal">
      <formula>"Approved"</formula>
    </cfRule>
    <cfRule type="cellIs" dxfId="1277" priority="1458" operator="equal">
      <formula>"Get Approval"</formula>
    </cfRule>
    <cfRule type="cellIs" dxfId="1276" priority="1459" operator="equal">
      <formula>"Partial Approval"</formula>
    </cfRule>
    <cfRule type="cellIs" dxfId="1275" priority="1460" operator="equal">
      <formula>"Reviewing"</formula>
    </cfRule>
  </conditionalFormatting>
  <conditionalFormatting sqref="D74:AI76">
    <cfRule type="cellIs" dxfId="1274" priority="2256" operator="equal">
      <formula>"Done"</formula>
    </cfRule>
    <cfRule type="cellIs" dxfId="1273" priority="2257" operator="equal">
      <formula>"Approved"</formula>
    </cfRule>
    <cfRule type="cellIs" dxfId="1272" priority="2258" operator="equal">
      <formula>"Get Approval"</formula>
    </cfRule>
    <cfRule type="cellIs" dxfId="1271" priority="2259" operator="equal">
      <formula>"Partial Approval"</formula>
    </cfRule>
    <cfRule type="cellIs" dxfId="1270" priority="2260" operator="equal">
      <formula>"Reviewing"</formula>
    </cfRule>
  </conditionalFormatting>
  <conditionalFormatting sqref="D127:XFD127">
    <cfRule type="cellIs" dxfId="1269" priority="1341" operator="equal">
      <formula>"Done"</formula>
    </cfRule>
    <cfRule type="cellIs" dxfId="1268" priority="1342" operator="equal">
      <formula>"Approved"</formula>
    </cfRule>
    <cfRule type="cellIs" dxfId="1267" priority="1343" operator="equal">
      <formula>"Get Approval"</formula>
    </cfRule>
    <cfRule type="cellIs" dxfId="1266" priority="1344" operator="equal">
      <formula>"Partial Approval"</formula>
    </cfRule>
    <cfRule type="cellIs" dxfId="1265" priority="1345" operator="equal">
      <formula>"Reviewing"</formula>
    </cfRule>
  </conditionalFormatting>
  <conditionalFormatting sqref="E86:F87">
    <cfRule type="cellIs" dxfId="1264" priority="2166" operator="equal">
      <formula>"Done"</formula>
    </cfRule>
    <cfRule type="cellIs" dxfId="1263" priority="2167" operator="equal">
      <formula>"Approved"</formula>
    </cfRule>
    <cfRule type="cellIs" dxfId="1262" priority="2168" operator="equal">
      <formula>"Get Approval"</formula>
    </cfRule>
    <cfRule type="cellIs" dxfId="1261" priority="2169" operator="equal">
      <formula>"Partial Approval"</formula>
    </cfRule>
    <cfRule type="cellIs" dxfId="1260" priority="2170" operator="equal">
      <formula>"Reviewing"</formula>
    </cfRule>
  </conditionalFormatting>
  <conditionalFormatting sqref="E46:K46 E47:F47 B48:F49">
    <cfRule type="cellIs" dxfId="1259" priority="2591" operator="equal">
      <formula>"Done"</formula>
    </cfRule>
    <cfRule type="cellIs" dxfId="1258" priority="2592" operator="equal">
      <formula>"Approved"</formula>
    </cfRule>
    <cfRule type="cellIs" dxfId="1257" priority="2593" operator="equal">
      <formula>"Get Approval"</formula>
    </cfRule>
    <cfRule type="cellIs" dxfId="1256" priority="2594" operator="equal">
      <formula>"Partial Approval"</formula>
    </cfRule>
    <cfRule type="cellIs" dxfId="1255" priority="2595" operator="equal">
      <formula>"Reviewing"</formula>
    </cfRule>
  </conditionalFormatting>
  <conditionalFormatting sqref="E83:Y85">
    <cfRule type="cellIs" dxfId="1254" priority="1556" operator="equal">
      <formula>"Done"</formula>
    </cfRule>
    <cfRule type="cellIs" dxfId="1253" priority="1557" operator="equal">
      <formula>"Approved"</formula>
    </cfRule>
    <cfRule type="cellIs" dxfId="1252" priority="1558" operator="equal">
      <formula>"Get Approval"</formula>
    </cfRule>
    <cfRule type="cellIs" dxfId="1251" priority="1559" operator="equal">
      <formula>"Partial Approval"</formula>
    </cfRule>
    <cfRule type="cellIs" dxfId="1250" priority="1560" operator="equal">
      <formula>"Reviewing"</formula>
    </cfRule>
  </conditionalFormatting>
  <conditionalFormatting sqref="F23 G42:H43 R42:U43 AK42:XFD45 Q46:R46 U46:V46 I47:V48 AI47:XFD48 B50:C68 B70:C90">
    <cfRule type="cellIs" dxfId="1249" priority="2646" operator="equal">
      <formula>"Done"</formula>
    </cfRule>
    <cfRule type="cellIs" dxfId="1248" priority="2647" operator="equal">
      <formula>"Approved"</formula>
    </cfRule>
    <cfRule type="cellIs" dxfId="1247" priority="2648" operator="equal">
      <formula>"Get Approval"</formula>
    </cfRule>
    <cfRule type="cellIs" dxfId="1246" priority="2649" operator="equal">
      <formula>"Partial Approval"</formula>
    </cfRule>
    <cfRule type="cellIs" dxfId="1245" priority="2650" operator="equal">
      <formula>"Reviewing"</formula>
    </cfRule>
  </conditionalFormatting>
  <conditionalFormatting sqref="G47:H49">
    <cfRule type="cellIs" dxfId="1244" priority="2586" operator="equal">
      <formula>"Done"</formula>
    </cfRule>
    <cfRule type="cellIs" dxfId="1243" priority="2587" operator="equal">
      <formula>"Approved"</formula>
    </cfRule>
    <cfRule type="cellIs" dxfId="1242" priority="2588" operator="equal">
      <formula>"Get Approval"</formula>
    </cfRule>
    <cfRule type="cellIs" dxfId="1241" priority="2589" operator="equal">
      <formula>"Partial Approval"</formula>
    </cfRule>
    <cfRule type="cellIs" dxfId="1240" priority="2590" operator="equal">
      <formula>"Reviewing"</formula>
    </cfRule>
  </conditionalFormatting>
  <conditionalFormatting sqref="G69:H71">
    <cfRule type="cellIs" dxfId="1239" priority="2361" operator="equal">
      <formula>"Done"</formula>
    </cfRule>
    <cfRule type="cellIs" dxfId="1238" priority="2362" operator="equal">
      <formula>"Approved"</formula>
    </cfRule>
    <cfRule type="cellIs" dxfId="1237" priority="2363" operator="equal">
      <formula>"Get Approval"</formula>
    </cfRule>
    <cfRule type="cellIs" dxfId="1236" priority="2364" operator="equal">
      <formula>"Partial Approval"</formula>
    </cfRule>
    <cfRule type="cellIs" dxfId="1235" priority="2365" operator="equal">
      <formula>"Reviewing"</formula>
    </cfRule>
  </conditionalFormatting>
  <conditionalFormatting sqref="G23:J24">
    <cfRule type="cellIs" dxfId="1234" priority="2651" operator="equal">
      <formula>"Done"</formula>
    </cfRule>
    <cfRule type="cellIs" dxfId="1233" priority="2652" operator="equal">
      <formula>"Approved"</formula>
    </cfRule>
    <cfRule type="cellIs" dxfId="1232" priority="2653" operator="equal">
      <formula>"Get Approval"</formula>
    </cfRule>
    <cfRule type="cellIs" dxfId="1231" priority="2654" operator="equal">
      <formula>"Partial Approval"</formula>
    </cfRule>
    <cfRule type="cellIs" dxfId="1230" priority="2655" operator="equal">
      <formula>"Reviewing"</formula>
    </cfRule>
  </conditionalFormatting>
  <conditionalFormatting sqref="G131:M136">
    <cfRule type="cellIs" dxfId="1229" priority="1196" operator="equal">
      <formula>"Done"</formula>
    </cfRule>
    <cfRule type="cellIs" dxfId="1228" priority="1197" operator="equal">
      <formula>"Approved"</formula>
    </cfRule>
    <cfRule type="cellIs" dxfId="1227" priority="1198" operator="equal">
      <formula>"Get Approval"</formula>
    </cfRule>
    <cfRule type="cellIs" dxfId="1226" priority="1199" operator="equal">
      <formula>"Partial Approval"</formula>
    </cfRule>
    <cfRule type="cellIs" dxfId="1225" priority="1200" operator="equal">
      <formula>"Reviewing"</formula>
    </cfRule>
  </conditionalFormatting>
  <conditionalFormatting sqref="G82:Y82">
    <cfRule type="cellIs" dxfId="1224" priority="1561" operator="equal">
      <formula>"Done"</formula>
    </cfRule>
    <cfRule type="cellIs" dxfId="1223" priority="1562" operator="equal">
      <formula>"Approved"</formula>
    </cfRule>
    <cfRule type="cellIs" dxfId="1222" priority="1563" operator="equal">
      <formula>"Get Approval"</formula>
    </cfRule>
    <cfRule type="cellIs" dxfId="1221" priority="1564" operator="equal">
      <formula>"Partial Approval"</formula>
    </cfRule>
    <cfRule type="cellIs" dxfId="1220" priority="1565" operator="equal">
      <formula>"Reviewing"</formula>
    </cfRule>
  </conditionalFormatting>
  <conditionalFormatting sqref="G97:Y98">
    <cfRule type="cellIs" dxfId="1219" priority="2021" operator="equal">
      <formula>"Done"</formula>
    </cfRule>
    <cfRule type="cellIs" dxfId="1218" priority="2022" operator="equal">
      <formula>"Approved"</formula>
    </cfRule>
    <cfRule type="cellIs" dxfId="1217" priority="2023" operator="equal">
      <formula>"Get Approval"</formula>
    </cfRule>
    <cfRule type="cellIs" dxfId="1216" priority="2024" operator="equal">
      <formula>"Partial Approval"</formula>
    </cfRule>
    <cfRule type="cellIs" dxfId="1215" priority="2025" operator="equal">
      <formula>"Reviewing"</formula>
    </cfRule>
  </conditionalFormatting>
  <conditionalFormatting sqref="G87:Z87">
    <cfRule type="cellIs" dxfId="1214" priority="1471" operator="equal">
      <formula>"Done"</formula>
    </cfRule>
    <cfRule type="cellIs" dxfId="1213" priority="1472" operator="equal">
      <formula>"Approved"</formula>
    </cfRule>
    <cfRule type="cellIs" dxfId="1212" priority="1473" operator="equal">
      <formula>"Get Approval"</formula>
    </cfRule>
    <cfRule type="cellIs" dxfId="1211" priority="1474" operator="equal">
      <formula>"Partial Approval"</formula>
    </cfRule>
    <cfRule type="cellIs" dxfId="1210" priority="1475" operator="equal">
      <formula>"Reviewing"</formula>
    </cfRule>
  </conditionalFormatting>
  <conditionalFormatting sqref="G78:AA80">
    <cfRule type="cellIs" dxfId="1209" priority="1476" operator="equal">
      <formula>"Done"</formula>
    </cfRule>
    <cfRule type="cellIs" dxfId="1208" priority="1477" operator="equal">
      <formula>"Approved"</formula>
    </cfRule>
    <cfRule type="cellIs" dxfId="1207" priority="1478" operator="equal">
      <formula>"Get Approval"</formula>
    </cfRule>
    <cfRule type="cellIs" dxfId="1206" priority="1479" operator="equal">
      <formula>"Partial Approval"</formula>
    </cfRule>
    <cfRule type="cellIs" dxfId="1205" priority="1480" operator="equal">
      <formula>"Reviewing"</formula>
    </cfRule>
  </conditionalFormatting>
  <conditionalFormatting sqref="G1:AI1 AK1:XFD2 G2:AH2 B6:F22 O18:XFD21 G18:N22 O22:Q22 S22:T22 V22:XFD22 AK23:XFD24 N24 V24 D24:F27 G25:XFD26 F27:H27 K27:XFD27 D28:XFD28 D29:S30 V29:XFD30 D31:XFD31 D32:N35 R32:V35 AK32:XFD35 D42:D43">
    <cfRule type="cellIs" dxfId="1204" priority="2672" operator="equal">
      <formula>"Done"</formula>
    </cfRule>
    <cfRule type="cellIs" dxfId="1203" priority="2673" operator="equal">
      <formula>"Approved"</formula>
    </cfRule>
    <cfRule type="cellIs" dxfId="1202" priority="2674" operator="equal">
      <formula>"Get Approval"</formula>
    </cfRule>
    <cfRule type="cellIs" dxfId="1201" priority="2677" operator="equal">
      <formula>"Partial Approval"</formula>
    </cfRule>
    <cfRule type="cellIs" dxfId="1200" priority="2678" operator="equal">
      <formula>"Reviewing"</formula>
    </cfRule>
  </conditionalFormatting>
  <conditionalFormatting sqref="G3:XFD17">
    <cfRule type="cellIs" dxfId="1199" priority="1896" operator="equal">
      <formula>"Done"</formula>
    </cfRule>
    <cfRule type="cellIs" dxfId="1198" priority="1897" operator="equal">
      <formula>"Approved"</formula>
    </cfRule>
    <cfRule type="cellIs" dxfId="1197" priority="1898" operator="equal">
      <formula>"Get Approval"</formula>
    </cfRule>
    <cfRule type="cellIs" dxfId="1196" priority="1899" operator="equal">
      <formula>"Partial Approval"</formula>
    </cfRule>
    <cfRule type="cellIs" dxfId="1195" priority="1900" operator="equal">
      <formula>"Reviewing"</formula>
    </cfRule>
  </conditionalFormatting>
  <conditionalFormatting sqref="H81:Y81">
    <cfRule type="cellIs" dxfId="1194" priority="1381" operator="equal">
      <formula>"Done"</formula>
    </cfRule>
    <cfRule type="cellIs" dxfId="1193" priority="1382" operator="equal">
      <formula>"Approved"</formula>
    </cfRule>
    <cfRule type="cellIs" dxfId="1192" priority="1383" operator="equal">
      <formula>"Get Approval"</formula>
    </cfRule>
    <cfRule type="cellIs" dxfId="1191" priority="1384" operator="equal">
      <formula>"Partial Approval"</formula>
    </cfRule>
    <cfRule type="cellIs" dxfId="1190" priority="1385" operator="equal">
      <formula>"Reviewing"</formula>
    </cfRule>
  </conditionalFormatting>
  <conditionalFormatting sqref="H86:Y86">
    <cfRule type="cellIs" dxfId="1189" priority="2136" operator="equal">
      <formula>"Done"</formula>
    </cfRule>
    <cfRule type="cellIs" dxfId="1188" priority="2137" operator="equal">
      <formula>"Approved"</formula>
    </cfRule>
    <cfRule type="cellIs" dxfId="1187" priority="2138" operator="equal">
      <formula>"Get Approval"</formula>
    </cfRule>
    <cfRule type="cellIs" dxfId="1186" priority="2139" operator="equal">
      <formula>"Partial Approval"</formula>
    </cfRule>
    <cfRule type="cellIs" dxfId="1185" priority="2140" operator="equal">
      <formula>"Reviewing"</formula>
    </cfRule>
  </conditionalFormatting>
  <conditionalFormatting sqref="I68:I71">
    <cfRule type="cellIs" dxfId="1184" priority="2396" operator="equal">
      <formula>"Done"</formula>
    </cfRule>
    <cfRule type="cellIs" dxfId="1183" priority="2397" operator="equal">
      <formula>"Approved"</formula>
    </cfRule>
    <cfRule type="cellIs" dxfId="1182" priority="2398" operator="equal">
      <formula>"Get Approval"</formula>
    </cfRule>
    <cfRule type="cellIs" dxfId="1181" priority="2399" operator="equal">
      <formula>"Partial Approval"</formula>
    </cfRule>
    <cfRule type="cellIs" dxfId="1180" priority="2400" operator="equal">
      <formula>"Reviewing"</formula>
    </cfRule>
  </conditionalFormatting>
  <conditionalFormatting sqref="I110:V111">
    <cfRule type="cellIs" dxfId="1179" priority="1831" operator="equal">
      <formula>"Done"</formula>
    </cfRule>
    <cfRule type="cellIs" dxfId="1178" priority="1832" operator="equal">
      <formula>"Approved"</formula>
    </cfRule>
    <cfRule type="cellIs" dxfId="1177" priority="1833" operator="equal">
      <formula>"Get Approval"</formula>
    </cfRule>
    <cfRule type="cellIs" dxfId="1176" priority="1834" operator="equal">
      <formula>"Partial Approval"</formula>
    </cfRule>
    <cfRule type="cellIs" dxfId="1175" priority="1835" operator="equal">
      <formula>"Reviewing"</formula>
    </cfRule>
  </conditionalFormatting>
  <conditionalFormatting sqref="I49:Y49">
    <cfRule type="cellIs" dxfId="1174" priority="2531" operator="equal">
      <formula>"Done"</formula>
    </cfRule>
    <cfRule type="cellIs" dxfId="1173" priority="2532" operator="equal">
      <formula>"Approved"</formula>
    </cfRule>
    <cfRule type="cellIs" dxfId="1172" priority="2533" operator="equal">
      <formula>"Get Approval"</formula>
    </cfRule>
    <cfRule type="cellIs" dxfId="1171" priority="2534" operator="equal">
      <formula>"Partial Approval"</formula>
    </cfRule>
    <cfRule type="cellIs" dxfId="1170" priority="2535" operator="equal">
      <formula>"Reviewing"</formula>
    </cfRule>
  </conditionalFormatting>
  <conditionalFormatting sqref="I112:AA113">
    <cfRule type="cellIs" dxfId="1169" priority="1176" operator="equal">
      <formula>"Done"</formula>
    </cfRule>
    <cfRule type="cellIs" dxfId="1168" priority="1177" operator="equal">
      <formula>"Approved"</formula>
    </cfRule>
    <cfRule type="cellIs" dxfId="1167" priority="1178" operator="equal">
      <formula>"Get Approval"</formula>
    </cfRule>
    <cfRule type="cellIs" dxfId="1166" priority="1179" operator="equal">
      <formula>"Partial Approval"</formula>
    </cfRule>
    <cfRule type="cellIs" dxfId="1165" priority="1180" operator="equal">
      <formula>"Reviewing"</formula>
    </cfRule>
  </conditionalFormatting>
  <conditionalFormatting sqref="I115:AF115">
    <cfRule type="cellIs" dxfId="1164" priority="1461" operator="equal">
      <formula>"Done"</formula>
    </cfRule>
    <cfRule type="cellIs" dxfId="1163" priority="1462" operator="equal">
      <formula>"Approved"</formula>
    </cfRule>
    <cfRule type="cellIs" dxfId="1162" priority="1463" operator="equal">
      <formula>"Get Approval"</formula>
    </cfRule>
    <cfRule type="cellIs" dxfId="1161" priority="1464" operator="equal">
      <formula>"Partial Approval"</formula>
    </cfRule>
    <cfRule type="cellIs" dxfId="1160" priority="1465" operator="equal">
      <formula>"Reviewing"</formula>
    </cfRule>
  </conditionalFormatting>
  <conditionalFormatting sqref="I114:W114 Y114:XFD114">
    <cfRule type="cellIs" dxfId="1159" priority="1171" operator="equal">
      <formula>"Done"</formula>
    </cfRule>
    <cfRule type="cellIs" dxfId="1158" priority="1172" operator="equal">
      <formula>"Approved"</formula>
    </cfRule>
    <cfRule type="cellIs" dxfId="1157" priority="1173" operator="equal">
      <formula>"Get Approval"</formula>
    </cfRule>
    <cfRule type="cellIs" dxfId="1156" priority="1174" operator="equal">
      <formula>"Partial Approval"</formula>
    </cfRule>
    <cfRule type="cellIs" dxfId="1155" priority="1175" operator="equal">
      <formula>"Reviewing"</formula>
    </cfRule>
  </conditionalFormatting>
  <conditionalFormatting sqref="J103:Y103">
    <cfRule type="cellIs" dxfId="1154" priority="1401" operator="equal">
      <formula>"Done"</formula>
    </cfRule>
    <cfRule type="cellIs" dxfId="1153" priority="1402" operator="equal">
      <formula>"Approved"</formula>
    </cfRule>
    <cfRule type="cellIs" dxfId="1152" priority="1403" operator="equal">
      <formula>"Get Approval"</formula>
    </cfRule>
    <cfRule type="cellIs" dxfId="1151" priority="1404" operator="equal">
      <formula>"Partial Approval"</formula>
    </cfRule>
    <cfRule type="cellIs" dxfId="1150" priority="1405" operator="equal">
      <formula>"Reviewing"</formula>
    </cfRule>
  </conditionalFormatting>
  <conditionalFormatting sqref="J68:AA68">
    <cfRule type="cellIs" dxfId="1149" priority="1591" operator="equal">
      <formula>"Done"</formula>
    </cfRule>
    <cfRule type="cellIs" dxfId="1148" priority="1592" operator="equal">
      <formula>"Approved"</formula>
    </cfRule>
    <cfRule type="cellIs" dxfId="1147" priority="1593" operator="equal">
      <formula>"Get Approval"</formula>
    </cfRule>
    <cfRule type="cellIs" dxfId="1146" priority="1594" operator="equal">
      <formula>"Partial Approval"</formula>
    </cfRule>
    <cfRule type="cellIs" dxfId="1145" priority="1595" operator="equal">
      <formula>"Reviewing"</formula>
    </cfRule>
  </conditionalFormatting>
  <conditionalFormatting sqref="J69:XFD69 J70:Y71">
    <cfRule type="cellIs" dxfId="1144" priority="2231" operator="equal">
      <formula>"Done"</formula>
    </cfRule>
    <cfRule type="cellIs" dxfId="1143" priority="2232" operator="equal">
      <formula>"Approved"</formula>
    </cfRule>
    <cfRule type="cellIs" dxfId="1142" priority="2233" operator="equal">
      <formula>"Get Approval"</formula>
    </cfRule>
    <cfRule type="cellIs" dxfId="1141" priority="2234" operator="equal">
      <formula>"Partial Approval"</formula>
    </cfRule>
    <cfRule type="cellIs" dxfId="1140" priority="2235" operator="equal">
      <formula>"Reviewing"</formula>
    </cfRule>
  </conditionalFormatting>
  <conditionalFormatting sqref="L23:L24">
    <cfRule type="cellIs" dxfId="1139" priority="2641" operator="equal">
      <formula>"Done"</formula>
    </cfRule>
    <cfRule type="cellIs" dxfId="1138" priority="2642" operator="equal">
      <formula>"Approved"</formula>
    </cfRule>
    <cfRule type="cellIs" dxfId="1137" priority="2643" operator="equal">
      <formula>"Get Approval"</formula>
    </cfRule>
    <cfRule type="cellIs" dxfId="1136" priority="2644" operator="equal">
      <formula>"Partial Approval"</formula>
    </cfRule>
    <cfRule type="cellIs" dxfId="1135" priority="2645" operator="equal">
      <formula>"Reviewing"</formula>
    </cfRule>
  </conditionalFormatting>
  <conditionalFormatting sqref="N131:N133">
    <cfRule type="cellIs" dxfId="1134" priority="1186" operator="equal">
      <formula>"Done"</formula>
    </cfRule>
    <cfRule type="cellIs" dxfId="1133" priority="1187" operator="equal">
      <formula>"Approved"</formula>
    </cfRule>
    <cfRule type="cellIs" dxfId="1132" priority="1188" operator="equal">
      <formula>"Get Approval"</formula>
    </cfRule>
    <cfRule type="cellIs" dxfId="1131" priority="1189" operator="equal">
      <formula>"Partial Approval"</formula>
    </cfRule>
    <cfRule type="cellIs" dxfId="1130" priority="1190" operator="equal">
      <formula>"Reviewing"</formula>
    </cfRule>
  </conditionalFormatting>
  <conditionalFormatting sqref="O42:P42">
    <cfRule type="cellIs" dxfId="1129" priority="2566" operator="equal">
      <formula>"Done"</formula>
    </cfRule>
    <cfRule type="cellIs" dxfId="1128" priority="2567" operator="equal">
      <formula>"Approved"</formula>
    </cfRule>
    <cfRule type="cellIs" dxfId="1127" priority="2568" operator="equal">
      <formula>"Get Approval"</formula>
    </cfRule>
    <cfRule type="cellIs" dxfId="1126" priority="2569" operator="equal">
      <formula>"Partial Approval"</formula>
    </cfRule>
    <cfRule type="cellIs" dxfId="1125" priority="2570" operator="equal">
      <formula>"Reviewing"</formula>
    </cfRule>
  </conditionalFormatting>
  <conditionalFormatting sqref="O132:AK133 N134:AK134 N136:AK136 N135:AA135">
    <cfRule type="cellIs" dxfId="1124" priority="1256" operator="equal">
      <formula>"Done"</formula>
    </cfRule>
    <cfRule type="cellIs" dxfId="1123" priority="1257" operator="equal">
      <formula>"Approved"</formula>
    </cfRule>
    <cfRule type="cellIs" dxfId="1122" priority="1258" operator="equal">
      <formula>"Get Approval"</formula>
    </cfRule>
    <cfRule type="cellIs" dxfId="1121" priority="1259" operator="equal">
      <formula>"Partial Approval"</formula>
    </cfRule>
    <cfRule type="cellIs" dxfId="1120" priority="1260" operator="equal">
      <formula>"Reviewing"</formula>
    </cfRule>
  </conditionalFormatting>
  <conditionalFormatting sqref="W104:Y105">
    <cfRule type="cellIs" dxfId="1119" priority="1581" operator="equal">
      <formula>"Done"</formula>
    </cfRule>
    <cfRule type="cellIs" dxfId="1118" priority="1582" operator="equal">
      <formula>"Approved"</formula>
    </cfRule>
    <cfRule type="cellIs" dxfId="1117" priority="1583" operator="equal">
      <formula>"Get Approval"</formula>
    </cfRule>
    <cfRule type="cellIs" dxfId="1116" priority="1584" operator="equal">
      <formula>"Partial Approval"</formula>
    </cfRule>
    <cfRule type="cellIs" dxfId="1115" priority="1585" operator="equal">
      <formula>"Reviewing"</formula>
    </cfRule>
  </conditionalFormatting>
  <conditionalFormatting sqref="W42:AA43">
    <cfRule type="cellIs" dxfId="1114" priority="2621" operator="equal">
      <formula>"Done"</formula>
    </cfRule>
    <cfRule type="cellIs" dxfId="1113" priority="2622" operator="equal">
      <formula>"Approved"</formula>
    </cfRule>
    <cfRule type="cellIs" dxfId="1112" priority="2623" operator="equal">
      <formula>"Get Approval"</formula>
    </cfRule>
    <cfRule type="cellIs" dxfId="1111" priority="2624" operator="equal">
      <formula>"Partial Approval"</formula>
    </cfRule>
    <cfRule type="cellIs" dxfId="1110" priority="2625" operator="equal">
      <formula>"Reviewing"</formula>
    </cfRule>
  </conditionalFormatting>
  <conditionalFormatting sqref="W106:AA111">
    <cfRule type="cellIs" dxfId="1109" priority="1181" operator="equal">
      <formula>"Done"</formula>
    </cfRule>
    <cfRule type="cellIs" dxfId="1108" priority="1182" operator="equal">
      <formula>"Approved"</formula>
    </cfRule>
    <cfRule type="cellIs" dxfId="1107" priority="1183" operator="equal">
      <formula>"Get Approval"</formula>
    </cfRule>
    <cfRule type="cellIs" dxfId="1106" priority="1184" operator="equal">
      <formula>"Partial Approval"</formula>
    </cfRule>
    <cfRule type="cellIs" dxfId="1105" priority="1185" operator="equal">
      <formula>"Reviewing"</formula>
    </cfRule>
  </conditionalFormatting>
  <conditionalFormatting sqref="X53:Y66">
    <cfRule type="cellIs" dxfId="1104" priority="1636" operator="equal">
      <formula>"Done"</formula>
    </cfRule>
    <cfRule type="cellIs" dxfId="1103" priority="1637" operator="equal">
      <formula>"Approved"</formula>
    </cfRule>
    <cfRule type="cellIs" dxfId="1102" priority="1638" operator="equal">
      <formula>"Get Approval"</formula>
    </cfRule>
    <cfRule type="cellIs" dxfId="1101" priority="1639" operator="equal">
      <formula>"Partial Approval"</formula>
    </cfRule>
    <cfRule type="cellIs" dxfId="1100" priority="1640" operator="equal">
      <formula>"Reviewing"</formula>
    </cfRule>
  </conditionalFormatting>
  <conditionalFormatting sqref="Z33:AA35 D36:XFD41 Z44:AA49 Z81:AA85 AA86:AA89 D90:AA90">
    <cfRule type="cellIs" dxfId="1099" priority="1676" operator="equal">
      <formula>"Done"</formula>
    </cfRule>
    <cfRule type="cellIs" dxfId="1098" priority="1677" operator="equal">
      <formula>"Approved"</formula>
    </cfRule>
    <cfRule type="cellIs" dxfId="1097" priority="1678" operator="equal">
      <formula>"Get Approval"</formula>
    </cfRule>
    <cfRule type="cellIs" dxfId="1096" priority="1679" operator="equal">
      <formula>"Partial Approval"</formula>
    </cfRule>
    <cfRule type="cellIs" dxfId="1095" priority="1680" operator="equal">
      <formula>"Reviewing"</formula>
    </cfRule>
  </conditionalFormatting>
  <conditionalFormatting sqref="Z53:AA67">
    <cfRule type="cellIs" dxfId="1094" priority="1486" operator="equal">
      <formula>"Done"</formula>
    </cfRule>
    <cfRule type="cellIs" dxfId="1093" priority="1487" operator="equal">
      <formula>"Approved"</formula>
    </cfRule>
    <cfRule type="cellIs" dxfId="1092" priority="1488" operator="equal">
      <formula>"Get Approval"</formula>
    </cfRule>
    <cfRule type="cellIs" dxfId="1091" priority="1489" operator="equal">
      <formula>"Partial Approval"</formula>
    </cfRule>
    <cfRule type="cellIs" dxfId="1090" priority="1490" operator="equal">
      <formula>"Reviewing"</formula>
    </cfRule>
  </conditionalFormatting>
  <conditionalFormatting sqref="Z97:AA105">
    <cfRule type="cellIs" dxfId="1089" priority="1386" operator="equal">
      <formula>"Done"</formula>
    </cfRule>
    <cfRule type="cellIs" dxfId="1088" priority="1387" operator="equal">
      <formula>"Approved"</formula>
    </cfRule>
    <cfRule type="cellIs" dxfId="1087" priority="1388" operator="equal">
      <formula>"Get Approval"</formula>
    </cfRule>
    <cfRule type="cellIs" dxfId="1086" priority="1389" operator="equal">
      <formula>"Partial Approval"</formula>
    </cfRule>
    <cfRule type="cellIs" dxfId="1085" priority="1390" operator="equal">
      <formula>"Reviewing"</formula>
    </cfRule>
  </conditionalFormatting>
  <conditionalFormatting sqref="Z70:XFD73">
    <cfRule type="cellIs" dxfId="1084" priority="1576" operator="equal">
      <formula>"Done"</formula>
    </cfRule>
    <cfRule type="cellIs" dxfId="1083" priority="1577" operator="equal">
      <formula>"Approved"</formula>
    </cfRule>
    <cfRule type="cellIs" dxfId="1082" priority="1578" operator="equal">
      <formula>"Get Approval"</formula>
    </cfRule>
    <cfRule type="cellIs" dxfId="1081" priority="1579" operator="equal">
      <formula>"Partial Approval"</formula>
    </cfRule>
    <cfRule type="cellIs" dxfId="1080" priority="1580" operator="equal">
      <formula>"Reviewing"</formula>
    </cfRule>
  </conditionalFormatting>
  <conditionalFormatting sqref="AA128:XFD131">
    <cfRule type="cellIs" dxfId="1079" priority="1221" operator="equal">
      <formula>"Done"</formula>
    </cfRule>
    <cfRule type="cellIs" dxfId="1078" priority="1222" operator="equal">
      <formula>"Approved"</formula>
    </cfRule>
    <cfRule type="cellIs" dxfId="1077" priority="1223" operator="equal">
      <formula>"Get Approval"</formula>
    </cfRule>
    <cfRule type="cellIs" dxfId="1076" priority="1224" operator="equal">
      <formula>"Partial Approval"</formula>
    </cfRule>
    <cfRule type="cellIs" dxfId="1075" priority="1225" operator="equal">
      <formula>"Reviewing"</formula>
    </cfRule>
  </conditionalFormatting>
  <conditionalFormatting sqref="AB77:AI81">
    <cfRule type="cellIs" dxfId="1074" priority="1751" operator="equal">
      <formula>"Done"</formula>
    </cfRule>
    <cfRule type="cellIs" dxfId="1073" priority="1752" operator="equal">
      <formula>"Approved"</formula>
    </cfRule>
    <cfRule type="cellIs" dxfId="1072" priority="1753" operator="equal">
      <formula>"Get Approval"</formula>
    </cfRule>
    <cfRule type="cellIs" dxfId="1071" priority="1754" operator="equal">
      <formula>"Partial Approval"</formula>
    </cfRule>
    <cfRule type="cellIs" dxfId="1070" priority="1755" operator="equal">
      <formula>"Reviewing"</formula>
    </cfRule>
  </conditionalFormatting>
  <conditionalFormatting sqref="AB46:XFD46">
    <cfRule type="cellIs" dxfId="1069" priority="2576" operator="equal">
      <formula>"Done"</formula>
    </cfRule>
    <cfRule type="cellIs" dxfId="1068" priority="2577" operator="equal">
      <formula>"Approved"</formula>
    </cfRule>
    <cfRule type="cellIs" dxfId="1067" priority="2578" operator="equal">
      <formula>"Get Approval"</formula>
    </cfRule>
    <cfRule type="cellIs" dxfId="1066" priority="2579" operator="equal">
      <formula>"Partial Approval"</formula>
    </cfRule>
    <cfRule type="cellIs" dxfId="1065" priority="2580" operator="equal">
      <formula>"Reviewing"</formula>
    </cfRule>
  </conditionalFormatting>
  <conditionalFormatting sqref="AB49:XFD68">
    <cfRule type="cellIs" dxfId="1064" priority="2301" operator="equal">
      <formula>"Done"</formula>
    </cfRule>
    <cfRule type="cellIs" dxfId="1063" priority="2302" operator="equal">
      <formula>"Approved"</formula>
    </cfRule>
    <cfRule type="cellIs" dxfId="1062" priority="2303" operator="equal">
      <formula>"Get Approval"</formula>
    </cfRule>
    <cfRule type="cellIs" dxfId="1061" priority="2304" operator="equal">
      <formula>"Partial Approval"</formula>
    </cfRule>
    <cfRule type="cellIs" dxfId="1060" priority="2305" operator="equal">
      <formula>"Reviewing"</formula>
    </cfRule>
  </conditionalFormatting>
  <conditionalFormatting sqref="AB82:XFD113">
    <cfRule type="cellIs" dxfId="1059" priority="1621" operator="equal">
      <formula>"Done"</formula>
    </cfRule>
    <cfRule type="cellIs" dxfId="1058" priority="1622" operator="equal">
      <formula>"Approved"</formula>
    </cfRule>
    <cfRule type="cellIs" dxfId="1057" priority="1623" operator="equal">
      <formula>"Get Approval"</formula>
    </cfRule>
    <cfRule type="cellIs" dxfId="1056" priority="1624" operator="equal">
      <formula>"Partial Approval"</formula>
    </cfRule>
    <cfRule type="cellIs" dxfId="1055" priority="1625" operator="equal">
      <formula>"Reviewing"</formula>
    </cfRule>
  </conditionalFormatting>
  <conditionalFormatting sqref="AJ74:XFD81">
    <cfRule type="cellIs" dxfId="1054" priority="2251" operator="equal">
      <formula>"Done"</formula>
    </cfRule>
    <cfRule type="cellIs" dxfId="1053" priority="2252" operator="equal">
      <formula>"Approved"</formula>
    </cfRule>
    <cfRule type="cellIs" dxfId="1052" priority="2253" operator="equal">
      <formula>"Get Approval"</formula>
    </cfRule>
    <cfRule type="cellIs" dxfId="1051" priority="2254" operator="equal">
      <formula>"Partial Approval"</formula>
    </cfRule>
    <cfRule type="cellIs" dxfId="1050" priority="2255" operator="equal">
      <formula>"Reviewing"</formula>
    </cfRule>
  </conditionalFormatting>
  <conditionalFormatting sqref="AL132:XFD146">
    <cfRule type="cellIs" dxfId="1049" priority="1281" operator="equal">
      <formula>"Done"</formula>
    </cfRule>
    <cfRule type="cellIs" dxfId="1048" priority="1282" operator="equal">
      <formula>"Approved"</formula>
    </cfRule>
    <cfRule type="cellIs" dxfId="1047" priority="1283" operator="equal">
      <formula>"Get Approval"</formula>
    </cfRule>
    <cfRule type="cellIs" dxfId="1046" priority="1284" operator="equal">
      <formula>"Partial Approval"</formula>
    </cfRule>
    <cfRule type="cellIs" dxfId="1045" priority="1285" operator="equal">
      <formula>"Reviewing"</formula>
    </cfRule>
  </conditionalFormatting>
  <conditionalFormatting sqref="X114">
    <cfRule type="cellIs" dxfId="1044" priority="1156" operator="equal">
      <formula>"Done"</formula>
    </cfRule>
    <cfRule type="cellIs" dxfId="1043" priority="1157" operator="equal">
      <formula>"Approved"</formula>
    </cfRule>
    <cfRule type="cellIs" dxfId="1042" priority="1158" operator="equal">
      <formula>"Get Approval"</formula>
    </cfRule>
    <cfRule type="cellIs" dxfId="1041" priority="1159" operator="equal">
      <formula>"Partial Approval"</formula>
    </cfRule>
    <cfRule type="cellIs" dxfId="1040" priority="1160" operator="equal">
      <formula>"Reviewing"</formula>
    </cfRule>
  </conditionalFormatting>
  <conditionalFormatting sqref="F3">
    <cfRule type="cellIs" dxfId="1039" priority="1141" operator="equal">
      <formula>"Done"</formula>
    </cfRule>
    <cfRule type="cellIs" dxfId="1038" priority="1142" operator="equal">
      <formula>"Approved"</formula>
    </cfRule>
    <cfRule type="cellIs" dxfId="1037" priority="1143" operator="equal">
      <formula>"Get Approval"</formula>
    </cfRule>
    <cfRule type="cellIs" dxfId="1036" priority="1144" operator="equal">
      <formula>"Partial Approval"</formula>
    </cfRule>
    <cfRule type="cellIs" dxfId="1035" priority="1145" operator="equal">
      <formula>"Reviewing"</formula>
    </cfRule>
  </conditionalFormatting>
  <conditionalFormatting sqref="F115">
    <cfRule type="cellIs" dxfId="1034" priority="1136" operator="equal">
      <formula>"Done"</formula>
    </cfRule>
    <cfRule type="cellIs" dxfId="1033" priority="1137" operator="equal">
      <formula>"Approved"</formula>
    </cfRule>
    <cfRule type="cellIs" dxfId="1032" priority="1138" operator="equal">
      <formula>"Get Approval"</formula>
    </cfRule>
    <cfRule type="cellIs" dxfId="1031" priority="1139" operator="equal">
      <formula>"Partial Approval"</formula>
    </cfRule>
    <cfRule type="cellIs" dxfId="1030" priority="1140" operator="equal">
      <formula>"Reviewing"</formula>
    </cfRule>
  </conditionalFormatting>
  <conditionalFormatting sqref="Z116:Z119">
    <cfRule type="cellIs" dxfId="1029" priority="1131" operator="equal">
      <formula>"Done"</formula>
    </cfRule>
    <cfRule type="cellIs" dxfId="1028" priority="1132" operator="equal">
      <formula>"Approved"</formula>
    </cfRule>
    <cfRule type="cellIs" dxfId="1027" priority="1133" operator="equal">
      <formula>"Get Approval"</formula>
    </cfRule>
    <cfRule type="cellIs" dxfId="1026" priority="1134" operator="equal">
      <formula>"Partial Approval"</formula>
    </cfRule>
    <cfRule type="cellIs" dxfId="1025" priority="1135" operator="equal">
      <formula>"Reviewing"</formula>
    </cfRule>
  </conditionalFormatting>
  <conditionalFormatting sqref="G120:H120">
    <cfRule type="cellIs" dxfId="1024" priority="1126" operator="equal">
      <formula>"Done"</formula>
    </cfRule>
    <cfRule type="cellIs" dxfId="1023" priority="1127" operator="equal">
      <formula>"Approved"</formula>
    </cfRule>
    <cfRule type="cellIs" dxfId="1022" priority="1128" operator="equal">
      <formula>"Get Approval"</formula>
    </cfRule>
    <cfRule type="cellIs" dxfId="1021" priority="1129" operator="equal">
      <formula>"Partial Approval"</formula>
    </cfRule>
    <cfRule type="cellIs" dxfId="1020" priority="1130" operator="equal">
      <formula>"Reviewing"</formula>
    </cfRule>
  </conditionalFormatting>
  <conditionalFormatting sqref="G121:H121">
    <cfRule type="cellIs" dxfId="1019" priority="1116" operator="equal">
      <formula>"Done"</formula>
    </cfRule>
    <cfRule type="cellIs" dxfId="1018" priority="1117" operator="equal">
      <formula>"Approved"</formula>
    </cfRule>
    <cfRule type="cellIs" dxfId="1017" priority="1118" operator="equal">
      <formula>"Get Approval"</formula>
    </cfRule>
    <cfRule type="cellIs" dxfId="1016" priority="1119" operator="equal">
      <formula>"Partial Approval"</formula>
    </cfRule>
    <cfRule type="cellIs" dxfId="1015" priority="1120" operator="equal">
      <formula>"Reviewing"</formula>
    </cfRule>
  </conditionalFormatting>
  <conditionalFormatting sqref="D137:D139">
    <cfRule type="cellIs" dxfId="1014" priority="1106" operator="equal">
      <formula>"Done"</formula>
    </cfRule>
    <cfRule type="cellIs" dxfId="1013" priority="1107" operator="equal">
      <formula>"Approved"</formula>
    </cfRule>
    <cfRule type="cellIs" dxfId="1012" priority="1108" operator="equal">
      <formula>"Get Approval"</formula>
    </cfRule>
    <cfRule type="cellIs" dxfId="1011" priority="1109" operator="equal">
      <formula>"Partial Approval"</formula>
    </cfRule>
    <cfRule type="cellIs" dxfId="1010" priority="1110" operator="equal">
      <formula>"Reviewing"</formula>
    </cfRule>
  </conditionalFormatting>
  <conditionalFormatting sqref="E137:F139">
    <cfRule type="cellIs" dxfId="1009" priority="1096" operator="equal">
      <formula>"Done"</formula>
    </cfRule>
    <cfRule type="cellIs" dxfId="1008" priority="1097" operator="equal">
      <formula>"Approved"</formula>
    </cfRule>
    <cfRule type="cellIs" dxfId="1007" priority="1098" operator="equal">
      <formula>"Get Approval"</formula>
    </cfRule>
    <cfRule type="cellIs" dxfId="1006" priority="1099" operator="equal">
      <formula>"Partial Approval"</formula>
    </cfRule>
    <cfRule type="cellIs" dxfId="1005" priority="1100" operator="equal">
      <formula>"Reviewing"</formula>
    </cfRule>
  </conditionalFormatting>
  <conditionalFormatting sqref="G137:M139">
    <cfRule type="cellIs" dxfId="1004" priority="1101" operator="equal">
      <formula>"Done"</formula>
    </cfRule>
    <cfRule type="cellIs" dxfId="1003" priority="1102" operator="equal">
      <formula>"Approved"</formula>
    </cfRule>
    <cfRule type="cellIs" dxfId="1002" priority="1103" operator="equal">
      <formula>"Get Approval"</formula>
    </cfRule>
    <cfRule type="cellIs" dxfId="1001" priority="1104" operator="equal">
      <formula>"Partial Approval"</formula>
    </cfRule>
    <cfRule type="cellIs" dxfId="1000" priority="1105" operator="equal">
      <formula>"Reviewing"</formula>
    </cfRule>
  </conditionalFormatting>
  <conditionalFormatting sqref="N137:AK139">
    <cfRule type="cellIs" dxfId="999" priority="1111" operator="equal">
      <formula>"Done"</formula>
    </cfRule>
    <cfRule type="cellIs" dxfId="998" priority="1112" operator="equal">
      <formula>"Approved"</formula>
    </cfRule>
    <cfRule type="cellIs" dxfId="997" priority="1113" operator="equal">
      <formula>"Get Approval"</formula>
    </cfRule>
    <cfRule type="cellIs" dxfId="996" priority="1114" operator="equal">
      <formula>"Partial Approval"</formula>
    </cfRule>
    <cfRule type="cellIs" dxfId="995" priority="1115" operator="equal">
      <formula>"Reviewing"</formula>
    </cfRule>
  </conditionalFormatting>
  <conditionalFormatting sqref="B140:C146">
    <cfRule type="cellIs" dxfId="994" priority="1086" operator="equal">
      <formula>"Done"</formula>
    </cfRule>
    <cfRule type="cellIs" dxfId="993" priority="1087" operator="equal">
      <formula>"Approved"</formula>
    </cfRule>
    <cfRule type="cellIs" dxfId="992" priority="1088" operator="equal">
      <formula>"Get Approval"</formula>
    </cfRule>
    <cfRule type="cellIs" dxfId="991" priority="1089" operator="equal">
      <formula>"Partial Approval"</formula>
    </cfRule>
    <cfRule type="cellIs" dxfId="990" priority="1090" operator="equal">
      <formula>"Reviewing"</formula>
    </cfRule>
  </conditionalFormatting>
  <conditionalFormatting sqref="D140:V140 AA140:AB140 D141:AB146 AD140:AK146">
    <cfRule type="cellIs" dxfId="989" priority="1091" operator="equal">
      <formula>"Done"</formula>
    </cfRule>
    <cfRule type="cellIs" dxfId="988" priority="1092" operator="equal">
      <formula>"Approved"</formula>
    </cfRule>
    <cfRule type="cellIs" dxfId="987" priority="1093" operator="equal">
      <formula>"Get Approval"</formula>
    </cfRule>
    <cfRule type="cellIs" dxfId="986" priority="1094" operator="equal">
      <formula>"Partial Approval"</formula>
    </cfRule>
    <cfRule type="cellIs" dxfId="985" priority="1095" operator="equal">
      <formula>"Reviewing"</formula>
    </cfRule>
  </conditionalFormatting>
  <conditionalFormatting sqref="W140:Z140">
    <cfRule type="cellIs" dxfId="984" priority="1081" operator="equal">
      <formula>"Done"</formula>
    </cfRule>
    <cfRule type="cellIs" dxfId="983" priority="1082" operator="equal">
      <formula>"Approved"</formula>
    </cfRule>
    <cfRule type="cellIs" dxfId="982" priority="1083" operator="equal">
      <formula>"Get Approval"</formula>
    </cfRule>
    <cfRule type="cellIs" dxfId="981" priority="1084" operator="equal">
      <formula>"Partial Approval"</formula>
    </cfRule>
    <cfRule type="cellIs" dxfId="980" priority="1085" operator="equal">
      <formula>"Reviewing"</formula>
    </cfRule>
  </conditionalFormatting>
  <conditionalFormatting sqref="AC141">
    <cfRule type="cellIs" dxfId="979" priority="1076" operator="equal">
      <formula>"Done"</formula>
    </cfRule>
    <cfRule type="cellIs" dxfId="978" priority="1077" operator="equal">
      <formula>"Approved"</formula>
    </cfRule>
    <cfRule type="cellIs" dxfId="977" priority="1078" operator="equal">
      <formula>"Get Approval"</formula>
    </cfRule>
    <cfRule type="cellIs" dxfId="976" priority="1079" operator="equal">
      <formula>"Partial Approval"</formula>
    </cfRule>
    <cfRule type="cellIs" dxfId="975" priority="1080" operator="equal">
      <formula>"Reviewing"</formula>
    </cfRule>
  </conditionalFormatting>
  <conditionalFormatting sqref="AC140">
    <cfRule type="cellIs" dxfId="974" priority="1071" operator="equal">
      <formula>"Done"</formula>
    </cfRule>
    <cfRule type="cellIs" dxfId="973" priority="1072" operator="equal">
      <formula>"Approved"</formula>
    </cfRule>
    <cfRule type="cellIs" dxfId="972" priority="1073" operator="equal">
      <formula>"Get Approval"</formula>
    </cfRule>
    <cfRule type="cellIs" dxfId="971" priority="1074" operator="equal">
      <formula>"Partial Approval"</formula>
    </cfRule>
    <cfRule type="cellIs" dxfId="970" priority="1075" operator="equal">
      <formula>"Reviewing"</formula>
    </cfRule>
  </conditionalFormatting>
  <conditionalFormatting sqref="AC142">
    <cfRule type="cellIs" dxfId="969" priority="1066" operator="equal">
      <formula>"Done"</formula>
    </cfRule>
    <cfRule type="cellIs" dxfId="968" priority="1067" operator="equal">
      <formula>"Approved"</formula>
    </cfRule>
    <cfRule type="cellIs" dxfId="967" priority="1068" operator="equal">
      <formula>"Get Approval"</formula>
    </cfRule>
    <cfRule type="cellIs" dxfId="966" priority="1069" operator="equal">
      <formula>"Partial Approval"</formula>
    </cfRule>
    <cfRule type="cellIs" dxfId="965" priority="1070" operator="equal">
      <formula>"Reviewing"</formula>
    </cfRule>
  </conditionalFormatting>
  <conditionalFormatting sqref="AC143">
    <cfRule type="cellIs" dxfId="964" priority="1061" operator="equal">
      <formula>"Done"</formula>
    </cfRule>
    <cfRule type="cellIs" dxfId="963" priority="1062" operator="equal">
      <formula>"Approved"</formula>
    </cfRule>
    <cfRule type="cellIs" dxfId="962" priority="1063" operator="equal">
      <formula>"Get Approval"</formula>
    </cfRule>
    <cfRule type="cellIs" dxfId="961" priority="1064" operator="equal">
      <formula>"Partial Approval"</formula>
    </cfRule>
    <cfRule type="cellIs" dxfId="960" priority="1065" operator="equal">
      <formula>"Reviewing"</formula>
    </cfRule>
  </conditionalFormatting>
  <conditionalFormatting sqref="AC144">
    <cfRule type="cellIs" dxfId="959" priority="1056" operator="equal">
      <formula>"Done"</formula>
    </cfRule>
    <cfRule type="cellIs" dxfId="958" priority="1057" operator="equal">
      <formula>"Approved"</formula>
    </cfRule>
    <cfRule type="cellIs" dxfId="957" priority="1058" operator="equal">
      <formula>"Get Approval"</formula>
    </cfRule>
    <cfRule type="cellIs" dxfId="956" priority="1059" operator="equal">
      <formula>"Partial Approval"</formula>
    </cfRule>
    <cfRule type="cellIs" dxfId="955" priority="1060" operator="equal">
      <formula>"Reviewing"</formula>
    </cfRule>
  </conditionalFormatting>
  <conditionalFormatting sqref="AC145:AC146">
    <cfRule type="cellIs" dxfId="954" priority="1051" operator="equal">
      <formula>"Done"</formula>
    </cfRule>
    <cfRule type="cellIs" dxfId="953" priority="1052" operator="equal">
      <formula>"Approved"</formula>
    </cfRule>
    <cfRule type="cellIs" dxfId="952" priority="1053" operator="equal">
      <formula>"Get Approval"</formula>
    </cfRule>
    <cfRule type="cellIs" dxfId="951" priority="1054" operator="equal">
      <formula>"Partial Approval"</formula>
    </cfRule>
    <cfRule type="cellIs" dxfId="950" priority="1055" operator="equal">
      <formula>"Reviewing"</formula>
    </cfRule>
  </conditionalFormatting>
  <conditionalFormatting sqref="W147:Z147 X148:Z148 W149:Z150">
    <cfRule type="cellIs" dxfId="949" priority="1046" operator="equal">
      <formula>"Done"</formula>
    </cfRule>
    <cfRule type="cellIs" dxfId="948" priority="1047" operator="equal">
      <formula>"Approved"</formula>
    </cfRule>
    <cfRule type="cellIs" dxfId="947" priority="1048" operator="equal">
      <formula>"Get Approval"</formula>
    </cfRule>
    <cfRule type="cellIs" dxfId="946" priority="1049" operator="equal">
      <formula>"Partial Approval"</formula>
    </cfRule>
    <cfRule type="cellIs" dxfId="945" priority="1050" operator="equal">
      <formula>"Reviewing"</formula>
    </cfRule>
  </conditionalFormatting>
  <conditionalFormatting sqref="B147:C150 B152:C152 B154:C154 B156:C156 B158:C158">
    <cfRule type="cellIs" dxfId="944" priority="1041" operator="equal">
      <formula>"Done"</formula>
    </cfRule>
    <cfRule type="cellIs" dxfId="943" priority="1042" operator="equal">
      <formula>"Approved"</formula>
    </cfRule>
    <cfRule type="cellIs" dxfId="942" priority="1043" operator="equal">
      <formula>"Get Approval"</formula>
    </cfRule>
    <cfRule type="cellIs" dxfId="941" priority="1044" operator="equal">
      <formula>"Partial Approval"</formula>
    </cfRule>
    <cfRule type="cellIs" dxfId="940" priority="1045" operator="equal">
      <formula>"Reviewing"</formula>
    </cfRule>
  </conditionalFormatting>
  <conditionalFormatting sqref="D147:V150">
    <cfRule type="cellIs" dxfId="939" priority="1036" operator="equal">
      <formula>"Done"</formula>
    </cfRule>
    <cfRule type="cellIs" dxfId="938" priority="1037" operator="equal">
      <formula>"Approved"</formula>
    </cfRule>
    <cfRule type="cellIs" dxfId="937" priority="1038" operator="equal">
      <formula>"Get Approval"</formula>
    </cfRule>
    <cfRule type="cellIs" dxfId="936" priority="1039" operator="equal">
      <formula>"Partial Approval"</formula>
    </cfRule>
    <cfRule type="cellIs" dxfId="935" priority="1040" operator="equal">
      <formula>"Reviewing"</formula>
    </cfRule>
  </conditionalFormatting>
  <conditionalFormatting sqref="AA147:XFD150 AL151:XFD151">
    <cfRule type="cellIs" dxfId="934" priority="1031" operator="equal">
      <formula>"Done"</formula>
    </cfRule>
    <cfRule type="cellIs" dxfId="933" priority="1032" operator="equal">
      <formula>"Approved"</formula>
    </cfRule>
    <cfRule type="cellIs" dxfId="932" priority="1033" operator="equal">
      <formula>"Get Approval"</formula>
    </cfRule>
    <cfRule type="cellIs" dxfId="931" priority="1034" operator="equal">
      <formula>"Partial Approval"</formula>
    </cfRule>
    <cfRule type="cellIs" dxfId="930" priority="1035" operator="equal">
      <formula>"Reviewing"</formula>
    </cfRule>
  </conditionalFormatting>
  <conditionalFormatting sqref="D151">
    <cfRule type="cellIs" dxfId="929" priority="1016" operator="equal">
      <formula>"Done"</formula>
    </cfRule>
    <cfRule type="cellIs" dxfId="928" priority="1017" operator="equal">
      <formula>"Approved"</formula>
    </cfRule>
    <cfRule type="cellIs" dxfId="927" priority="1018" operator="equal">
      <formula>"Get Approval"</formula>
    </cfRule>
    <cfRule type="cellIs" dxfId="926" priority="1019" operator="equal">
      <formula>"Partial Approval"</formula>
    </cfRule>
    <cfRule type="cellIs" dxfId="925" priority="1020" operator="equal">
      <formula>"Reviewing"</formula>
    </cfRule>
  </conditionalFormatting>
  <conditionalFormatting sqref="E151:F151">
    <cfRule type="cellIs" dxfId="924" priority="1006" operator="equal">
      <formula>"Done"</formula>
    </cfRule>
    <cfRule type="cellIs" dxfId="923" priority="1007" operator="equal">
      <formula>"Approved"</formula>
    </cfRule>
    <cfRule type="cellIs" dxfId="922" priority="1008" operator="equal">
      <formula>"Get Approval"</formula>
    </cfRule>
    <cfRule type="cellIs" dxfId="921" priority="1009" operator="equal">
      <formula>"Partial Approval"</formula>
    </cfRule>
    <cfRule type="cellIs" dxfId="920" priority="1010" operator="equal">
      <formula>"Reviewing"</formula>
    </cfRule>
  </conditionalFormatting>
  <conditionalFormatting sqref="I151:M151">
    <cfRule type="cellIs" dxfId="919" priority="1011" operator="equal">
      <formula>"Done"</formula>
    </cfRule>
    <cfRule type="cellIs" dxfId="918" priority="1012" operator="equal">
      <formula>"Approved"</formula>
    </cfRule>
    <cfRule type="cellIs" dxfId="917" priority="1013" operator="equal">
      <formula>"Get Approval"</formula>
    </cfRule>
    <cfRule type="cellIs" dxfId="916" priority="1014" operator="equal">
      <formula>"Partial Approval"</formula>
    </cfRule>
    <cfRule type="cellIs" dxfId="915" priority="1015" operator="equal">
      <formula>"Reviewing"</formula>
    </cfRule>
  </conditionalFormatting>
  <conditionalFormatting sqref="N151:AK151">
    <cfRule type="cellIs" dxfId="914" priority="1021" operator="equal">
      <formula>"Done"</formula>
    </cfRule>
    <cfRule type="cellIs" dxfId="913" priority="1022" operator="equal">
      <formula>"Approved"</formula>
    </cfRule>
    <cfRule type="cellIs" dxfId="912" priority="1023" operator="equal">
      <formula>"Get Approval"</formula>
    </cfRule>
    <cfRule type="cellIs" dxfId="911" priority="1024" operator="equal">
      <formula>"Partial Approval"</formula>
    </cfRule>
    <cfRule type="cellIs" dxfId="910" priority="1025" operator="equal">
      <formula>"Reviewing"</formula>
    </cfRule>
  </conditionalFormatting>
  <conditionalFormatting sqref="G151:H151">
    <cfRule type="cellIs" dxfId="909" priority="1001" operator="equal">
      <formula>"Done"</formula>
    </cfRule>
    <cfRule type="cellIs" dxfId="908" priority="1002" operator="equal">
      <formula>"Approved"</formula>
    </cfRule>
    <cfRule type="cellIs" dxfId="907" priority="1003" operator="equal">
      <formula>"Get Approval"</formula>
    </cfRule>
    <cfRule type="cellIs" dxfId="906" priority="1004" operator="equal">
      <formula>"Partial Approval"</formula>
    </cfRule>
    <cfRule type="cellIs" dxfId="905" priority="1005" operator="equal">
      <formula>"Reviewing"</formula>
    </cfRule>
  </conditionalFormatting>
  <conditionalFormatting sqref="Y125">
    <cfRule type="cellIs" dxfId="904" priority="996" operator="equal">
      <formula>"Done"</formula>
    </cfRule>
    <cfRule type="cellIs" dxfId="903" priority="997" operator="equal">
      <formula>"Approved"</formula>
    </cfRule>
    <cfRule type="cellIs" dxfId="902" priority="998" operator="equal">
      <formula>"Get Approval"</formula>
    </cfRule>
    <cfRule type="cellIs" dxfId="901" priority="999" operator="equal">
      <formula>"Partial Approval"</formula>
    </cfRule>
    <cfRule type="cellIs" dxfId="900" priority="1000" operator="equal">
      <formula>"Reviewing"</formula>
    </cfRule>
  </conditionalFormatting>
  <conditionalFormatting sqref="Z125">
    <cfRule type="cellIs" dxfId="899" priority="991" operator="equal">
      <formula>"Done"</formula>
    </cfRule>
    <cfRule type="cellIs" dxfId="898" priority="992" operator="equal">
      <formula>"Approved"</formula>
    </cfRule>
    <cfRule type="cellIs" dxfId="897" priority="993" operator="equal">
      <formula>"Get Approval"</formula>
    </cfRule>
    <cfRule type="cellIs" dxfId="896" priority="994" operator="equal">
      <formula>"Partial Approval"</formula>
    </cfRule>
    <cfRule type="cellIs" dxfId="895" priority="995" operator="equal">
      <formula>"Reviewing"</formula>
    </cfRule>
  </conditionalFormatting>
  <conditionalFormatting sqref="D152:XFD152 AL153:XFD162">
    <cfRule type="cellIs" dxfId="894" priority="986" operator="equal">
      <formula>"Done"</formula>
    </cfRule>
    <cfRule type="cellIs" dxfId="893" priority="987" operator="equal">
      <formula>"Approved"</formula>
    </cfRule>
    <cfRule type="cellIs" dxfId="892" priority="988" operator="equal">
      <formula>"Get Approval"</formula>
    </cfRule>
    <cfRule type="cellIs" dxfId="891" priority="989" operator="equal">
      <formula>"Partial Approval"</formula>
    </cfRule>
    <cfRule type="cellIs" dxfId="890" priority="990" operator="equal">
      <formula>"Reviewing"</formula>
    </cfRule>
  </conditionalFormatting>
  <conditionalFormatting sqref="B153:C153 B155:C155 B157:C157 E153:AC155 E156:AA158 E159:G162 I159:AA162 E172:AB173 AF172:AK177 E174:AA177 AC156:AC162 AE153:AK162">
    <cfRule type="cellIs" dxfId="889" priority="976" operator="equal">
      <formula>"Done"</formula>
    </cfRule>
    <cfRule type="cellIs" dxfId="888" priority="977" operator="equal">
      <formula>"Approved"</formula>
    </cfRule>
    <cfRule type="cellIs" dxfId="887" priority="978" operator="equal">
      <formula>"Get Approval"</formula>
    </cfRule>
    <cfRule type="cellIs" dxfId="886" priority="979" operator="equal">
      <formula>"Partial Approval"</formula>
    </cfRule>
    <cfRule type="cellIs" dxfId="885" priority="980" operator="equal">
      <formula>"Reviewing"</formula>
    </cfRule>
  </conditionalFormatting>
  <conditionalFormatting sqref="AB156:AB160">
    <cfRule type="cellIs" dxfId="884" priority="961" operator="equal">
      <formula>"Done"</formula>
    </cfRule>
    <cfRule type="cellIs" dxfId="883" priority="962" operator="equal">
      <formula>"Approved"</formula>
    </cfRule>
    <cfRule type="cellIs" dxfId="882" priority="963" operator="equal">
      <formula>"Get Approval"</formula>
    </cfRule>
    <cfRule type="cellIs" dxfId="881" priority="964" operator="equal">
      <formula>"Partial Approval"</formula>
    </cfRule>
    <cfRule type="cellIs" dxfId="880" priority="965" operator="equal">
      <formula>"Reviewing"</formula>
    </cfRule>
  </conditionalFormatting>
  <conditionalFormatting sqref="AD153">
    <cfRule type="cellIs" dxfId="879" priority="956" operator="equal">
      <formula>"Done"</formula>
    </cfRule>
    <cfRule type="cellIs" dxfId="878" priority="957" operator="equal">
      <formula>"Approved"</formula>
    </cfRule>
    <cfRule type="cellIs" dxfId="877" priority="958" operator="equal">
      <formula>"Get Approval"</formula>
    </cfRule>
    <cfRule type="cellIs" dxfId="876" priority="959" operator="equal">
      <formula>"Partial Approval"</formula>
    </cfRule>
    <cfRule type="cellIs" dxfId="875" priority="960" operator="equal">
      <formula>"Reviewing"</formula>
    </cfRule>
  </conditionalFormatting>
  <conditionalFormatting sqref="AD154">
    <cfRule type="cellIs" dxfId="874" priority="951" operator="equal">
      <formula>"Done"</formula>
    </cfRule>
    <cfRule type="cellIs" dxfId="873" priority="952" operator="equal">
      <formula>"Approved"</formula>
    </cfRule>
    <cfRule type="cellIs" dxfId="872" priority="953" operator="equal">
      <formula>"Get Approval"</formula>
    </cfRule>
    <cfRule type="cellIs" dxfId="871" priority="954" operator="equal">
      <formula>"Partial Approval"</formula>
    </cfRule>
    <cfRule type="cellIs" dxfId="870" priority="955" operator="equal">
      <formula>"Reviewing"</formula>
    </cfRule>
  </conditionalFormatting>
  <conditionalFormatting sqref="AD155">
    <cfRule type="cellIs" dxfId="869" priority="946" operator="equal">
      <formula>"Done"</formula>
    </cfRule>
    <cfRule type="cellIs" dxfId="868" priority="947" operator="equal">
      <formula>"Approved"</formula>
    </cfRule>
    <cfRule type="cellIs" dxfId="867" priority="948" operator="equal">
      <formula>"Get Approval"</formula>
    </cfRule>
    <cfRule type="cellIs" dxfId="866" priority="949" operator="equal">
      <formula>"Partial Approval"</formula>
    </cfRule>
    <cfRule type="cellIs" dxfId="865" priority="950" operator="equal">
      <formula>"Reviewing"</formula>
    </cfRule>
  </conditionalFormatting>
  <conditionalFormatting sqref="AD158:AD159">
    <cfRule type="cellIs" dxfId="864" priority="941" operator="equal">
      <formula>"Done"</formula>
    </cfRule>
    <cfRule type="cellIs" dxfId="863" priority="942" operator="equal">
      <formula>"Approved"</formula>
    </cfRule>
    <cfRule type="cellIs" dxfId="862" priority="943" operator="equal">
      <formula>"Get Approval"</formula>
    </cfRule>
    <cfRule type="cellIs" dxfId="861" priority="944" operator="equal">
      <formula>"Partial Approval"</formula>
    </cfRule>
    <cfRule type="cellIs" dxfId="860" priority="945" operator="equal">
      <formula>"Reviewing"</formula>
    </cfRule>
  </conditionalFormatting>
  <conditionalFormatting sqref="AD156">
    <cfRule type="cellIs" dxfId="859" priority="936" operator="equal">
      <formula>"Done"</formula>
    </cfRule>
    <cfRule type="cellIs" dxfId="858" priority="937" operator="equal">
      <formula>"Approved"</formula>
    </cfRule>
    <cfRule type="cellIs" dxfId="857" priority="938" operator="equal">
      <formula>"Get Approval"</formula>
    </cfRule>
    <cfRule type="cellIs" dxfId="856" priority="939" operator="equal">
      <formula>"Partial Approval"</formula>
    </cfRule>
    <cfRule type="cellIs" dxfId="855" priority="940" operator="equal">
      <formula>"Reviewing"</formula>
    </cfRule>
  </conditionalFormatting>
  <conditionalFormatting sqref="AD157">
    <cfRule type="cellIs" dxfId="854" priority="931" operator="equal">
      <formula>"Done"</formula>
    </cfRule>
    <cfRule type="cellIs" dxfId="853" priority="932" operator="equal">
      <formula>"Approved"</formula>
    </cfRule>
    <cfRule type="cellIs" dxfId="852" priority="933" operator="equal">
      <formula>"Get Approval"</formula>
    </cfRule>
    <cfRule type="cellIs" dxfId="851" priority="934" operator="equal">
      <formula>"Partial Approval"</formula>
    </cfRule>
    <cfRule type="cellIs" dxfId="850" priority="935" operator="equal">
      <formula>"Reviewing"</formula>
    </cfRule>
  </conditionalFormatting>
  <conditionalFormatting sqref="H159:H160">
    <cfRule type="cellIs" dxfId="849" priority="926" operator="equal">
      <formula>"Done"</formula>
    </cfRule>
    <cfRule type="cellIs" dxfId="848" priority="927" operator="equal">
      <formula>"Approved"</formula>
    </cfRule>
    <cfRule type="cellIs" dxfId="847" priority="928" operator="equal">
      <formula>"Get Approval"</formula>
    </cfRule>
    <cfRule type="cellIs" dxfId="846" priority="929" operator="equal">
      <formula>"Partial Approval"</formula>
    </cfRule>
    <cfRule type="cellIs" dxfId="845" priority="930" operator="equal">
      <formula>"Reviewing"</formula>
    </cfRule>
  </conditionalFormatting>
  <conditionalFormatting sqref="AD160:AD162">
    <cfRule type="cellIs" dxfId="844" priority="921" operator="equal">
      <formula>"Done"</formula>
    </cfRule>
    <cfRule type="cellIs" dxfId="843" priority="922" operator="equal">
      <formula>"Approved"</formula>
    </cfRule>
    <cfRule type="cellIs" dxfId="842" priority="923" operator="equal">
      <formula>"Get Approval"</formula>
    </cfRule>
    <cfRule type="cellIs" dxfId="841" priority="924" operator="equal">
      <formula>"Partial Approval"</formula>
    </cfRule>
    <cfRule type="cellIs" dxfId="840" priority="925" operator="equal">
      <formula>"Reviewing"</formula>
    </cfRule>
  </conditionalFormatting>
  <conditionalFormatting sqref="H161:H162">
    <cfRule type="cellIs" dxfId="839" priority="916" operator="equal">
      <formula>"Done"</formula>
    </cfRule>
    <cfRule type="cellIs" dxfId="838" priority="917" operator="equal">
      <formula>"Approved"</formula>
    </cfRule>
    <cfRule type="cellIs" dxfId="837" priority="918" operator="equal">
      <formula>"Get Approval"</formula>
    </cfRule>
    <cfRule type="cellIs" dxfId="836" priority="919" operator="equal">
      <formula>"Partial Approval"</formula>
    </cfRule>
    <cfRule type="cellIs" dxfId="835" priority="920" operator="equal">
      <formula>"Reviewing"</formula>
    </cfRule>
  </conditionalFormatting>
  <conditionalFormatting sqref="AB135">
    <cfRule type="cellIs" dxfId="834" priority="906" operator="equal">
      <formula>"Done"</formula>
    </cfRule>
    <cfRule type="cellIs" dxfId="833" priority="907" operator="equal">
      <formula>"Approved"</formula>
    </cfRule>
    <cfRule type="cellIs" dxfId="832" priority="908" operator="equal">
      <formula>"Get Approval"</formula>
    </cfRule>
    <cfRule type="cellIs" dxfId="831" priority="909" operator="equal">
      <formula>"Partial Approval"</formula>
    </cfRule>
    <cfRule type="cellIs" dxfId="830" priority="910" operator="equal">
      <formula>"Reviewing"</formula>
    </cfRule>
  </conditionalFormatting>
  <conditionalFormatting sqref="AD135">
    <cfRule type="cellIs" dxfId="829" priority="901" operator="equal">
      <formula>"Done"</formula>
    </cfRule>
    <cfRule type="cellIs" dxfId="828" priority="902" operator="equal">
      <formula>"Approved"</formula>
    </cfRule>
    <cfRule type="cellIs" dxfId="827" priority="903" operator="equal">
      <formula>"Get Approval"</formula>
    </cfRule>
    <cfRule type="cellIs" dxfId="826" priority="904" operator="equal">
      <formula>"Partial Approval"</formula>
    </cfRule>
    <cfRule type="cellIs" dxfId="825" priority="905" operator="equal">
      <formula>"Reviewing"</formula>
    </cfRule>
  </conditionalFormatting>
  <conditionalFormatting sqref="W163:Z163 X164:Z164 W165:Z171">
    <cfRule type="cellIs" dxfId="824" priority="896" operator="equal">
      <formula>"Done"</formula>
    </cfRule>
    <cfRule type="cellIs" dxfId="823" priority="897" operator="equal">
      <formula>"Approved"</formula>
    </cfRule>
    <cfRule type="cellIs" dxfId="822" priority="898" operator="equal">
      <formula>"Get Approval"</formula>
    </cfRule>
    <cfRule type="cellIs" dxfId="821" priority="899" operator="equal">
      <formula>"Partial Approval"</formula>
    </cfRule>
    <cfRule type="cellIs" dxfId="820" priority="900" operator="equal">
      <formula>"Reviewing"</formula>
    </cfRule>
  </conditionalFormatting>
  <conditionalFormatting sqref="D163:V171">
    <cfRule type="cellIs" dxfId="819" priority="886" operator="equal">
      <formula>"Done"</formula>
    </cfRule>
    <cfRule type="cellIs" dxfId="818" priority="887" operator="equal">
      <formula>"Approved"</formula>
    </cfRule>
    <cfRule type="cellIs" dxfId="817" priority="888" operator="equal">
      <formula>"Get Approval"</formula>
    </cfRule>
    <cfRule type="cellIs" dxfId="816" priority="889" operator="equal">
      <formula>"Partial Approval"</formula>
    </cfRule>
    <cfRule type="cellIs" dxfId="815" priority="890" operator="equal">
      <formula>"Reviewing"</formula>
    </cfRule>
  </conditionalFormatting>
  <conditionalFormatting sqref="AA163:XFD165 AA166:AB169 AF166:XFD171 AA170:AA171 AL172:XFD177 AA178:AB178 AF178:XFD178 AD166:AD178 AA184:AA195 AC184:XFD195 AD199:XFD201 AA199:AA201 AL202:XFD203">
    <cfRule type="cellIs" dxfId="814" priority="881" operator="equal">
      <formula>"Done"</formula>
    </cfRule>
    <cfRule type="cellIs" dxfId="813" priority="882" operator="equal">
      <formula>"Approved"</formula>
    </cfRule>
    <cfRule type="cellIs" dxfId="812" priority="883" operator="equal">
      <formula>"Get Approval"</formula>
    </cfRule>
    <cfRule type="cellIs" dxfId="811" priority="884" operator="equal">
      <formula>"Partial Approval"</formula>
    </cfRule>
    <cfRule type="cellIs" dxfId="810" priority="885" operator="equal">
      <formula>"Reviewing"</formula>
    </cfRule>
  </conditionalFormatting>
  <conditionalFormatting sqref="AE166:AE178">
    <cfRule type="cellIs" dxfId="809" priority="871" operator="equal">
      <formula>"Done"</formula>
    </cfRule>
    <cfRule type="cellIs" dxfId="808" priority="872" operator="equal">
      <formula>"Approved"</formula>
    </cfRule>
    <cfRule type="cellIs" dxfId="807" priority="873" operator="equal">
      <formula>"Get Approval"</formula>
    </cfRule>
    <cfRule type="cellIs" dxfId="806" priority="874" operator="equal">
      <formula>"Partial Approval"</formula>
    </cfRule>
    <cfRule type="cellIs" dxfId="805" priority="875" operator="equal">
      <formula>"Reviewing"</formula>
    </cfRule>
  </conditionalFormatting>
  <conditionalFormatting sqref="AB170:AB171">
    <cfRule type="cellIs" dxfId="804" priority="866" operator="equal">
      <formula>"Done"</formula>
    </cfRule>
    <cfRule type="cellIs" dxfId="803" priority="867" operator="equal">
      <formula>"Approved"</formula>
    </cfRule>
    <cfRule type="cellIs" dxfId="802" priority="868" operator="equal">
      <formula>"Get Approval"</formula>
    </cfRule>
    <cfRule type="cellIs" dxfId="801" priority="869" operator="equal">
      <formula>"Partial Approval"</formula>
    </cfRule>
    <cfRule type="cellIs" dxfId="800" priority="870" operator="equal">
      <formula>"Reviewing"</formula>
    </cfRule>
  </conditionalFormatting>
  <conditionalFormatting sqref="D172:D177">
    <cfRule type="cellIs" dxfId="799" priority="861" operator="equal">
      <formula>"Done"</formula>
    </cfRule>
    <cfRule type="cellIs" dxfId="798" priority="862" operator="equal">
      <formula>"Approved"</formula>
    </cfRule>
    <cfRule type="cellIs" dxfId="797" priority="863" operator="equal">
      <formula>"Get Approval"</formula>
    </cfRule>
    <cfRule type="cellIs" dxfId="796" priority="864" operator="equal">
      <formula>"Partial Approval"</formula>
    </cfRule>
    <cfRule type="cellIs" dxfId="795" priority="865" operator="equal">
      <formula>"Reviewing"</formula>
    </cfRule>
  </conditionalFormatting>
  <conditionalFormatting sqref="AC172:AC177">
    <cfRule type="cellIs" dxfId="794" priority="851" operator="equal">
      <formula>"Done"</formula>
    </cfRule>
    <cfRule type="cellIs" dxfId="793" priority="852" operator="equal">
      <formula>"Approved"</formula>
    </cfRule>
    <cfRule type="cellIs" dxfId="792" priority="853" operator="equal">
      <formula>"Get Approval"</formula>
    </cfRule>
    <cfRule type="cellIs" dxfId="791" priority="854" operator="equal">
      <formula>"Partial Approval"</formula>
    </cfRule>
    <cfRule type="cellIs" dxfId="790" priority="855" operator="equal">
      <formula>"Reviewing"</formula>
    </cfRule>
  </conditionalFormatting>
  <conditionalFormatting sqref="AD172:AD177">
    <cfRule type="cellIs" dxfId="789" priority="846" operator="equal">
      <formula>"Done"</formula>
    </cfRule>
    <cfRule type="cellIs" dxfId="788" priority="847" operator="equal">
      <formula>"Approved"</formula>
    </cfRule>
    <cfRule type="cellIs" dxfId="787" priority="848" operator="equal">
      <formula>"Get Approval"</formula>
    </cfRule>
    <cfRule type="cellIs" dxfId="786" priority="849" operator="equal">
      <formula>"Partial Approval"</formula>
    </cfRule>
    <cfRule type="cellIs" dxfId="785" priority="850" operator="equal">
      <formula>"Reviewing"</formula>
    </cfRule>
  </conditionalFormatting>
  <conditionalFormatting sqref="AB174:AB177">
    <cfRule type="cellIs" dxfId="784" priority="841" operator="equal">
      <formula>"Done"</formula>
    </cfRule>
    <cfRule type="cellIs" dxfId="783" priority="842" operator="equal">
      <formula>"Approved"</formula>
    </cfRule>
    <cfRule type="cellIs" dxfId="782" priority="843" operator="equal">
      <formula>"Get Approval"</formula>
    </cfRule>
    <cfRule type="cellIs" dxfId="781" priority="844" operator="equal">
      <formula>"Partial Approval"</formula>
    </cfRule>
    <cfRule type="cellIs" dxfId="780" priority="845" operator="equal">
      <formula>"Reviewing"</formula>
    </cfRule>
  </conditionalFormatting>
  <conditionalFormatting sqref="W178:Z178">
    <cfRule type="cellIs" dxfId="779" priority="831" operator="equal">
      <formula>"Done"</formula>
    </cfRule>
    <cfRule type="cellIs" dxfId="778" priority="832" operator="equal">
      <formula>"Approved"</formula>
    </cfRule>
    <cfRule type="cellIs" dxfId="777" priority="833" operator="equal">
      <formula>"Get Approval"</formula>
    </cfRule>
    <cfRule type="cellIs" dxfId="776" priority="834" operator="equal">
      <formula>"Partial Approval"</formula>
    </cfRule>
    <cfRule type="cellIs" dxfId="775" priority="835" operator="equal">
      <formula>"Reviewing"</formula>
    </cfRule>
  </conditionalFormatting>
  <conditionalFormatting sqref="D178:V178">
    <cfRule type="cellIs" dxfId="774" priority="826" operator="equal">
      <formula>"Done"</formula>
    </cfRule>
    <cfRule type="cellIs" dxfId="773" priority="827" operator="equal">
      <formula>"Approved"</formula>
    </cfRule>
    <cfRule type="cellIs" dxfId="772" priority="828" operator="equal">
      <formula>"Get Approval"</formula>
    </cfRule>
    <cfRule type="cellIs" dxfId="771" priority="829" operator="equal">
      <formula>"Partial Approval"</formula>
    </cfRule>
    <cfRule type="cellIs" dxfId="770" priority="830" operator="equal">
      <formula>"Reviewing"</formula>
    </cfRule>
  </conditionalFormatting>
  <conditionalFormatting sqref="AC178">
    <cfRule type="cellIs" dxfId="769" priority="821" operator="equal">
      <formula>"Done"</formula>
    </cfRule>
    <cfRule type="cellIs" dxfId="768" priority="822" operator="equal">
      <formula>"Approved"</formula>
    </cfRule>
    <cfRule type="cellIs" dxfId="767" priority="823" operator="equal">
      <formula>"Get Approval"</formula>
    </cfRule>
    <cfRule type="cellIs" dxfId="766" priority="824" operator="equal">
      <formula>"Partial Approval"</formula>
    </cfRule>
    <cfRule type="cellIs" dxfId="765" priority="825" operator="equal">
      <formula>"Reviewing"</formula>
    </cfRule>
  </conditionalFormatting>
  <conditionalFormatting sqref="W179:Z179 X180:Z180">
    <cfRule type="cellIs" dxfId="764" priority="816" operator="equal">
      <formula>"Done"</formula>
    </cfRule>
    <cfRule type="cellIs" dxfId="763" priority="817" operator="equal">
      <formula>"Approved"</formula>
    </cfRule>
    <cfRule type="cellIs" dxfId="762" priority="818" operator="equal">
      <formula>"Get Approval"</formula>
    </cfRule>
    <cfRule type="cellIs" dxfId="761" priority="819" operator="equal">
      <formula>"Partial Approval"</formula>
    </cfRule>
    <cfRule type="cellIs" dxfId="760" priority="820" operator="equal">
      <formula>"Reviewing"</formula>
    </cfRule>
  </conditionalFormatting>
  <conditionalFormatting sqref="D179:V181">
    <cfRule type="cellIs" dxfId="759" priority="811" operator="equal">
      <formula>"Done"</formula>
    </cfRule>
    <cfRule type="cellIs" dxfId="758" priority="812" operator="equal">
      <formula>"Approved"</formula>
    </cfRule>
    <cfRule type="cellIs" dxfId="757" priority="813" operator="equal">
      <formula>"Get Approval"</formula>
    </cfRule>
    <cfRule type="cellIs" dxfId="756" priority="814" operator="equal">
      <formula>"Partial Approval"</formula>
    </cfRule>
    <cfRule type="cellIs" dxfId="755" priority="815" operator="equal">
      <formula>"Reviewing"</formula>
    </cfRule>
  </conditionalFormatting>
  <conditionalFormatting sqref="AB184:AB188">
    <cfRule type="cellIs" dxfId="754" priority="801" operator="equal">
      <formula>"Done"</formula>
    </cfRule>
    <cfRule type="cellIs" dxfId="753" priority="802" operator="equal">
      <formula>"Approved"</formula>
    </cfRule>
    <cfRule type="cellIs" dxfId="752" priority="803" operator="equal">
      <formula>"Get Approval"</formula>
    </cfRule>
    <cfRule type="cellIs" dxfId="751" priority="804" operator="equal">
      <formula>"Partial Approval"</formula>
    </cfRule>
    <cfRule type="cellIs" dxfId="750" priority="805" operator="equal">
      <formula>"Reviewing"</formula>
    </cfRule>
  </conditionalFormatting>
  <conditionalFormatting sqref="AB189:AB192">
    <cfRule type="cellIs" dxfId="749" priority="796" operator="equal">
      <formula>"Done"</formula>
    </cfRule>
    <cfRule type="cellIs" dxfId="748" priority="797" operator="equal">
      <formula>"Approved"</formula>
    </cfRule>
    <cfRule type="cellIs" dxfId="747" priority="798" operator="equal">
      <formula>"Get Approval"</formula>
    </cfRule>
    <cfRule type="cellIs" dxfId="746" priority="799" operator="equal">
      <formula>"Partial Approval"</formula>
    </cfRule>
    <cfRule type="cellIs" dxfId="745" priority="800" operator="equal">
      <formula>"Reviewing"</formula>
    </cfRule>
  </conditionalFormatting>
  <conditionalFormatting sqref="AB161">
    <cfRule type="cellIs" dxfId="744" priority="791" operator="equal">
      <formula>"Done"</formula>
    </cfRule>
    <cfRule type="cellIs" dxfId="743" priority="792" operator="equal">
      <formula>"Approved"</formula>
    </cfRule>
    <cfRule type="cellIs" dxfId="742" priority="793" operator="equal">
      <formula>"Get Approval"</formula>
    </cfRule>
    <cfRule type="cellIs" dxfId="741" priority="794" operator="equal">
      <formula>"Partial Approval"</formula>
    </cfRule>
    <cfRule type="cellIs" dxfId="740" priority="795" operator="equal">
      <formula>"Reviewing"</formula>
    </cfRule>
  </conditionalFormatting>
  <conditionalFormatting sqref="AB162">
    <cfRule type="cellIs" dxfId="739" priority="786" operator="equal">
      <formula>"Done"</formula>
    </cfRule>
    <cfRule type="cellIs" dxfId="738" priority="787" operator="equal">
      <formula>"Approved"</formula>
    </cfRule>
    <cfRule type="cellIs" dxfId="737" priority="788" operator="equal">
      <formula>"Get Approval"</formula>
    </cfRule>
    <cfRule type="cellIs" dxfId="736" priority="789" operator="equal">
      <formula>"Partial Approval"</formula>
    </cfRule>
    <cfRule type="cellIs" dxfId="735" priority="790" operator="equal">
      <formula>"Reviewing"</formula>
    </cfRule>
  </conditionalFormatting>
  <conditionalFormatting sqref="AB193:AB195 AB199:AB201">
    <cfRule type="cellIs" dxfId="734" priority="781" operator="equal">
      <formula>"Done"</formula>
    </cfRule>
    <cfRule type="cellIs" dxfId="733" priority="782" operator="equal">
      <formula>"Approved"</formula>
    </cfRule>
    <cfRule type="cellIs" dxfId="732" priority="783" operator="equal">
      <formula>"Get Approval"</formula>
    </cfRule>
    <cfRule type="cellIs" dxfId="731" priority="784" operator="equal">
      <formula>"Partial Approval"</formula>
    </cfRule>
    <cfRule type="cellIs" dxfId="730" priority="785" operator="equal">
      <formula>"Reviewing"</formula>
    </cfRule>
  </conditionalFormatting>
  <conditionalFormatting sqref="W196:Z196 X197:Z197">
    <cfRule type="cellIs" dxfId="729" priority="776" operator="equal">
      <formula>"Done"</formula>
    </cfRule>
    <cfRule type="cellIs" dxfId="728" priority="777" operator="equal">
      <formula>"Approved"</formula>
    </cfRule>
    <cfRule type="cellIs" dxfId="727" priority="778" operator="equal">
      <formula>"Get Approval"</formula>
    </cfRule>
    <cfRule type="cellIs" dxfId="726" priority="779" operator="equal">
      <formula>"Partial Approval"</formula>
    </cfRule>
    <cfRule type="cellIs" dxfId="725" priority="780" operator="equal">
      <formula>"Reviewing"</formula>
    </cfRule>
  </conditionalFormatting>
  <conditionalFormatting sqref="D196:V198">
    <cfRule type="cellIs" dxfId="724" priority="771" operator="equal">
      <formula>"Done"</formula>
    </cfRule>
    <cfRule type="cellIs" dxfId="723" priority="772" operator="equal">
      <formula>"Approved"</formula>
    </cfRule>
    <cfRule type="cellIs" dxfId="722" priority="773" operator="equal">
      <formula>"Get Approval"</formula>
    </cfRule>
    <cfRule type="cellIs" dxfId="721" priority="774" operator="equal">
      <formula>"Partial Approval"</formula>
    </cfRule>
    <cfRule type="cellIs" dxfId="720" priority="775" operator="equal">
      <formula>"Reviewing"</formula>
    </cfRule>
  </conditionalFormatting>
  <conditionalFormatting sqref="AC199:AC201">
    <cfRule type="cellIs" dxfId="719" priority="766" operator="equal">
      <formula>"Done"</formula>
    </cfRule>
    <cfRule type="cellIs" dxfId="718" priority="767" operator="equal">
      <formula>"Approved"</formula>
    </cfRule>
    <cfRule type="cellIs" dxfId="717" priority="768" operator="equal">
      <formula>"Get Approval"</formula>
    </cfRule>
    <cfRule type="cellIs" dxfId="716" priority="769" operator="equal">
      <formula>"Partial Approval"</formula>
    </cfRule>
    <cfRule type="cellIs" dxfId="715" priority="770" operator="equal">
      <formula>"Reviewing"</formula>
    </cfRule>
  </conditionalFormatting>
  <conditionalFormatting sqref="G201:H201">
    <cfRule type="cellIs" dxfId="714" priority="761" operator="equal">
      <formula>"Done"</formula>
    </cfRule>
    <cfRule type="cellIs" dxfId="713" priority="762" operator="equal">
      <formula>"Approved"</formula>
    </cfRule>
    <cfRule type="cellIs" dxfId="712" priority="763" operator="equal">
      <formula>"Get Approval"</formula>
    </cfRule>
    <cfRule type="cellIs" dxfId="711" priority="764" operator="equal">
      <formula>"Partial Approval"</formula>
    </cfRule>
    <cfRule type="cellIs" dxfId="710" priority="765" operator="equal">
      <formula>"Reviewing"</formula>
    </cfRule>
  </conditionalFormatting>
  <conditionalFormatting sqref="W202:Z202 X203:Z203">
    <cfRule type="cellIs" dxfId="709" priority="756" operator="equal">
      <formula>"Done"</formula>
    </cfRule>
    <cfRule type="cellIs" dxfId="708" priority="757" operator="equal">
      <formula>"Approved"</formula>
    </cfRule>
    <cfRule type="cellIs" dxfId="707" priority="758" operator="equal">
      <formula>"Get Approval"</formula>
    </cfRule>
    <cfRule type="cellIs" dxfId="706" priority="759" operator="equal">
      <formula>"Partial Approval"</formula>
    </cfRule>
    <cfRule type="cellIs" dxfId="705" priority="760" operator="equal">
      <formula>"Reviewing"</formula>
    </cfRule>
  </conditionalFormatting>
  <conditionalFormatting sqref="D202:V205">
    <cfRule type="cellIs" dxfId="704" priority="751" operator="equal">
      <formula>"Done"</formula>
    </cfRule>
    <cfRule type="cellIs" dxfId="703" priority="752" operator="equal">
      <formula>"Approved"</formula>
    </cfRule>
    <cfRule type="cellIs" dxfId="702" priority="753" operator="equal">
      <formula>"Get Approval"</formula>
    </cfRule>
    <cfRule type="cellIs" dxfId="701" priority="754" operator="equal">
      <formula>"Partial Approval"</formula>
    </cfRule>
    <cfRule type="cellIs" dxfId="700" priority="755" operator="equal">
      <formula>"Reviewing"</formula>
    </cfRule>
  </conditionalFormatting>
  <conditionalFormatting sqref="A206">
    <cfRule type="cellIs" dxfId="699" priority="741" operator="equal">
      <formula>"Done"</formula>
    </cfRule>
    <cfRule type="cellIs" dxfId="698" priority="742" operator="equal">
      <formula>"Approved"</formula>
    </cfRule>
    <cfRule type="cellIs" dxfId="697" priority="743" operator="equal">
      <formula>"Get Approval"</formula>
    </cfRule>
    <cfRule type="cellIs" dxfId="696" priority="744" operator="equal">
      <formula>"Partial Approval"</formula>
    </cfRule>
    <cfRule type="cellIs" dxfId="695" priority="745" operator="equal">
      <formula>"Reviewing"</formula>
    </cfRule>
  </conditionalFormatting>
  <conditionalFormatting sqref="D206:H206 K206:AK206">
    <cfRule type="cellIs" dxfId="694" priority="746" operator="equal">
      <formula>"Done"</formula>
    </cfRule>
    <cfRule type="cellIs" dxfId="693" priority="747" operator="equal">
      <formula>"Approved"</formula>
    </cfRule>
    <cfRule type="cellIs" dxfId="692" priority="748" operator="equal">
      <formula>"Get Approval"</formula>
    </cfRule>
    <cfRule type="cellIs" dxfId="691" priority="749" operator="equal">
      <formula>"Partial Approval"</formula>
    </cfRule>
    <cfRule type="cellIs" dxfId="690" priority="750" operator="equal">
      <formula>"Reviewing"</formula>
    </cfRule>
  </conditionalFormatting>
  <conditionalFormatting sqref="AA207:AA209 AC207:AK209">
    <cfRule type="cellIs" dxfId="689" priority="736" operator="equal">
      <formula>"Done"</formula>
    </cfRule>
    <cfRule type="cellIs" dxfId="688" priority="737" operator="equal">
      <formula>"Approved"</formula>
    </cfRule>
    <cfRule type="cellIs" dxfId="687" priority="738" operator="equal">
      <formula>"Get Approval"</formula>
    </cfRule>
    <cfRule type="cellIs" dxfId="686" priority="739" operator="equal">
      <formula>"Partial Approval"</formula>
    </cfRule>
    <cfRule type="cellIs" dxfId="685" priority="740" operator="equal">
      <formula>"Reviewing"</formula>
    </cfRule>
  </conditionalFormatting>
  <conditionalFormatting sqref="AB207:AB209">
    <cfRule type="cellIs" dxfId="684" priority="731" operator="equal">
      <formula>"Done"</formula>
    </cfRule>
    <cfRule type="cellIs" dxfId="683" priority="732" operator="equal">
      <formula>"Approved"</formula>
    </cfRule>
    <cfRule type="cellIs" dxfId="682" priority="733" operator="equal">
      <formula>"Get Approval"</formula>
    </cfRule>
    <cfRule type="cellIs" dxfId="681" priority="734" operator="equal">
      <formula>"Partial Approval"</formula>
    </cfRule>
    <cfRule type="cellIs" dxfId="680" priority="735" operator="equal">
      <formula>"Reviewing"</formula>
    </cfRule>
  </conditionalFormatting>
  <conditionalFormatting sqref="W210:Z210 X211:Z211">
    <cfRule type="cellIs" dxfId="679" priority="726" operator="equal">
      <formula>"Done"</formula>
    </cfRule>
    <cfRule type="cellIs" dxfId="678" priority="727" operator="equal">
      <formula>"Approved"</formula>
    </cfRule>
    <cfRule type="cellIs" dxfId="677" priority="728" operator="equal">
      <formula>"Get Approval"</formula>
    </cfRule>
    <cfRule type="cellIs" dxfId="676" priority="729" operator="equal">
      <formula>"Partial Approval"</formula>
    </cfRule>
    <cfRule type="cellIs" dxfId="675" priority="730" operator="equal">
      <formula>"Reviewing"</formula>
    </cfRule>
  </conditionalFormatting>
  <conditionalFormatting sqref="D210:V214">
    <cfRule type="cellIs" dxfId="674" priority="721" operator="equal">
      <formula>"Done"</formula>
    </cfRule>
    <cfRule type="cellIs" dxfId="673" priority="722" operator="equal">
      <formula>"Approved"</formula>
    </cfRule>
    <cfRule type="cellIs" dxfId="672" priority="723" operator="equal">
      <formula>"Get Approval"</formula>
    </cfRule>
    <cfRule type="cellIs" dxfId="671" priority="724" operator="equal">
      <formula>"Partial Approval"</formula>
    </cfRule>
    <cfRule type="cellIs" dxfId="670" priority="725" operator="equal">
      <formula>"Reviewing"</formula>
    </cfRule>
  </conditionalFormatting>
  <conditionalFormatting sqref="AA215:AA220 AC215:AK220">
    <cfRule type="cellIs" dxfId="669" priority="716" operator="equal">
      <formula>"Done"</formula>
    </cfRule>
    <cfRule type="cellIs" dxfId="668" priority="717" operator="equal">
      <formula>"Approved"</formula>
    </cfRule>
    <cfRule type="cellIs" dxfId="667" priority="718" operator="equal">
      <formula>"Get Approval"</formula>
    </cfRule>
    <cfRule type="cellIs" dxfId="666" priority="719" operator="equal">
      <formula>"Partial Approval"</formula>
    </cfRule>
    <cfRule type="cellIs" dxfId="665" priority="720" operator="equal">
      <formula>"Reviewing"</formula>
    </cfRule>
  </conditionalFormatting>
  <conditionalFormatting sqref="AB215:AB220">
    <cfRule type="cellIs" dxfId="664" priority="711" operator="equal">
      <formula>"Done"</formula>
    </cfRule>
    <cfRule type="cellIs" dxfId="663" priority="712" operator="equal">
      <formula>"Approved"</formula>
    </cfRule>
    <cfRule type="cellIs" dxfId="662" priority="713" operator="equal">
      <formula>"Get Approval"</formula>
    </cfRule>
    <cfRule type="cellIs" dxfId="661" priority="714" operator="equal">
      <formula>"Partial Approval"</formula>
    </cfRule>
    <cfRule type="cellIs" dxfId="660" priority="715" operator="equal">
      <formula>"Reviewing"</formula>
    </cfRule>
  </conditionalFormatting>
  <conditionalFormatting sqref="H220">
    <cfRule type="cellIs" dxfId="659" priority="706" operator="equal">
      <formula>"Done"</formula>
    </cfRule>
    <cfRule type="cellIs" dxfId="658" priority="707" operator="equal">
      <formula>"Approved"</formula>
    </cfRule>
    <cfRule type="cellIs" dxfId="657" priority="708" operator="equal">
      <formula>"Get Approval"</formula>
    </cfRule>
    <cfRule type="cellIs" dxfId="656" priority="709" operator="equal">
      <formula>"Partial Approval"</formula>
    </cfRule>
    <cfRule type="cellIs" dxfId="655" priority="710" operator="equal">
      <formula>"Reviewing"</formula>
    </cfRule>
  </conditionalFormatting>
  <conditionalFormatting sqref="W221:Z221 X222:Z222">
    <cfRule type="cellIs" dxfId="654" priority="701" operator="equal">
      <formula>"Done"</formula>
    </cfRule>
    <cfRule type="cellIs" dxfId="653" priority="702" operator="equal">
      <formula>"Approved"</formula>
    </cfRule>
    <cfRule type="cellIs" dxfId="652" priority="703" operator="equal">
      <formula>"Get Approval"</formula>
    </cfRule>
    <cfRule type="cellIs" dxfId="651" priority="704" operator="equal">
      <formula>"Partial Approval"</formula>
    </cfRule>
    <cfRule type="cellIs" dxfId="650" priority="705" operator="equal">
      <formula>"Reviewing"</formula>
    </cfRule>
  </conditionalFormatting>
  <conditionalFormatting sqref="D221:V223">
    <cfRule type="cellIs" dxfId="649" priority="696" operator="equal">
      <formula>"Done"</formula>
    </cfRule>
    <cfRule type="cellIs" dxfId="648" priority="697" operator="equal">
      <formula>"Approved"</formula>
    </cfRule>
    <cfRule type="cellIs" dxfId="647" priority="698" operator="equal">
      <formula>"Get Approval"</formula>
    </cfRule>
    <cfRule type="cellIs" dxfId="646" priority="699" operator="equal">
      <formula>"Partial Approval"</formula>
    </cfRule>
    <cfRule type="cellIs" dxfId="645" priority="700" operator="equal">
      <formula>"Reviewing"</formula>
    </cfRule>
  </conditionalFormatting>
  <conditionalFormatting sqref="F224:F226">
    <cfRule type="cellIs" dxfId="644" priority="691" operator="equal">
      <formula>"Done"</formula>
    </cfRule>
    <cfRule type="cellIs" dxfId="643" priority="692" operator="equal">
      <formula>"Approved"</formula>
    </cfRule>
    <cfRule type="cellIs" dxfId="642" priority="693" operator="equal">
      <formula>"Get Approval"</formula>
    </cfRule>
    <cfRule type="cellIs" dxfId="641" priority="694" operator="equal">
      <formula>"Partial Approval"</formula>
    </cfRule>
    <cfRule type="cellIs" dxfId="640" priority="695" operator="equal">
      <formula>"Reviewing"</formula>
    </cfRule>
  </conditionalFormatting>
  <conditionalFormatting sqref="G224:H224">
    <cfRule type="cellIs" dxfId="639" priority="686" operator="equal">
      <formula>"Done"</formula>
    </cfRule>
    <cfRule type="cellIs" dxfId="638" priority="687" operator="equal">
      <formula>"Approved"</formula>
    </cfRule>
    <cfRule type="cellIs" dxfId="637" priority="688" operator="equal">
      <formula>"Get Approval"</formula>
    </cfRule>
    <cfRule type="cellIs" dxfId="636" priority="689" operator="equal">
      <formula>"Partial Approval"</formula>
    </cfRule>
    <cfRule type="cellIs" dxfId="635" priority="690" operator="equal">
      <formula>"Reviewing"</formula>
    </cfRule>
  </conditionalFormatting>
  <conditionalFormatting sqref="AC221">
    <cfRule type="cellIs" dxfId="634" priority="681" operator="equal">
      <formula>"Done"</formula>
    </cfRule>
    <cfRule type="cellIs" dxfId="633" priority="682" operator="equal">
      <formula>"Approved"</formula>
    </cfRule>
    <cfRule type="cellIs" dxfId="632" priority="683" operator="equal">
      <formula>"Get Approval"</formula>
    </cfRule>
    <cfRule type="cellIs" dxfId="631" priority="684" operator="equal">
      <formula>"Partial Approval"</formula>
    </cfRule>
    <cfRule type="cellIs" dxfId="630" priority="685" operator="equal">
      <formula>"Reviewing"</formula>
    </cfRule>
  </conditionalFormatting>
  <conditionalFormatting sqref="AC222">
    <cfRule type="cellIs" dxfId="629" priority="676" operator="equal">
      <formula>"Done"</formula>
    </cfRule>
    <cfRule type="cellIs" dxfId="628" priority="677" operator="equal">
      <formula>"Approved"</formula>
    </cfRule>
    <cfRule type="cellIs" dxfId="627" priority="678" operator="equal">
      <formula>"Get Approval"</formula>
    </cfRule>
    <cfRule type="cellIs" dxfId="626" priority="679" operator="equal">
      <formula>"Partial Approval"</formula>
    </cfRule>
    <cfRule type="cellIs" dxfId="625" priority="680" operator="equal">
      <formula>"Reviewing"</formula>
    </cfRule>
  </conditionalFormatting>
  <conditionalFormatting sqref="AC223:AC224">
    <cfRule type="cellIs" dxfId="624" priority="671" operator="equal">
      <formula>"Done"</formula>
    </cfRule>
    <cfRule type="cellIs" dxfId="623" priority="672" operator="equal">
      <formula>"Approved"</formula>
    </cfRule>
    <cfRule type="cellIs" dxfId="622" priority="673" operator="equal">
      <formula>"Get Approval"</formula>
    </cfRule>
    <cfRule type="cellIs" dxfId="621" priority="674" operator="equal">
      <formula>"Partial Approval"</formula>
    </cfRule>
    <cfRule type="cellIs" dxfId="620" priority="675" operator="equal">
      <formula>"Reviewing"</formula>
    </cfRule>
  </conditionalFormatting>
  <conditionalFormatting sqref="W227:Z227 X228:Z228">
    <cfRule type="cellIs" dxfId="619" priority="666" operator="equal">
      <formula>"Done"</formula>
    </cfRule>
    <cfRule type="cellIs" dxfId="618" priority="667" operator="equal">
      <formula>"Approved"</formula>
    </cfRule>
    <cfRule type="cellIs" dxfId="617" priority="668" operator="equal">
      <formula>"Get Approval"</formula>
    </cfRule>
    <cfRule type="cellIs" dxfId="616" priority="669" operator="equal">
      <formula>"Partial Approval"</formula>
    </cfRule>
    <cfRule type="cellIs" dxfId="615" priority="670" operator="equal">
      <formula>"Reviewing"</formula>
    </cfRule>
  </conditionalFormatting>
  <conditionalFormatting sqref="D227:V229">
    <cfRule type="cellIs" dxfId="614" priority="661" operator="equal">
      <formula>"Done"</formula>
    </cfRule>
    <cfRule type="cellIs" dxfId="613" priority="662" operator="equal">
      <formula>"Approved"</formula>
    </cfRule>
    <cfRule type="cellIs" dxfId="612" priority="663" operator="equal">
      <formula>"Get Approval"</formula>
    </cfRule>
    <cfRule type="cellIs" dxfId="611" priority="664" operator="equal">
      <formula>"Partial Approval"</formula>
    </cfRule>
    <cfRule type="cellIs" dxfId="610" priority="665" operator="equal">
      <formula>"Reviewing"</formula>
    </cfRule>
  </conditionalFormatting>
  <conditionalFormatting sqref="AC227">
    <cfRule type="cellIs" dxfId="609" priority="656" operator="equal">
      <formula>"Done"</formula>
    </cfRule>
    <cfRule type="cellIs" dxfId="608" priority="657" operator="equal">
      <formula>"Approved"</formula>
    </cfRule>
    <cfRule type="cellIs" dxfId="607" priority="658" operator="equal">
      <formula>"Get Approval"</formula>
    </cfRule>
    <cfRule type="cellIs" dxfId="606" priority="659" operator="equal">
      <formula>"Partial Approval"</formula>
    </cfRule>
    <cfRule type="cellIs" dxfId="605" priority="660" operator="equal">
      <formula>"Reviewing"</formula>
    </cfRule>
  </conditionalFormatting>
  <conditionalFormatting sqref="AC228">
    <cfRule type="cellIs" dxfId="604" priority="651" operator="equal">
      <formula>"Done"</formula>
    </cfRule>
    <cfRule type="cellIs" dxfId="603" priority="652" operator="equal">
      <formula>"Approved"</formula>
    </cfRule>
    <cfRule type="cellIs" dxfId="602" priority="653" operator="equal">
      <formula>"Get Approval"</formula>
    </cfRule>
    <cfRule type="cellIs" dxfId="601" priority="654" operator="equal">
      <formula>"Partial Approval"</formula>
    </cfRule>
    <cfRule type="cellIs" dxfId="600" priority="655" operator="equal">
      <formula>"Reviewing"</formula>
    </cfRule>
  </conditionalFormatting>
  <conditionalFormatting sqref="AC229:AC237 AC240:AC251">
    <cfRule type="cellIs" dxfId="599" priority="646" operator="equal">
      <formula>"Done"</formula>
    </cfRule>
    <cfRule type="cellIs" dxfId="598" priority="647" operator="equal">
      <formula>"Approved"</formula>
    </cfRule>
    <cfRule type="cellIs" dxfId="597" priority="648" operator="equal">
      <formula>"Get Approval"</formula>
    </cfRule>
    <cfRule type="cellIs" dxfId="596" priority="649" operator="equal">
      <formula>"Partial Approval"</formula>
    </cfRule>
    <cfRule type="cellIs" dxfId="595" priority="650" operator="equal">
      <formula>"Reviewing"</formula>
    </cfRule>
  </conditionalFormatting>
  <conditionalFormatting sqref="F230">
    <cfRule type="cellIs" dxfId="594" priority="636" operator="equal">
      <formula>"Done"</formula>
    </cfRule>
    <cfRule type="cellIs" dxfId="593" priority="637" operator="equal">
      <formula>"Approved"</formula>
    </cfRule>
    <cfRule type="cellIs" dxfId="592" priority="638" operator="equal">
      <formula>"Get Approval"</formula>
    </cfRule>
    <cfRule type="cellIs" dxfId="591" priority="639" operator="equal">
      <formula>"Partial Approval"</formula>
    </cfRule>
    <cfRule type="cellIs" dxfId="590" priority="640" operator="equal">
      <formula>"Reviewing"</formula>
    </cfRule>
  </conditionalFormatting>
  <conditionalFormatting sqref="D233:E237 G233:V237">
    <cfRule type="cellIs" dxfId="589" priority="626" operator="equal">
      <formula>"Done"</formula>
    </cfRule>
    <cfRule type="cellIs" dxfId="588" priority="627" operator="equal">
      <formula>"Approved"</formula>
    </cfRule>
    <cfRule type="cellIs" dxfId="587" priority="628" operator="equal">
      <formula>"Get Approval"</formula>
    </cfRule>
    <cfRule type="cellIs" dxfId="586" priority="629" operator="equal">
      <formula>"Partial Approval"</formula>
    </cfRule>
    <cfRule type="cellIs" dxfId="585" priority="630" operator="equal">
      <formula>"Reviewing"</formula>
    </cfRule>
  </conditionalFormatting>
  <conditionalFormatting sqref="F232:F237">
    <cfRule type="cellIs" dxfId="584" priority="621" operator="equal">
      <formula>"Done"</formula>
    </cfRule>
    <cfRule type="cellIs" dxfId="583" priority="622" operator="equal">
      <formula>"Approved"</formula>
    </cfRule>
    <cfRule type="cellIs" dxfId="582" priority="623" operator="equal">
      <formula>"Get Approval"</formula>
    </cfRule>
    <cfRule type="cellIs" dxfId="581" priority="624" operator="equal">
      <formula>"Partial Approval"</formula>
    </cfRule>
    <cfRule type="cellIs" dxfId="580" priority="625" operator="equal">
      <formula>"Reviewing"</formula>
    </cfRule>
  </conditionalFormatting>
  <conditionalFormatting sqref="AB224">
    <cfRule type="cellIs" dxfId="579" priority="616" operator="equal">
      <formula>"Done"</formula>
    </cfRule>
    <cfRule type="cellIs" dxfId="578" priority="617" operator="equal">
      <formula>"Approved"</formula>
    </cfRule>
    <cfRule type="cellIs" dxfId="577" priority="618" operator="equal">
      <formula>"Get Approval"</formula>
    </cfRule>
    <cfRule type="cellIs" dxfId="576" priority="619" operator="equal">
      <formula>"Partial Approval"</formula>
    </cfRule>
    <cfRule type="cellIs" dxfId="575" priority="620" operator="equal">
      <formula>"Reviewing"</formula>
    </cfRule>
  </conditionalFormatting>
  <conditionalFormatting sqref="AE224">
    <cfRule type="cellIs" dxfId="574" priority="611" operator="equal">
      <formula>"Done"</formula>
    </cfRule>
    <cfRule type="cellIs" dxfId="573" priority="612" operator="equal">
      <formula>"Approved"</formula>
    </cfRule>
    <cfRule type="cellIs" dxfId="572" priority="613" operator="equal">
      <formula>"Get Approval"</formula>
    </cfRule>
    <cfRule type="cellIs" dxfId="571" priority="614" operator="equal">
      <formula>"Partial Approval"</formula>
    </cfRule>
    <cfRule type="cellIs" dxfId="570" priority="615" operator="equal">
      <formula>"Reviewing"</formula>
    </cfRule>
  </conditionalFormatting>
  <conditionalFormatting sqref="W238:Z238 X239:Z239">
    <cfRule type="cellIs" dxfId="569" priority="601" operator="equal">
      <formula>"Done"</formula>
    </cfRule>
    <cfRule type="cellIs" dxfId="568" priority="602" operator="equal">
      <formula>"Approved"</formula>
    </cfRule>
    <cfRule type="cellIs" dxfId="567" priority="603" operator="equal">
      <formula>"Get Approval"</formula>
    </cfRule>
    <cfRule type="cellIs" dxfId="566" priority="604" operator="equal">
      <formula>"Partial Approval"</formula>
    </cfRule>
    <cfRule type="cellIs" dxfId="565" priority="605" operator="equal">
      <formula>"Reviewing"</formula>
    </cfRule>
  </conditionalFormatting>
  <conditionalFormatting sqref="D238:V240">
    <cfRule type="cellIs" dxfId="564" priority="596" operator="equal">
      <formula>"Done"</formula>
    </cfRule>
    <cfRule type="cellIs" dxfId="563" priority="597" operator="equal">
      <formula>"Approved"</formula>
    </cfRule>
    <cfRule type="cellIs" dxfId="562" priority="598" operator="equal">
      <formula>"Get Approval"</formula>
    </cfRule>
    <cfRule type="cellIs" dxfId="561" priority="599" operator="equal">
      <formula>"Partial Approval"</formula>
    </cfRule>
    <cfRule type="cellIs" dxfId="560" priority="600" operator="equal">
      <formula>"Reviewing"</formula>
    </cfRule>
  </conditionalFormatting>
  <conditionalFormatting sqref="AC238">
    <cfRule type="cellIs" dxfId="559" priority="591" operator="equal">
      <formula>"Done"</formula>
    </cfRule>
    <cfRule type="cellIs" dxfId="558" priority="592" operator="equal">
      <formula>"Approved"</formula>
    </cfRule>
    <cfRule type="cellIs" dxfId="557" priority="593" operator="equal">
      <formula>"Get Approval"</formula>
    </cfRule>
    <cfRule type="cellIs" dxfId="556" priority="594" operator="equal">
      <formula>"Partial Approval"</formula>
    </cfRule>
    <cfRule type="cellIs" dxfId="555" priority="595" operator="equal">
      <formula>"Reviewing"</formula>
    </cfRule>
  </conditionalFormatting>
  <conditionalFormatting sqref="AC239">
    <cfRule type="cellIs" dxfId="554" priority="586" operator="equal">
      <formula>"Done"</formula>
    </cfRule>
    <cfRule type="cellIs" dxfId="553" priority="587" operator="equal">
      <formula>"Approved"</formula>
    </cfRule>
    <cfRule type="cellIs" dxfId="552" priority="588" operator="equal">
      <formula>"Get Approval"</formula>
    </cfRule>
    <cfRule type="cellIs" dxfId="551" priority="589" operator="equal">
      <formula>"Partial Approval"</formula>
    </cfRule>
    <cfRule type="cellIs" dxfId="550" priority="590" operator="equal">
      <formula>"Reviewing"</formula>
    </cfRule>
  </conditionalFormatting>
  <conditionalFormatting sqref="F241:F243">
    <cfRule type="cellIs" dxfId="549" priority="581" operator="equal">
      <formula>"Done"</formula>
    </cfRule>
    <cfRule type="cellIs" dxfId="548" priority="582" operator="equal">
      <formula>"Approved"</formula>
    </cfRule>
    <cfRule type="cellIs" dxfId="547" priority="583" operator="equal">
      <formula>"Get Approval"</formula>
    </cfRule>
    <cfRule type="cellIs" dxfId="546" priority="584" operator="equal">
      <formula>"Partial Approval"</formula>
    </cfRule>
    <cfRule type="cellIs" dxfId="545" priority="585" operator="equal">
      <formula>"Reviewing"</formula>
    </cfRule>
  </conditionalFormatting>
  <conditionalFormatting sqref="D244:E244 G244:V244">
    <cfRule type="cellIs" dxfId="544" priority="571" operator="equal">
      <formula>"Done"</formula>
    </cfRule>
    <cfRule type="cellIs" dxfId="543" priority="572" operator="equal">
      <formula>"Approved"</formula>
    </cfRule>
    <cfRule type="cellIs" dxfId="542" priority="573" operator="equal">
      <formula>"Get Approval"</formula>
    </cfRule>
    <cfRule type="cellIs" dxfId="541" priority="574" operator="equal">
      <formula>"Partial Approval"</formula>
    </cfRule>
    <cfRule type="cellIs" dxfId="540" priority="575" operator="equal">
      <formula>"Reviewing"</formula>
    </cfRule>
  </conditionalFormatting>
  <conditionalFormatting sqref="F244">
    <cfRule type="cellIs" dxfId="539" priority="566" operator="equal">
      <formula>"Done"</formula>
    </cfRule>
    <cfRule type="cellIs" dxfId="538" priority="567" operator="equal">
      <formula>"Approved"</formula>
    </cfRule>
    <cfRule type="cellIs" dxfId="537" priority="568" operator="equal">
      <formula>"Get Approval"</formula>
    </cfRule>
    <cfRule type="cellIs" dxfId="536" priority="569" operator="equal">
      <formula>"Partial Approval"</formula>
    </cfRule>
    <cfRule type="cellIs" dxfId="535" priority="570" operator="equal">
      <formula>"Reviewing"</formula>
    </cfRule>
  </conditionalFormatting>
  <conditionalFormatting sqref="D245:E245 G245:V245">
    <cfRule type="cellIs" dxfId="534" priority="561" operator="equal">
      <formula>"Done"</formula>
    </cfRule>
    <cfRule type="cellIs" dxfId="533" priority="562" operator="equal">
      <formula>"Approved"</formula>
    </cfRule>
    <cfRule type="cellIs" dxfId="532" priority="563" operator="equal">
      <formula>"Get Approval"</formula>
    </cfRule>
    <cfRule type="cellIs" dxfId="531" priority="564" operator="equal">
      <formula>"Partial Approval"</formula>
    </cfRule>
    <cfRule type="cellIs" dxfId="530" priority="565" operator="equal">
      <formula>"Reviewing"</formula>
    </cfRule>
  </conditionalFormatting>
  <conditionalFormatting sqref="F245">
    <cfRule type="cellIs" dxfId="529" priority="556" operator="equal">
      <formula>"Done"</formula>
    </cfRule>
    <cfRule type="cellIs" dxfId="528" priority="557" operator="equal">
      <formula>"Approved"</formula>
    </cfRule>
    <cfRule type="cellIs" dxfId="527" priority="558" operator="equal">
      <formula>"Get Approval"</formula>
    </cfRule>
    <cfRule type="cellIs" dxfId="526" priority="559" operator="equal">
      <formula>"Partial Approval"</formula>
    </cfRule>
    <cfRule type="cellIs" dxfId="525" priority="560" operator="equal">
      <formula>"Reviewing"</formula>
    </cfRule>
  </conditionalFormatting>
  <conditionalFormatting sqref="E246:E252 E259">
    <cfRule type="cellIs" dxfId="524" priority="551" operator="equal">
      <formula>"Done"</formula>
    </cfRule>
    <cfRule type="cellIs" dxfId="523" priority="552" operator="equal">
      <formula>"Approved"</formula>
    </cfRule>
    <cfRule type="cellIs" dxfId="522" priority="553" operator="equal">
      <formula>"Get Approval"</formula>
    </cfRule>
    <cfRule type="cellIs" dxfId="521" priority="554" operator="equal">
      <formula>"Partial Approval"</formula>
    </cfRule>
    <cfRule type="cellIs" dxfId="520" priority="555" operator="equal">
      <formula>"Reviewing"</formula>
    </cfRule>
  </conditionalFormatting>
  <conditionalFormatting sqref="G246:H246">
    <cfRule type="cellIs" dxfId="519" priority="546" operator="equal">
      <formula>"Done"</formula>
    </cfRule>
    <cfRule type="cellIs" dxfId="518" priority="547" operator="equal">
      <formula>"Approved"</formula>
    </cfRule>
    <cfRule type="cellIs" dxfId="517" priority="548" operator="equal">
      <formula>"Get Approval"</formula>
    </cfRule>
    <cfRule type="cellIs" dxfId="516" priority="549" operator="equal">
      <formula>"Partial Approval"</formula>
    </cfRule>
    <cfRule type="cellIs" dxfId="515" priority="550" operator="equal">
      <formula>"Reviewing"</formula>
    </cfRule>
  </conditionalFormatting>
  <conditionalFormatting sqref="G247:H251">
    <cfRule type="cellIs" dxfId="514" priority="541" operator="equal">
      <formula>"Done"</formula>
    </cfRule>
    <cfRule type="cellIs" dxfId="513" priority="542" operator="equal">
      <formula>"Approved"</formula>
    </cfRule>
    <cfRule type="cellIs" dxfId="512" priority="543" operator="equal">
      <formula>"Get Approval"</formula>
    </cfRule>
    <cfRule type="cellIs" dxfId="511" priority="544" operator="equal">
      <formula>"Partial Approval"</formula>
    </cfRule>
    <cfRule type="cellIs" dxfId="510" priority="545" operator="equal">
      <formula>"Reviewing"</formula>
    </cfRule>
  </conditionalFormatting>
  <conditionalFormatting sqref="G252:H252">
    <cfRule type="cellIs" dxfId="509" priority="536" operator="equal">
      <formula>"Done"</formula>
    </cfRule>
    <cfRule type="cellIs" dxfId="508" priority="537" operator="equal">
      <formula>"Approved"</formula>
    </cfRule>
    <cfRule type="cellIs" dxfId="507" priority="538" operator="equal">
      <formula>"Get Approval"</formula>
    </cfRule>
    <cfRule type="cellIs" dxfId="506" priority="539" operator="equal">
      <formula>"Partial Approval"</formula>
    </cfRule>
    <cfRule type="cellIs" dxfId="505" priority="540" operator="equal">
      <formula>"Reviewing"</formula>
    </cfRule>
  </conditionalFormatting>
  <conditionalFormatting sqref="AC254">
    <cfRule type="cellIs" dxfId="504" priority="531" operator="equal">
      <formula>"Done"</formula>
    </cfRule>
    <cfRule type="cellIs" dxfId="503" priority="532" operator="equal">
      <formula>"Approved"</formula>
    </cfRule>
    <cfRule type="cellIs" dxfId="502" priority="533" operator="equal">
      <formula>"Get Approval"</formula>
    </cfRule>
    <cfRule type="cellIs" dxfId="501" priority="534" operator="equal">
      <formula>"Partial Approval"</formula>
    </cfRule>
    <cfRule type="cellIs" dxfId="500" priority="535" operator="equal">
      <formula>"Reviewing"</formula>
    </cfRule>
  </conditionalFormatting>
  <conditionalFormatting sqref="X253:Z253">
    <cfRule type="cellIs" dxfId="499" priority="526" operator="equal">
      <formula>"Done"</formula>
    </cfRule>
    <cfRule type="cellIs" dxfId="498" priority="527" operator="equal">
      <formula>"Approved"</formula>
    </cfRule>
    <cfRule type="cellIs" dxfId="497" priority="528" operator="equal">
      <formula>"Get Approval"</formula>
    </cfRule>
    <cfRule type="cellIs" dxfId="496" priority="529" operator="equal">
      <formula>"Partial Approval"</formula>
    </cfRule>
    <cfRule type="cellIs" dxfId="495" priority="530" operator="equal">
      <formula>"Reviewing"</formula>
    </cfRule>
  </conditionalFormatting>
  <conditionalFormatting sqref="D253:V254">
    <cfRule type="cellIs" dxfId="494" priority="521" operator="equal">
      <formula>"Done"</formula>
    </cfRule>
    <cfRule type="cellIs" dxfId="493" priority="522" operator="equal">
      <formula>"Approved"</formula>
    </cfRule>
    <cfRule type="cellIs" dxfId="492" priority="523" operator="equal">
      <formula>"Get Approval"</formula>
    </cfRule>
    <cfRule type="cellIs" dxfId="491" priority="524" operator="equal">
      <formula>"Partial Approval"</formula>
    </cfRule>
    <cfRule type="cellIs" dxfId="490" priority="525" operator="equal">
      <formula>"Reviewing"</formula>
    </cfRule>
  </conditionalFormatting>
  <conditionalFormatting sqref="AC253">
    <cfRule type="cellIs" dxfId="489" priority="516" operator="equal">
      <formula>"Done"</formula>
    </cfRule>
    <cfRule type="cellIs" dxfId="488" priority="517" operator="equal">
      <formula>"Approved"</formula>
    </cfRule>
    <cfRule type="cellIs" dxfId="487" priority="518" operator="equal">
      <formula>"Get Approval"</formula>
    </cfRule>
    <cfRule type="cellIs" dxfId="486" priority="519" operator="equal">
      <formula>"Partial Approval"</formula>
    </cfRule>
    <cfRule type="cellIs" dxfId="485" priority="520" operator="equal">
      <formula>"Reviewing"</formula>
    </cfRule>
  </conditionalFormatting>
  <conditionalFormatting sqref="W255:Z255">
    <cfRule type="cellIs" dxfId="484" priority="506" operator="equal">
      <formula>"Done"</formula>
    </cfRule>
    <cfRule type="cellIs" dxfId="483" priority="507" operator="equal">
      <formula>"Approved"</formula>
    </cfRule>
    <cfRule type="cellIs" dxfId="482" priority="508" operator="equal">
      <formula>"Get Approval"</formula>
    </cfRule>
    <cfRule type="cellIs" dxfId="481" priority="509" operator="equal">
      <formula>"Partial Approval"</formula>
    </cfRule>
    <cfRule type="cellIs" dxfId="480" priority="510" operator="equal">
      <formula>"Reviewing"</formula>
    </cfRule>
  </conditionalFormatting>
  <conditionalFormatting sqref="D255:V255">
    <cfRule type="cellIs" dxfId="479" priority="501" operator="equal">
      <formula>"Done"</formula>
    </cfRule>
    <cfRule type="cellIs" dxfId="478" priority="502" operator="equal">
      <formula>"Approved"</formula>
    </cfRule>
    <cfRule type="cellIs" dxfId="477" priority="503" operator="equal">
      <formula>"Get Approval"</formula>
    </cfRule>
    <cfRule type="cellIs" dxfId="476" priority="504" operator="equal">
      <formula>"Partial Approval"</formula>
    </cfRule>
    <cfRule type="cellIs" dxfId="475" priority="505" operator="equal">
      <formula>"Reviewing"</formula>
    </cfRule>
  </conditionalFormatting>
  <conditionalFormatting sqref="AC255:AC258">
    <cfRule type="cellIs" dxfId="474" priority="496" operator="equal">
      <formula>"Done"</formula>
    </cfRule>
    <cfRule type="cellIs" dxfId="473" priority="497" operator="equal">
      <formula>"Approved"</formula>
    </cfRule>
    <cfRule type="cellIs" dxfId="472" priority="498" operator="equal">
      <formula>"Get Approval"</formula>
    </cfRule>
    <cfRule type="cellIs" dxfId="471" priority="499" operator="equal">
      <formula>"Partial Approval"</formula>
    </cfRule>
    <cfRule type="cellIs" dxfId="470" priority="500" operator="equal">
      <formula>"Reviewing"</formula>
    </cfRule>
  </conditionalFormatting>
  <conditionalFormatting sqref="F256">
    <cfRule type="cellIs" dxfId="469" priority="486" operator="equal">
      <formula>"Done"</formula>
    </cfRule>
    <cfRule type="cellIs" dxfId="468" priority="487" operator="equal">
      <formula>"Approved"</formula>
    </cfRule>
    <cfRule type="cellIs" dxfId="467" priority="488" operator="equal">
      <formula>"Get Approval"</formula>
    </cfRule>
    <cfRule type="cellIs" dxfId="466" priority="489" operator="equal">
      <formula>"Partial Approval"</formula>
    </cfRule>
    <cfRule type="cellIs" dxfId="465" priority="490" operator="equal">
      <formula>"Reviewing"</formula>
    </cfRule>
  </conditionalFormatting>
  <conditionalFormatting sqref="D257:E257 G257:V257">
    <cfRule type="cellIs" dxfId="464" priority="481" operator="equal">
      <formula>"Done"</formula>
    </cfRule>
    <cfRule type="cellIs" dxfId="463" priority="482" operator="equal">
      <formula>"Approved"</formula>
    </cfRule>
    <cfRule type="cellIs" dxfId="462" priority="483" operator="equal">
      <formula>"Get Approval"</formula>
    </cfRule>
    <cfRule type="cellIs" dxfId="461" priority="484" operator="equal">
      <formula>"Partial Approval"</formula>
    </cfRule>
    <cfRule type="cellIs" dxfId="460" priority="485" operator="equal">
      <formula>"Reviewing"</formula>
    </cfRule>
  </conditionalFormatting>
  <conditionalFormatting sqref="F257">
    <cfRule type="cellIs" dxfId="459" priority="476" operator="equal">
      <formula>"Done"</formula>
    </cfRule>
    <cfRule type="cellIs" dxfId="458" priority="477" operator="equal">
      <formula>"Approved"</formula>
    </cfRule>
    <cfRule type="cellIs" dxfId="457" priority="478" operator="equal">
      <formula>"Get Approval"</formula>
    </cfRule>
    <cfRule type="cellIs" dxfId="456" priority="479" operator="equal">
      <formula>"Partial Approval"</formula>
    </cfRule>
    <cfRule type="cellIs" dxfId="455" priority="480" operator="equal">
      <formula>"Reviewing"</formula>
    </cfRule>
  </conditionalFormatting>
  <conditionalFormatting sqref="D258:E258 G258:V258">
    <cfRule type="cellIs" dxfId="454" priority="471" operator="equal">
      <formula>"Done"</formula>
    </cfRule>
    <cfRule type="cellIs" dxfId="453" priority="472" operator="equal">
      <formula>"Approved"</formula>
    </cfRule>
    <cfRule type="cellIs" dxfId="452" priority="473" operator="equal">
      <formula>"Get Approval"</formula>
    </cfRule>
    <cfRule type="cellIs" dxfId="451" priority="474" operator="equal">
      <formula>"Partial Approval"</formula>
    </cfRule>
    <cfRule type="cellIs" dxfId="450" priority="475" operator="equal">
      <formula>"Reviewing"</formula>
    </cfRule>
  </conditionalFormatting>
  <conditionalFormatting sqref="F258">
    <cfRule type="cellIs" dxfId="449" priority="466" operator="equal">
      <formula>"Done"</formula>
    </cfRule>
    <cfRule type="cellIs" dxfId="448" priority="467" operator="equal">
      <formula>"Approved"</formula>
    </cfRule>
    <cfRule type="cellIs" dxfId="447" priority="468" operator="equal">
      <formula>"Get Approval"</formula>
    </cfRule>
    <cfRule type="cellIs" dxfId="446" priority="469" operator="equal">
      <formula>"Partial Approval"</formula>
    </cfRule>
    <cfRule type="cellIs" dxfId="445" priority="470" operator="equal">
      <formula>"Reviewing"</formula>
    </cfRule>
  </conditionalFormatting>
  <conditionalFormatting sqref="F259:F260">
    <cfRule type="cellIs" dxfId="444" priority="461" operator="equal">
      <formula>"Done"</formula>
    </cfRule>
    <cfRule type="cellIs" dxfId="443" priority="462" operator="equal">
      <formula>"Approved"</formula>
    </cfRule>
    <cfRule type="cellIs" dxfId="442" priority="463" operator="equal">
      <formula>"Get Approval"</formula>
    </cfRule>
    <cfRule type="cellIs" dxfId="441" priority="464" operator="equal">
      <formula>"Partial Approval"</formula>
    </cfRule>
    <cfRule type="cellIs" dxfId="440" priority="465" operator="equal">
      <formula>"Reviewing"</formula>
    </cfRule>
  </conditionalFormatting>
  <conditionalFormatting sqref="AC261:AC263">
    <cfRule type="cellIs" dxfId="439" priority="456" operator="equal">
      <formula>"Done"</formula>
    </cfRule>
    <cfRule type="cellIs" dxfId="438" priority="457" operator="equal">
      <formula>"Approved"</formula>
    </cfRule>
    <cfRule type="cellIs" dxfId="437" priority="458" operator="equal">
      <formula>"Get Approval"</formula>
    </cfRule>
    <cfRule type="cellIs" dxfId="436" priority="459" operator="equal">
      <formula>"Partial Approval"</formula>
    </cfRule>
    <cfRule type="cellIs" dxfId="435" priority="460" operator="equal">
      <formula>"Reviewing"</formula>
    </cfRule>
  </conditionalFormatting>
  <conditionalFormatting sqref="F261">
    <cfRule type="cellIs" dxfId="434" priority="451" operator="equal">
      <formula>"Done"</formula>
    </cfRule>
    <cfRule type="cellIs" dxfId="433" priority="452" operator="equal">
      <formula>"Approved"</formula>
    </cfRule>
    <cfRule type="cellIs" dxfId="432" priority="453" operator="equal">
      <formula>"Get Approval"</formula>
    </cfRule>
    <cfRule type="cellIs" dxfId="431" priority="454" operator="equal">
      <formula>"Partial Approval"</formula>
    </cfRule>
    <cfRule type="cellIs" dxfId="430" priority="455" operator="equal">
      <formula>"Reviewing"</formula>
    </cfRule>
  </conditionalFormatting>
  <conditionalFormatting sqref="D262:E262 G262:V262">
    <cfRule type="cellIs" dxfId="429" priority="446" operator="equal">
      <formula>"Done"</formula>
    </cfRule>
    <cfRule type="cellIs" dxfId="428" priority="447" operator="equal">
      <formula>"Approved"</formula>
    </cfRule>
    <cfRule type="cellIs" dxfId="427" priority="448" operator="equal">
      <formula>"Get Approval"</formula>
    </cfRule>
    <cfRule type="cellIs" dxfId="426" priority="449" operator="equal">
      <formula>"Partial Approval"</formula>
    </cfRule>
    <cfRule type="cellIs" dxfId="425" priority="450" operator="equal">
      <formula>"Reviewing"</formula>
    </cfRule>
  </conditionalFormatting>
  <conditionalFormatting sqref="F262">
    <cfRule type="cellIs" dxfId="424" priority="441" operator="equal">
      <formula>"Done"</formula>
    </cfRule>
    <cfRule type="cellIs" dxfId="423" priority="442" operator="equal">
      <formula>"Approved"</formula>
    </cfRule>
    <cfRule type="cellIs" dxfId="422" priority="443" operator="equal">
      <formula>"Get Approval"</formula>
    </cfRule>
    <cfRule type="cellIs" dxfId="421" priority="444" operator="equal">
      <formula>"Partial Approval"</formula>
    </cfRule>
    <cfRule type="cellIs" dxfId="420" priority="445" operator="equal">
      <formula>"Reviewing"</formula>
    </cfRule>
  </conditionalFormatting>
  <conditionalFormatting sqref="D263:E263 G263:V263 E264:E269">
    <cfRule type="cellIs" dxfId="419" priority="436" operator="equal">
      <formula>"Done"</formula>
    </cfRule>
    <cfRule type="cellIs" dxfId="418" priority="437" operator="equal">
      <formula>"Approved"</formula>
    </cfRule>
    <cfRule type="cellIs" dxfId="417" priority="438" operator="equal">
      <formula>"Get Approval"</formula>
    </cfRule>
    <cfRule type="cellIs" dxfId="416" priority="439" operator="equal">
      <formula>"Partial Approval"</formula>
    </cfRule>
    <cfRule type="cellIs" dxfId="415" priority="440" operator="equal">
      <formula>"Reviewing"</formula>
    </cfRule>
  </conditionalFormatting>
  <conditionalFormatting sqref="F263">
    <cfRule type="cellIs" dxfId="414" priority="431" operator="equal">
      <formula>"Done"</formula>
    </cfRule>
    <cfRule type="cellIs" dxfId="413" priority="432" operator="equal">
      <formula>"Approved"</formula>
    </cfRule>
    <cfRule type="cellIs" dxfId="412" priority="433" operator="equal">
      <formula>"Get Approval"</formula>
    </cfRule>
    <cfRule type="cellIs" dxfId="411" priority="434" operator="equal">
      <formula>"Partial Approval"</formula>
    </cfRule>
    <cfRule type="cellIs" dxfId="410" priority="435" operator="equal">
      <formula>"Reviewing"</formula>
    </cfRule>
  </conditionalFormatting>
  <conditionalFormatting sqref="G264:H266">
    <cfRule type="cellIs" dxfId="409" priority="426" operator="equal">
      <formula>"Done"</formula>
    </cfRule>
    <cfRule type="cellIs" dxfId="408" priority="427" operator="equal">
      <formula>"Approved"</formula>
    </cfRule>
    <cfRule type="cellIs" dxfId="407" priority="428" operator="equal">
      <formula>"Get Approval"</formula>
    </cfRule>
    <cfRule type="cellIs" dxfId="406" priority="429" operator="equal">
      <formula>"Partial Approval"</formula>
    </cfRule>
    <cfRule type="cellIs" dxfId="405" priority="430" operator="equal">
      <formula>"Reviewing"</formula>
    </cfRule>
  </conditionalFormatting>
  <conditionalFormatting sqref="G267:H267">
    <cfRule type="cellIs" dxfId="404" priority="421" operator="equal">
      <formula>"Done"</formula>
    </cfRule>
    <cfRule type="cellIs" dxfId="403" priority="422" operator="equal">
      <formula>"Approved"</formula>
    </cfRule>
    <cfRule type="cellIs" dxfId="402" priority="423" operator="equal">
      <formula>"Get Approval"</formula>
    </cfRule>
    <cfRule type="cellIs" dxfId="401" priority="424" operator="equal">
      <formula>"Partial Approval"</formula>
    </cfRule>
    <cfRule type="cellIs" dxfId="400" priority="425" operator="equal">
      <formula>"Reviewing"</formula>
    </cfRule>
  </conditionalFormatting>
  <conditionalFormatting sqref="G268:H268">
    <cfRule type="cellIs" dxfId="399" priority="416" operator="equal">
      <formula>"Done"</formula>
    </cfRule>
    <cfRule type="cellIs" dxfId="398" priority="417" operator="equal">
      <formula>"Approved"</formula>
    </cfRule>
    <cfRule type="cellIs" dxfId="397" priority="418" operator="equal">
      <formula>"Get Approval"</formula>
    </cfRule>
    <cfRule type="cellIs" dxfId="396" priority="419" operator="equal">
      <formula>"Partial Approval"</formula>
    </cfRule>
    <cfRule type="cellIs" dxfId="395" priority="420" operator="equal">
      <formula>"Reviewing"</formula>
    </cfRule>
  </conditionalFormatting>
  <conditionalFormatting sqref="G269:H269">
    <cfRule type="cellIs" dxfId="394" priority="411" operator="equal">
      <formula>"Done"</formula>
    </cfRule>
    <cfRule type="cellIs" dxfId="393" priority="412" operator="equal">
      <formula>"Approved"</formula>
    </cfRule>
    <cfRule type="cellIs" dxfId="392" priority="413" operator="equal">
      <formula>"Get Approval"</formula>
    </cfRule>
    <cfRule type="cellIs" dxfId="391" priority="414" operator="equal">
      <formula>"Partial Approval"</formula>
    </cfRule>
    <cfRule type="cellIs" dxfId="390" priority="415" operator="equal">
      <formula>"Reviewing"</formula>
    </cfRule>
  </conditionalFormatting>
  <conditionalFormatting sqref="AC271">
    <cfRule type="cellIs" dxfId="389" priority="406" operator="equal">
      <formula>"Done"</formula>
    </cfRule>
    <cfRule type="cellIs" dxfId="388" priority="407" operator="equal">
      <formula>"Approved"</formula>
    </cfRule>
    <cfRule type="cellIs" dxfId="387" priority="408" operator="equal">
      <formula>"Get Approval"</formula>
    </cfRule>
    <cfRule type="cellIs" dxfId="386" priority="409" operator="equal">
      <formula>"Partial Approval"</formula>
    </cfRule>
    <cfRule type="cellIs" dxfId="385" priority="410" operator="equal">
      <formula>"Reviewing"</formula>
    </cfRule>
  </conditionalFormatting>
  <conditionalFormatting sqref="X270:Z270">
    <cfRule type="cellIs" dxfId="384" priority="401" operator="equal">
      <formula>"Done"</formula>
    </cfRule>
    <cfRule type="cellIs" dxfId="383" priority="402" operator="equal">
      <formula>"Approved"</formula>
    </cfRule>
    <cfRule type="cellIs" dxfId="382" priority="403" operator="equal">
      <formula>"Get Approval"</formula>
    </cfRule>
    <cfRule type="cellIs" dxfId="381" priority="404" operator="equal">
      <formula>"Partial Approval"</formula>
    </cfRule>
    <cfRule type="cellIs" dxfId="380" priority="405" operator="equal">
      <formula>"Reviewing"</formula>
    </cfRule>
  </conditionalFormatting>
  <conditionalFormatting sqref="D270:V271">
    <cfRule type="cellIs" dxfId="379" priority="396" operator="equal">
      <formula>"Done"</formula>
    </cfRule>
    <cfRule type="cellIs" dxfId="378" priority="397" operator="equal">
      <formula>"Approved"</formula>
    </cfRule>
    <cfRule type="cellIs" dxfId="377" priority="398" operator="equal">
      <formula>"Get Approval"</formula>
    </cfRule>
    <cfRule type="cellIs" dxfId="376" priority="399" operator="equal">
      <formula>"Partial Approval"</formula>
    </cfRule>
    <cfRule type="cellIs" dxfId="375" priority="400" operator="equal">
      <formula>"Reviewing"</formula>
    </cfRule>
  </conditionalFormatting>
  <conditionalFormatting sqref="AC270">
    <cfRule type="cellIs" dxfId="374" priority="391" operator="equal">
      <formula>"Done"</formula>
    </cfRule>
    <cfRule type="cellIs" dxfId="373" priority="392" operator="equal">
      <formula>"Approved"</formula>
    </cfRule>
    <cfRule type="cellIs" dxfId="372" priority="393" operator="equal">
      <formula>"Get Approval"</formula>
    </cfRule>
    <cfRule type="cellIs" dxfId="371" priority="394" operator="equal">
      <formula>"Partial Approval"</formula>
    </cfRule>
    <cfRule type="cellIs" dxfId="370" priority="395" operator="equal">
      <formula>"Reviewing"</formula>
    </cfRule>
  </conditionalFormatting>
  <conditionalFormatting sqref="W272:Z272">
    <cfRule type="cellIs" dxfId="369" priority="386" operator="equal">
      <formula>"Done"</formula>
    </cfRule>
    <cfRule type="cellIs" dxfId="368" priority="387" operator="equal">
      <formula>"Approved"</formula>
    </cfRule>
    <cfRule type="cellIs" dxfId="367" priority="388" operator="equal">
      <formula>"Get Approval"</formula>
    </cfRule>
    <cfRule type="cellIs" dxfId="366" priority="389" operator="equal">
      <formula>"Partial Approval"</formula>
    </cfRule>
    <cfRule type="cellIs" dxfId="365" priority="390" operator="equal">
      <formula>"Reviewing"</formula>
    </cfRule>
  </conditionalFormatting>
  <conditionalFormatting sqref="D272:V272">
    <cfRule type="cellIs" dxfId="364" priority="381" operator="equal">
      <formula>"Done"</formula>
    </cfRule>
    <cfRule type="cellIs" dxfId="363" priority="382" operator="equal">
      <formula>"Approved"</formula>
    </cfRule>
    <cfRule type="cellIs" dxfId="362" priority="383" operator="equal">
      <formula>"Get Approval"</formula>
    </cfRule>
    <cfRule type="cellIs" dxfId="361" priority="384" operator="equal">
      <formula>"Partial Approval"</formula>
    </cfRule>
    <cfRule type="cellIs" dxfId="360" priority="385" operator="equal">
      <formula>"Reviewing"</formula>
    </cfRule>
  </conditionalFormatting>
  <conditionalFormatting sqref="AC272">
    <cfRule type="cellIs" dxfId="359" priority="376" operator="equal">
      <formula>"Done"</formula>
    </cfRule>
    <cfRule type="cellIs" dxfId="358" priority="377" operator="equal">
      <formula>"Approved"</formula>
    </cfRule>
    <cfRule type="cellIs" dxfId="357" priority="378" operator="equal">
      <formula>"Get Approval"</formula>
    </cfRule>
    <cfRule type="cellIs" dxfId="356" priority="379" operator="equal">
      <formula>"Partial Approval"</formula>
    </cfRule>
    <cfRule type="cellIs" dxfId="355" priority="380" operator="equal">
      <formula>"Reviewing"</formula>
    </cfRule>
  </conditionalFormatting>
  <conditionalFormatting sqref="AC273:AC278">
    <cfRule type="cellIs" dxfId="354" priority="371" operator="equal">
      <formula>"Done"</formula>
    </cfRule>
    <cfRule type="cellIs" dxfId="353" priority="372" operator="equal">
      <formula>"Approved"</formula>
    </cfRule>
    <cfRule type="cellIs" dxfId="352" priority="373" operator="equal">
      <formula>"Get Approval"</formula>
    </cfRule>
    <cfRule type="cellIs" dxfId="351" priority="374" operator="equal">
      <formula>"Partial Approval"</formula>
    </cfRule>
    <cfRule type="cellIs" dxfId="350" priority="375" operator="equal">
      <formula>"Reviewing"</formula>
    </cfRule>
  </conditionalFormatting>
  <conditionalFormatting sqref="F273">
    <cfRule type="cellIs" dxfId="349" priority="366" operator="equal">
      <formula>"Done"</formula>
    </cfRule>
    <cfRule type="cellIs" dxfId="348" priority="367" operator="equal">
      <formula>"Approved"</formula>
    </cfRule>
    <cfRule type="cellIs" dxfId="347" priority="368" operator="equal">
      <formula>"Get Approval"</formula>
    </cfRule>
    <cfRule type="cellIs" dxfId="346" priority="369" operator="equal">
      <formula>"Partial Approval"</formula>
    </cfRule>
    <cfRule type="cellIs" dxfId="345" priority="370" operator="equal">
      <formula>"Reviewing"</formula>
    </cfRule>
  </conditionalFormatting>
  <conditionalFormatting sqref="D274:E274 G274:V274">
    <cfRule type="cellIs" dxfId="344" priority="361" operator="equal">
      <formula>"Done"</formula>
    </cfRule>
    <cfRule type="cellIs" dxfId="343" priority="362" operator="equal">
      <formula>"Approved"</formula>
    </cfRule>
    <cfRule type="cellIs" dxfId="342" priority="363" operator="equal">
      <formula>"Get Approval"</formula>
    </cfRule>
    <cfRule type="cellIs" dxfId="341" priority="364" operator="equal">
      <formula>"Partial Approval"</formula>
    </cfRule>
    <cfRule type="cellIs" dxfId="340" priority="365" operator="equal">
      <formula>"Reviewing"</formula>
    </cfRule>
  </conditionalFormatting>
  <conditionalFormatting sqref="F274">
    <cfRule type="cellIs" dxfId="339" priority="356" operator="equal">
      <formula>"Done"</formula>
    </cfRule>
    <cfRule type="cellIs" dxfId="338" priority="357" operator="equal">
      <formula>"Approved"</formula>
    </cfRule>
    <cfRule type="cellIs" dxfId="337" priority="358" operator="equal">
      <formula>"Get Approval"</formula>
    </cfRule>
    <cfRule type="cellIs" dxfId="336" priority="359" operator="equal">
      <formula>"Partial Approval"</formula>
    </cfRule>
    <cfRule type="cellIs" dxfId="335" priority="360" operator="equal">
      <formula>"Reviewing"</formula>
    </cfRule>
  </conditionalFormatting>
  <conditionalFormatting sqref="D275:E275 G275:V275">
    <cfRule type="cellIs" dxfId="334" priority="351" operator="equal">
      <formula>"Done"</formula>
    </cfRule>
    <cfRule type="cellIs" dxfId="333" priority="352" operator="equal">
      <formula>"Approved"</formula>
    </cfRule>
    <cfRule type="cellIs" dxfId="332" priority="353" operator="equal">
      <formula>"Get Approval"</formula>
    </cfRule>
    <cfRule type="cellIs" dxfId="331" priority="354" operator="equal">
      <formula>"Partial Approval"</formula>
    </cfRule>
    <cfRule type="cellIs" dxfId="330" priority="355" operator="equal">
      <formula>"Reviewing"</formula>
    </cfRule>
  </conditionalFormatting>
  <conditionalFormatting sqref="F275:F278">
    <cfRule type="cellIs" dxfId="329" priority="346" operator="equal">
      <formula>"Done"</formula>
    </cfRule>
    <cfRule type="cellIs" dxfId="328" priority="347" operator="equal">
      <formula>"Approved"</formula>
    </cfRule>
    <cfRule type="cellIs" dxfId="327" priority="348" operator="equal">
      <formula>"Get Approval"</formula>
    </cfRule>
    <cfRule type="cellIs" dxfId="326" priority="349" operator="equal">
      <formula>"Partial Approval"</formula>
    </cfRule>
    <cfRule type="cellIs" dxfId="325" priority="350" operator="equal">
      <formula>"Reviewing"</formula>
    </cfRule>
  </conditionalFormatting>
  <conditionalFormatting sqref="AC280">
    <cfRule type="cellIs" dxfId="324" priority="341" operator="equal">
      <formula>"Done"</formula>
    </cfRule>
    <cfRule type="cellIs" dxfId="323" priority="342" operator="equal">
      <formula>"Approved"</formula>
    </cfRule>
    <cfRule type="cellIs" dxfId="322" priority="343" operator="equal">
      <formula>"Get Approval"</formula>
    </cfRule>
    <cfRule type="cellIs" dxfId="321" priority="344" operator="equal">
      <formula>"Partial Approval"</formula>
    </cfRule>
    <cfRule type="cellIs" dxfId="320" priority="345" operator="equal">
      <formula>"Reviewing"</formula>
    </cfRule>
  </conditionalFormatting>
  <conditionalFormatting sqref="X279:Z279">
    <cfRule type="cellIs" dxfId="319" priority="336" operator="equal">
      <formula>"Done"</formula>
    </cfRule>
    <cfRule type="cellIs" dxfId="318" priority="337" operator="equal">
      <formula>"Approved"</formula>
    </cfRule>
    <cfRule type="cellIs" dxfId="317" priority="338" operator="equal">
      <formula>"Get Approval"</formula>
    </cfRule>
    <cfRule type="cellIs" dxfId="316" priority="339" operator="equal">
      <formula>"Partial Approval"</formula>
    </cfRule>
    <cfRule type="cellIs" dxfId="315" priority="340" operator="equal">
      <formula>"Reviewing"</formula>
    </cfRule>
  </conditionalFormatting>
  <conditionalFormatting sqref="D279:V280">
    <cfRule type="cellIs" dxfId="314" priority="331" operator="equal">
      <formula>"Done"</formula>
    </cfRule>
    <cfRule type="cellIs" dxfId="313" priority="332" operator="equal">
      <formula>"Approved"</formula>
    </cfRule>
    <cfRule type="cellIs" dxfId="312" priority="333" operator="equal">
      <formula>"Get Approval"</formula>
    </cfRule>
    <cfRule type="cellIs" dxfId="311" priority="334" operator="equal">
      <formula>"Partial Approval"</formula>
    </cfRule>
    <cfRule type="cellIs" dxfId="310" priority="335" operator="equal">
      <formula>"Reviewing"</formula>
    </cfRule>
  </conditionalFormatting>
  <conditionalFormatting sqref="AC279">
    <cfRule type="cellIs" dxfId="309" priority="326" operator="equal">
      <formula>"Done"</formula>
    </cfRule>
    <cfRule type="cellIs" dxfId="308" priority="327" operator="equal">
      <formula>"Approved"</formula>
    </cfRule>
    <cfRule type="cellIs" dxfId="307" priority="328" operator="equal">
      <formula>"Get Approval"</formula>
    </cfRule>
    <cfRule type="cellIs" dxfId="306" priority="329" operator="equal">
      <formula>"Partial Approval"</formula>
    </cfRule>
    <cfRule type="cellIs" dxfId="305" priority="330" operator="equal">
      <formula>"Reviewing"</formula>
    </cfRule>
  </conditionalFormatting>
  <conditionalFormatting sqref="D281:V282">
    <cfRule type="cellIs" dxfId="304" priority="316" operator="equal">
      <formula>"Done"</formula>
    </cfRule>
    <cfRule type="cellIs" dxfId="303" priority="317" operator="equal">
      <formula>"Approved"</formula>
    </cfRule>
    <cfRule type="cellIs" dxfId="302" priority="318" operator="equal">
      <formula>"Get Approval"</formula>
    </cfRule>
    <cfRule type="cellIs" dxfId="301" priority="319" operator="equal">
      <formula>"Partial Approval"</formula>
    </cfRule>
    <cfRule type="cellIs" dxfId="300" priority="320" operator="equal">
      <formula>"Reviewing"</formula>
    </cfRule>
  </conditionalFormatting>
  <conditionalFormatting sqref="G283 G284:H285 G292:H292">
    <cfRule type="cellIs" dxfId="299" priority="306" operator="equal">
      <formula>"Done"</formula>
    </cfRule>
    <cfRule type="cellIs" dxfId="298" priority="307" operator="equal">
      <formula>"Approved"</formula>
    </cfRule>
    <cfRule type="cellIs" dxfId="297" priority="308" operator="equal">
      <formula>"Get Approval"</formula>
    </cfRule>
    <cfRule type="cellIs" dxfId="296" priority="309" operator="equal">
      <formula>"Partial Approval"</formula>
    </cfRule>
    <cfRule type="cellIs" dxfId="295" priority="310" operator="equal">
      <formula>"Reviewing"</formula>
    </cfRule>
  </conditionalFormatting>
  <conditionalFormatting sqref="H283">
    <cfRule type="cellIs" dxfId="294" priority="301" operator="equal">
      <formula>"Done"</formula>
    </cfRule>
    <cfRule type="cellIs" dxfId="293" priority="302" operator="equal">
      <formula>"Approved"</formula>
    </cfRule>
    <cfRule type="cellIs" dxfId="292" priority="303" operator="equal">
      <formula>"Get Approval"</formula>
    </cfRule>
    <cfRule type="cellIs" dxfId="291" priority="304" operator="equal">
      <formula>"Partial Approval"</formula>
    </cfRule>
    <cfRule type="cellIs" dxfId="290" priority="305" operator="equal">
      <formula>"Reviewing"</formula>
    </cfRule>
  </conditionalFormatting>
  <conditionalFormatting sqref="AB283">
    <cfRule type="cellIs" dxfId="289" priority="296" operator="equal">
      <formula>"Done"</formula>
    </cfRule>
    <cfRule type="cellIs" dxfId="288" priority="297" operator="equal">
      <formula>"Approved"</formula>
    </cfRule>
    <cfRule type="cellIs" dxfId="287" priority="298" operator="equal">
      <formula>"Get Approval"</formula>
    </cfRule>
    <cfRule type="cellIs" dxfId="286" priority="299" operator="equal">
      <formula>"Partial Approval"</formula>
    </cfRule>
    <cfRule type="cellIs" dxfId="285" priority="300" operator="equal">
      <formula>"Reviewing"</formula>
    </cfRule>
  </conditionalFormatting>
  <conditionalFormatting sqref="G286:H286">
    <cfRule type="cellIs" dxfId="284" priority="291" operator="equal">
      <formula>"Done"</formula>
    </cfRule>
    <cfRule type="cellIs" dxfId="283" priority="292" operator="equal">
      <formula>"Approved"</formula>
    </cfRule>
    <cfRule type="cellIs" dxfId="282" priority="293" operator="equal">
      <formula>"Get Approval"</formula>
    </cfRule>
    <cfRule type="cellIs" dxfId="281" priority="294" operator="equal">
      <formula>"Partial Approval"</formula>
    </cfRule>
    <cfRule type="cellIs" dxfId="280" priority="295" operator="equal">
      <formula>"Reviewing"</formula>
    </cfRule>
  </conditionalFormatting>
  <conditionalFormatting sqref="G287:H287">
    <cfRule type="cellIs" dxfId="279" priority="286" operator="equal">
      <formula>"Done"</formula>
    </cfRule>
    <cfRule type="cellIs" dxfId="278" priority="287" operator="equal">
      <formula>"Approved"</formula>
    </cfRule>
    <cfRule type="cellIs" dxfId="277" priority="288" operator="equal">
      <formula>"Get Approval"</formula>
    </cfRule>
    <cfRule type="cellIs" dxfId="276" priority="289" operator="equal">
      <formula>"Partial Approval"</formula>
    </cfRule>
    <cfRule type="cellIs" dxfId="275" priority="290" operator="equal">
      <formula>"Reviewing"</formula>
    </cfRule>
  </conditionalFormatting>
  <conditionalFormatting sqref="G288:H288">
    <cfRule type="cellIs" dxfId="274" priority="281" operator="equal">
      <formula>"Done"</formula>
    </cfRule>
    <cfRule type="cellIs" dxfId="273" priority="282" operator="equal">
      <formula>"Approved"</formula>
    </cfRule>
    <cfRule type="cellIs" dxfId="272" priority="283" operator="equal">
      <formula>"Get Approval"</formula>
    </cfRule>
    <cfRule type="cellIs" dxfId="271" priority="284" operator="equal">
      <formula>"Partial Approval"</formula>
    </cfRule>
    <cfRule type="cellIs" dxfId="270" priority="285" operator="equal">
      <formula>"Reviewing"</formula>
    </cfRule>
  </conditionalFormatting>
  <conditionalFormatting sqref="AC289:AC291">
    <cfRule type="cellIs" dxfId="269" priority="276" operator="equal">
      <formula>"Done"</formula>
    </cfRule>
    <cfRule type="cellIs" dxfId="268" priority="277" operator="equal">
      <formula>"Approved"</formula>
    </cfRule>
    <cfRule type="cellIs" dxfId="267" priority="278" operator="equal">
      <formula>"Get Approval"</formula>
    </cfRule>
    <cfRule type="cellIs" dxfId="266" priority="279" operator="equal">
      <formula>"Partial Approval"</formula>
    </cfRule>
    <cfRule type="cellIs" dxfId="265" priority="280" operator="equal">
      <formula>"Reviewing"</formula>
    </cfRule>
  </conditionalFormatting>
  <conditionalFormatting sqref="F289">
    <cfRule type="cellIs" dxfId="264" priority="271" operator="equal">
      <formula>"Done"</formula>
    </cfRule>
    <cfRule type="cellIs" dxfId="263" priority="272" operator="equal">
      <formula>"Approved"</formula>
    </cfRule>
    <cfRule type="cellIs" dxfId="262" priority="273" operator="equal">
      <formula>"Get Approval"</formula>
    </cfRule>
    <cfRule type="cellIs" dxfId="261" priority="274" operator="equal">
      <formula>"Partial Approval"</formula>
    </cfRule>
    <cfRule type="cellIs" dxfId="260" priority="275" operator="equal">
      <formula>"Reviewing"</formula>
    </cfRule>
  </conditionalFormatting>
  <conditionalFormatting sqref="D290:E290 G290:V290">
    <cfRule type="cellIs" dxfId="259" priority="266" operator="equal">
      <formula>"Done"</formula>
    </cfRule>
    <cfRule type="cellIs" dxfId="258" priority="267" operator="equal">
      <formula>"Approved"</formula>
    </cfRule>
    <cfRule type="cellIs" dxfId="257" priority="268" operator="equal">
      <formula>"Get Approval"</formula>
    </cfRule>
    <cfRule type="cellIs" dxfId="256" priority="269" operator="equal">
      <formula>"Partial Approval"</formula>
    </cfRule>
    <cfRule type="cellIs" dxfId="255" priority="270" operator="equal">
      <formula>"Reviewing"</formula>
    </cfRule>
  </conditionalFormatting>
  <conditionalFormatting sqref="F290">
    <cfRule type="cellIs" dxfId="254" priority="261" operator="equal">
      <formula>"Done"</formula>
    </cfRule>
    <cfRule type="cellIs" dxfId="253" priority="262" operator="equal">
      <formula>"Approved"</formula>
    </cfRule>
    <cfRule type="cellIs" dxfId="252" priority="263" operator="equal">
      <formula>"Get Approval"</formula>
    </cfRule>
    <cfRule type="cellIs" dxfId="251" priority="264" operator="equal">
      <formula>"Partial Approval"</formula>
    </cfRule>
    <cfRule type="cellIs" dxfId="250" priority="265" operator="equal">
      <formula>"Reviewing"</formula>
    </cfRule>
  </conditionalFormatting>
  <conditionalFormatting sqref="D291:E291 G291:V291">
    <cfRule type="cellIs" dxfId="249" priority="256" operator="equal">
      <formula>"Done"</formula>
    </cfRule>
    <cfRule type="cellIs" dxfId="248" priority="257" operator="equal">
      <formula>"Approved"</formula>
    </cfRule>
    <cfRule type="cellIs" dxfId="247" priority="258" operator="equal">
      <formula>"Get Approval"</formula>
    </cfRule>
    <cfRule type="cellIs" dxfId="246" priority="259" operator="equal">
      <formula>"Partial Approval"</formula>
    </cfRule>
    <cfRule type="cellIs" dxfId="245" priority="260" operator="equal">
      <formula>"Reviewing"</formula>
    </cfRule>
  </conditionalFormatting>
  <conditionalFormatting sqref="F291">
    <cfRule type="cellIs" dxfId="244" priority="251" operator="equal">
      <formula>"Done"</formula>
    </cfRule>
    <cfRule type="cellIs" dxfId="243" priority="252" operator="equal">
      <formula>"Approved"</formula>
    </cfRule>
    <cfRule type="cellIs" dxfId="242" priority="253" operator="equal">
      <formula>"Get Approval"</formula>
    </cfRule>
    <cfRule type="cellIs" dxfId="241" priority="254" operator="equal">
      <formula>"Partial Approval"</formula>
    </cfRule>
    <cfRule type="cellIs" dxfId="240" priority="255" operator="equal">
      <formula>"Reviewing"</formula>
    </cfRule>
  </conditionalFormatting>
  <conditionalFormatting sqref="E292">
    <cfRule type="cellIs" dxfId="239" priority="246" operator="equal">
      <formula>"Done"</formula>
    </cfRule>
    <cfRule type="cellIs" dxfId="238" priority="247" operator="equal">
      <formula>"Approved"</formula>
    </cfRule>
    <cfRule type="cellIs" dxfId="237" priority="248" operator="equal">
      <formula>"Get Approval"</formula>
    </cfRule>
    <cfRule type="cellIs" dxfId="236" priority="249" operator="equal">
      <formula>"Partial Approval"</formula>
    </cfRule>
    <cfRule type="cellIs" dxfId="235" priority="250" operator="equal">
      <formula>"Reviewing"</formula>
    </cfRule>
  </conditionalFormatting>
  <conditionalFormatting sqref="G293:H293">
    <cfRule type="cellIs" dxfId="234" priority="241" operator="equal">
      <formula>"Done"</formula>
    </cfRule>
    <cfRule type="cellIs" dxfId="233" priority="242" operator="equal">
      <formula>"Approved"</formula>
    </cfRule>
    <cfRule type="cellIs" dxfId="232" priority="243" operator="equal">
      <formula>"Get Approval"</formula>
    </cfRule>
    <cfRule type="cellIs" dxfId="231" priority="244" operator="equal">
      <formula>"Partial Approval"</formula>
    </cfRule>
    <cfRule type="cellIs" dxfId="230" priority="245" operator="equal">
      <formula>"Reviewing"</formula>
    </cfRule>
  </conditionalFormatting>
  <conditionalFormatting sqref="E294:E296 E300:E321">
    <cfRule type="cellIs" dxfId="229" priority="236" operator="equal">
      <formula>"Done"</formula>
    </cfRule>
    <cfRule type="cellIs" dxfId="228" priority="237" operator="equal">
      <formula>"Approved"</formula>
    </cfRule>
    <cfRule type="cellIs" dxfId="227" priority="238" operator="equal">
      <formula>"Get Approval"</formula>
    </cfRule>
    <cfRule type="cellIs" dxfId="226" priority="239" operator="equal">
      <formula>"Partial Approval"</formula>
    </cfRule>
    <cfRule type="cellIs" dxfId="225" priority="240" operator="equal">
      <formula>"Reviewing"</formula>
    </cfRule>
  </conditionalFormatting>
  <conditionalFormatting sqref="G294:H295">
    <cfRule type="cellIs" dxfId="224" priority="231" operator="equal">
      <formula>"Done"</formula>
    </cfRule>
    <cfRule type="cellIs" dxfId="223" priority="232" operator="equal">
      <formula>"Approved"</formula>
    </cfRule>
    <cfRule type="cellIs" dxfId="222" priority="233" operator="equal">
      <formula>"Get Approval"</formula>
    </cfRule>
    <cfRule type="cellIs" dxfId="221" priority="234" operator="equal">
      <formula>"Partial Approval"</formula>
    </cfRule>
    <cfRule type="cellIs" dxfId="220" priority="235" operator="equal">
      <formula>"Reviewing"</formula>
    </cfRule>
  </conditionalFormatting>
  <conditionalFormatting sqref="G296:G299">
    <cfRule type="cellIs" dxfId="219" priority="226" operator="equal">
      <formula>"Done"</formula>
    </cfRule>
    <cfRule type="cellIs" dxfId="218" priority="227" operator="equal">
      <formula>"Approved"</formula>
    </cfRule>
    <cfRule type="cellIs" dxfId="217" priority="228" operator="equal">
      <formula>"Get Approval"</formula>
    </cfRule>
    <cfRule type="cellIs" dxfId="216" priority="229" operator="equal">
      <formula>"Partial Approval"</formula>
    </cfRule>
    <cfRule type="cellIs" dxfId="215" priority="230" operator="equal">
      <formula>"Reviewing"</formula>
    </cfRule>
  </conditionalFormatting>
  <conditionalFormatting sqref="E297:E299">
    <cfRule type="cellIs" dxfId="214" priority="221" operator="equal">
      <formula>"Done"</formula>
    </cfRule>
    <cfRule type="cellIs" dxfId="213" priority="222" operator="equal">
      <formula>"Approved"</formula>
    </cfRule>
    <cfRule type="cellIs" dxfId="212" priority="223" operator="equal">
      <formula>"Get Approval"</formula>
    </cfRule>
    <cfRule type="cellIs" dxfId="211" priority="224" operator="equal">
      <formula>"Partial Approval"</formula>
    </cfRule>
    <cfRule type="cellIs" dxfId="210" priority="225" operator="equal">
      <formula>"Reviewing"</formula>
    </cfRule>
  </conditionalFormatting>
  <conditionalFormatting sqref="H297:H298">
    <cfRule type="cellIs" dxfId="209" priority="216" operator="equal">
      <formula>"Done"</formula>
    </cfRule>
    <cfRule type="cellIs" dxfId="208" priority="217" operator="equal">
      <formula>"Approved"</formula>
    </cfRule>
    <cfRule type="cellIs" dxfId="207" priority="218" operator="equal">
      <formula>"Get Approval"</formula>
    </cfRule>
    <cfRule type="cellIs" dxfId="206" priority="219" operator="equal">
      <formula>"Partial Approval"</formula>
    </cfRule>
    <cfRule type="cellIs" dxfId="205" priority="220" operator="equal">
      <formula>"Reviewing"</formula>
    </cfRule>
  </conditionalFormatting>
  <conditionalFormatting sqref="H299">
    <cfRule type="cellIs" dxfId="204" priority="211" operator="equal">
      <formula>"Done"</formula>
    </cfRule>
    <cfRule type="cellIs" dxfId="203" priority="212" operator="equal">
      <formula>"Approved"</formula>
    </cfRule>
    <cfRule type="cellIs" dxfId="202" priority="213" operator="equal">
      <formula>"Get Approval"</formula>
    </cfRule>
    <cfRule type="cellIs" dxfId="201" priority="214" operator="equal">
      <formula>"Partial Approval"</formula>
    </cfRule>
    <cfRule type="cellIs" dxfId="200" priority="215" operator="equal">
      <formula>"Reviewing"</formula>
    </cfRule>
  </conditionalFormatting>
  <conditionalFormatting sqref="G300:H300">
    <cfRule type="cellIs" dxfId="199" priority="206" operator="equal">
      <formula>"Done"</formula>
    </cfRule>
    <cfRule type="cellIs" dxfId="198" priority="207" operator="equal">
      <formula>"Approved"</formula>
    </cfRule>
    <cfRule type="cellIs" dxfId="197" priority="208" operator="equal">
      <formula>"Get Approval"</formula>
    </cfRule>
    <cfRule type="cellIs" dxfId="196" priority="209" operator="equal">
      <formula>"Partial Approval"</formula>
    </cfRule>
    <cfRule type="cellIs" dxfId="195" priority="210" operator="equal">
      <formula>"Reviewing"</formula>
    </cfRule>
  </conditionalFormatting>
  <conditionalFormatting sqref="G301:H301">
    <cfRule type="cellIs" dxfId="194" priority="201" operator="equal">
      <formula>"Done"</formula>
    </cfRule>
    <cfRule type="cellIs" dxfId="193" priority="202" operator="equal">
      <formula>"Approved"</formula>
    </cfRule>
    <cfRule type="cellIs" dxfId="192" priority="203" operator="equal">
      <formula>"Get Approval"</formula>
    </cfRule>
    <cfRule type="cellIs" dxfId="191" priority="204" operator="equal">
      <formula>"Partial Approval"</formula>
    </cfRule>
    <cfRule type="cellIs" dxfId="190" priority="205" operator="equal">
      <formula>"Reviewing"</formula>
    </cfRule>
  </conditionalFormatting>
  <conditionalFormatting sqref="AB297:AB298">
    <cfRule type="cellIs" dxfId="189" priority="196" operator="equal">
      <formula>"Done"</formula>
    </cfRule>
    <cfRule type="cellIs" dxfId="188" priority="197" operator="equal">
      <formula>"Approved"</formula>
    </cfRule>
    <cfRule type="cellIs" dxfId="187" priority="198" operator="equal">
      <formula>"Get Approval"</formula>
    </cfRule>
    <cfRule type="cellIs" dxfId="186" priority="199" operator="equal">
      <formula>"Partial Approval"</formula>
    </cfRule>
    <cfRule type="cellIs" dxfId="185" priority="200" operator="equal">
      <formula>"Reviewing"</formula>
    </cfRule>
  </conditionalFormatting>
  <conditionalFormatting sqref="AB299">
    <cfRule type="cellIs" dxfId="184" priority="191" operator="equal">
      <formula>"Done"</formula>
    </cfRule>
    <cfRule type="cellIs" dxfId="183" priority="192" operator="equal">
      <formula>"Approved"</formula>
    </cfRule>
    <cfRule type="cellIs" dxfId="182" priority="193" operator="equal">
      <formula>"Get Approval"</formula>
    </cfRule>
    <cfRule type="cellIs" dxfId="181" priority="194" operator="equal">
      <formula>"Partial Approval"</formula>
    </cfRule>
    <cfRule type="cellIs" dxfId="180" priority="195" operator="equal">
      <formula>"Reviewing"</formula>
    </cfRule>
  </conditionalFormatting>
  <conditionalFormatting sqref="AB300">
    <cfRule type="cellIs" dxfId="179" priority="186" operator="equal">
      <formula>"Done"</formula>
    </cfRule>
    <cfRule type="cellIs" dxfId="178" priority="187" operator="equal">
      <formula>"Approved"</formula>
    </cfRule>
    <cfRule type="cellIs" dxfId="177" priority="188" operator="equal">
      <formula>"Get Approval"</formula>
    </cfRule>
    <cfRule type="cellIs" dxfId="176" priority="189" operator="equal">
      <formula>"Partial Approval"</formula>
    </cfRule>
    <cfRule type="cellIs" dxfId="175" priority="190" operator="equal">
      <formula>"Reviewing"</formula>
    </cfRule>
  </conditionalFormatting>
  <conditionalFormatting sqref="AB301">
    <cfRule type="cellIs" dxfId="174" priority="181" operator="equal">
      <formula>"Done"</formula>
    </cfRule>
    <cfRule type="cellIs" dxfId="173" priority="182" operator="equal">
      <formula>"Approved"</formula>
    </cfRule>
    <cfRule type="cellIs" dxfId="172" priority="183" operator="equal">
      <formula>"Get Approval"</formula>
    </cfRule>
    <cfRule type="cellIs" dxfId="171" priority="184" operator="equal">
      <formula>"Partial Approval"</formula>
    </cfRule>
    <cfRule type="cellIs" dxfId="170" priority="185" operator="equal">
      <formula>"Reviewing"</formula>
    </cfRule>
  </conditionalFormatting>
  <conditionalFormatting sqref="G302:H308 G312:H320 G325:H331">
    <cfRule type="cellIs" dxfId="169" priority="176" operator="equal">
      <formula>"Done"</formula>
    </cfRule>
    <cfRule type="cellIs" dxfId="168" priority="177" operator="equal">
      <formula>"Approved"</formula>
    </cfRule>
    <cfRule type="cellIs" dxfId="167" priority="178" operator="equal">
      <formula>"Get Approval"</formula>
    </cfRule>
    <cfRule type="cellIs" dxfId="166" priority="179" operator="equal">
      <formula>"Partial Approval"</formula>
    </cfRule>
    <cfRule type="cellIs" dxfId="165" priority="180" operator="equal">
      <formula>"Reviewing"</formula>
    </cfRule>
  </conditionalFormatting>
  <conditionalFormatting sqref="AB302:AB304">
    <cfRule type="cellIs" dxfId="164" priority="171" operator="equal">
      <formula>"Done"</formula>
    </cfRule>
    <cfRule type="cellIs" dxfId="163" priority="172" operator="equal">
      <formula>"Approved"</formula>
    </cfRule>
    <cfRule type="cellIs" dxfId="162" priority="173" operator="equal">
      <formula>"Get Approval"</formula>
    </cfRule>
    <cfRule type="cellIs" dxfId="161" priority="174" operator="equal">
      <formula>"Partial Approval"</formula>
    </cfRule>
    <cfRule type="cellIs" dxfId="160" priority="175" operator="equal">
      <formula>"Reviewing"</formula>
    </cfRule>
  </conditionalFormatting>
  <conditionalFormatting sqref="AB305:AB307">
    <cfRule type="cellIs" dxfId="159" priority="166" operator="equal">
      <formula>"Done"</formula>
    </cfRule>
    <cfRule type="cellIs" dxfId="158" priority="167" operator="equal">
      <formula>"Approved"</formula>
    </cfRule>
    <cfRule type="cellIs" dxfId="157" priority="168" operator="equal">
      <formula>"Get Approval"</formula>
    </cfRule>
    <cfRule type="cellIs" dxfId="156" priority="169" operator="equal">
      <formula>"Partial Approval"</formula>
    </cfRule>
    <cfRule type="cellIs" dxfId="155" priority="170" operator="equal">
      <formula>"Reviewing"</formula>
    </cfRule>
  </conditionalFormatting>
  <conditionalFormatting sqref="AB308:AB320 AB327:AB328 AB330 AB332:AB335 AB337">
    <cfRule type="cellIs" dxfId="154" priority="161" operator="equal">
      <formula>"Done"</formula>
    </cfRule>
    <cfRule type="cellIs" dxfId="153" priority="162" operator="equal">
      <formula>"Approved"</formula>
    </cfRule>
    <cfRule type="cellIs" dxfId="152" priority="163" operator="equal">
      <formula>"Get Approval"</formula>
    </cfRule>
    <cfRule type="cellIs" dxfId="151" priority="164" operator="equal">
      <formula>"Partial Approval"</formula>
    </cfRule>
    <cfRule type="cellIs" dxfId="150" priority="165" operator="equal">
      <formula>"Reviewing"</formula>
    </cfRule>
  </conditionalFormatting>
  <conditionalFormatting sqref="G309:H309">
    <cfRule type="cellIs" dxfId="149" priority="156" operator="equal">
      <formula>"Done"</formula>
    </cfRule>
    <cfRule type="cellIs" dxfId="148" priority="157" operator="equal">
      <formula>"Approved"</formula>
    </cfRule>
    <cfRule type="cellIs" dxfId="147" priority="158" operator="equal">
      <formula>"Get Approval"</formula>
    </cfRule>
    <cfRule type="cellIs" dxfId="146" priority="159" operator="equal">
      <formula>"Partial Approval"</formula>
    </cfRule>
    <cfRule type="cellIs" dxfId="145" priority="160" operator="equal">
      <formula>"Reviewing"</formula>
    </cfRule>
  </conditionalFormatting>
  <conditionalFormatting sqref="G310:H310">
    <cfRule type="cellIs" dxfId="144" priority="151" operator="equal">
      <formula>"Done"</formula>
    </cfRule>
    <cfRule type="cellIs" dxfId="143" priority="152" operator="equal">
      <formula>"Approved"</formula>
    </cfRule>
    <cfRule type="cellIs" dxfId="142" priority="153" operator="equal">
      <formula>"Get Approval"</formula>
    </cfRule>
    <cfRule type="cellIs" dxfId="141" priority="154" operator="equal">
      <formula>"Partial Approval"</formula>
    </cfRule>
    <cfRule type="cellIs" dxfId="140" priority="155" operator="equal">
      <formula>"Reviewing"</formula>
    </cfRule>
  </conditionalFormatting>
  <conditionalFormatting sqref="G311:H311">
    <cfRule type="cellIs" dxfId="139" priority="146" operator="equal">
      <formula>"Done"</formula>
    </cfRule>
    <cfRule type="cellIs" dxfId="138" priority="147" operator="equal">
      <formula>"Approved"</formula>
    </cfRule>
    <cfRule type="cellIs" dxfId="137" priority="148" operator="equal">
      <formula>"Get Approval"</formula>
    </cfRule>
    <cfRule type="cellIs" dxfId="136" priority="149" operator="equal">
      <formula>"Partial Approval"</formula>
    </cfRule>
    <cfRule type="cellIs" dxfId="135" priority="150" operator="equal">
      <formula>"Reviewing"</formula>
    </cfRule>
  </conditionalFormatting>
  <conditionalFormatting sqref="G321:H321">
    <cfRule type="cellIs" dxfId="134" priority="141" operator="equal">
      <formula>"Done"</formula>
    </cfRule>
    <cfRule type="cellIs" dxfId="133" priority="142" operator="equal">
      <formula>"Approved"</formula>
    </cfRule>
    <cfRule type="cellIs" dxfId="132" priority="143" operator="equal">
      <formula>"Get Approval"</formula>
    </cfRule>
    <cfRule type="cellIs" dxfId="131" priority="144" operator="equal">
      <formula>"Partial Approval"</formula>
    </cfRule>
    <cfRule type="cellIs" dxfId="130" priority="145" operator="equal">
      <formula>"Reviewing"</formula>
    </cfRule>
  </conditionalFormatting>
  <conditionalFormatting sqref="AB321">
    <cfRule type="cellIs" dxfId="129" priority="136" operator="equal">
      <formula>"Done"</formula>
    </cfRule>
    <cfRule type="cellIs" dxfId="128" priority="137" operator="equal">
      <formula>"Approved"</formula>
    </cfRule>
    <cfRule type="cellIs" dxfId="127" priority="138" operator="equal">
      <formula>"Get Approval"</formula>
    </cfRule>
    <cfRule type="cellIs" dxfId="126" priority="139" operator="equal">
      <formula>"Partial Approval"</formula>
    </cfRule>
    <cfRule type="cellIs" dxfId="125" priority="140" operator="equal">
      <formula>"Reviewing"</formula>
    </cfRule>
  </conditionalFormatting>
  <conditionalFormatting sqref="AC322:AC325">
    <cfRule type="cellIs" dxfId="124" priority="131" operator="equal">
      <formula>"Done"</formula>
    </cfRule>
    <cfRule type="cellIs" dxfId="123" priority="132" operator="equal">
      <formula>"Approved"</formula>
    </cfRule>
    <cfRule type="cellIs" dxfId="122" priority="133" operator="equal">
      <formula>"Get Approval"</formula>
    </cfRule>
    <cfRule type="cellIs" dxfId="121" priority="134" operator="equal">
      <formula>"Partial Approval"</formula>
    </cfRule>
    <cfRule type="cellIs" dxfId="120" priority="135" operator="equal">
      <formula>"Reviewing"</formula>
    </cfRule>
  </conditionalFormatting>
  <conditionalFormatting sqref="F322">
    <cfRule type="cellIs" dxfId="119" priority="126" operator="equal">
      <formula>"Done"</formula>
    </cfRule>
    <cfRule type="cellIs" dxfId="118" priority="127" operator="equal">
      <formula>"Approved"</formula>
    </cfRule>
    <cfRule type="cellIs" dxfId="117" priority="128" operator="equal">
      <formula>"Get Approval"</formula>
    </cfRule>
    <cfRule type="cellIs" dxfId="116" priority="129" operator="equal">
      <formula>"Partial Approval"</formula>
    </cfRule>
    <cfRule type="cellIs" dxfId="115" priority="130" operator="equal">
      <formula>"Reviewing"</formula>
    </cfRule>
  </conditionalFormatting>
  <conditionalFormatting sqref="D323:E323 G323:V323">
    <cfRule type="cellIs" dxfId="114" priority="121" operator="equal">
      <formula>"Done"</formula>
    </cfRule>
    <cfRule type="cellIs" dxfId="113" priority="122" operator="equal">
      <formula>"Approved"</formula>
    </cfRule>
    <cfRule type="cellIs" dxfId="112" priority="123" operator="equal">
      <formula>"Get Approval"</formula>
    </cfRule>
    <cfRule type="cellIs" dxfId="111" priority="124" operator="equal">
      <formula>"Partial Approval"</formula>
    </cfRule>
    <cfRule type="cellIs" dxfId="110" priority="125" operator="equal">
      <formula>"Reviewing"</formula>
    </cfRule>
  </conditionalFormatting>
  <conditionalFormatting sqref="F323">
    <cfRule type="cellIs" dxfId="109" priority="116" operator="equal">
      <formula>"Done"</formula>
    </cfRule>
    <cfRule type="cellIs" dxfId="108" priority="117" operator="equal">
      <formula>"Approved"</formula>
    </cfRule>
    <cfRule type="cellIs" dxfId="107" priority="118" operator="equal">
      <formula>"Get Approval"</formula>
    </cfRule>
    <cfRule type="cellIs" dxfId="106" priority="119" operator="equal">
      <formula>"Partial Approval"</formula>
    </cfRule>
    <cfRule type="cellIs" dxfId="105" priority="120" operator="equal">
      <formula>"Reviewing"</formula>
    </cfRule>
  </conditionalFormatting>
  <conditionalFormatting sqref="D324:E324 G324:V324">
    <cfRule type="cellIs" dxfId="104" priority="111" operator="equal">
      <formula>"Done"</formula>
    </cfRule>
    <cfRule type="cellIs" dxfId="103" priority="112" operator="equal">
      <formula>"Approved"</formula>
    </cfRule>
    <cfRule type="cellIs" dxfId="102" priority="113" operator="equal">
      <formula>"Get Approval"</formula>
    </cfRule>
    <cfRule type="cellIs" dxfId="101" priority="114" operator="equal">
      <formula>"Partial Approval"</formula>
    </cfRule>
    <cfRule type="cellIs" dxfId="100" priority="115" operator="equal">
      <formula>"Reviewing"</formula>
    </cfRule>
  </conditionalFormatting>
  <conditionalFormatting sqref="F324">
    <cfRule type="cellIs" dxfId="99" priority="106" operator="equal">
      <formula>"Done"</formula>
    </cfRule>
    <cfRule type="cellIs" dxfId="98" priority="107" operator="equal">
      <formula>"Approved"</formula>
    </cfRule>
    <cfRule type="cellIs" dxfId="97" priority="108" operator="equal">
      <formula>"Get Approval"</formula>
    </cfRule>
    <cfRule type="cellIs" dxfId="96" priority="109" operator="equal">
      <formula>"Partial Approval"</formula>
    </cfRule>
    <cfRule type="cellIs" dxfId="95" priority="110" operator="equal">
      <formula>"Reviewing"</formula>
    </cfRule>
  </conditionalFormatting>
  <conditionalFormatting sqref="E325">
    <cfRule type="cellIs" dxfId="94" priority="101" operator="equal">
      <formula>"Done"</formula>
    </cfRule>
    <cfRule type="cellIs" dxfId="93" priority="102" operator="equal">
      <formula>"Approved"</formula>
    </cfRule>
    <cfRule type="cellIs" dxfId="92" priority="103" operator="equal">
      <formula>"Get Approval"</formula>
    </cfRule>
    <cfRule type="cellIs" dxfId="91" priority="104" operator="equal">
      <formula>"Partial Approval"</formula>
    </cfRule>
    <cfRule type="cellIs" dxfId="90" priority="105" operator="equal">
      <formula>"Reviewing"</formula>
    </cfRule>
  </conditionalFormatting>
  <conditionalFormatting sqref="AB326">
    <cfRule type="cellIs" dxfId="89" priority="96" operator="equal">
      <formula>"Done"</formula>
    </cfRule>
    <cfRule type="cellIs" dxfId="88" priority="97" operator="equal">
      <formula>"Approved"</formula>
    </cfRule>
    <cfRule type="cellIs" dxfId="87" priority="98" operator="equal">
      <formula>"Get Approval"</formula>
    </cfRule>
    <cfRule type="cellIs" dxfId="86" priority="99" operator="equal">
      <formula>"Partial Approval"</formula>
    </cfRule>
    <cfRule type="cellIs" dxfId="85" priority="100" operator="equal">
      <formula>"Reviewing"</formula>
    </cfRule>
  </conditionalFormatting>
  <conditionalFormatting sqref="G332:H332">
    <cfRule type="cellIs" dxfId="84" priority="91" operator="equal">
      <formula>"Done"</formula>
    </cfRule>
    <cfRule type="cellIs" dxfId="83" priority="92" operator="equal">
      <formula>"Approved"</formula>
    </cfRule>
    <cfRule type="cellIs" dxfId="82" priority="93" operator="equal">
      <formula>"Get Approval"</formula>
    </cfRule>
    <cfRule type="cellIs" dxfId="81" priority="94" operator="equal">
      <formula>"Partial Approval"</formula>
    </cfRule>
    <cfRule type="cellIs" dxfId="80" priority="95" operator="equal">
      <formula>"Reviewing"</formula>
    </cfRule>
  </conditionalFormatting>
  <conditionalFormatting sqref="G333:H333">
    <cfRule type="cellIs" dxfId="79" priority="86" operator="equal">
      <formula>"Done"</formula>
    </cfRule>
    <cfRule type="cellIs" dxfId="78" priority="87" operator="equal">
      <formula>"Approved"</formula>
    </cfRule>
    <cfRule type="cellIs" dxfId="77" priority="88" operator="equal">
      <formula>"Get Approval"</formula>
    </cfRule>
    <cfRule type="cellIs" dxfId="76" priority="89" operator="equal">
      <formula>"Partial Approval"</formula>
    </cfRule>
    <cfRule type="cellIs" dxfId="75" priority="90" operator="equal">
      <formula>"Reviewing"</formula>
    </cfRule>
  </conditionalFormatting>
  <conditionalFormatting sqref="G334:H334">
    <cfRule type="cellIs" dxfId="74" priority="81" operator="equal">
      <formula>"Done"</formula>
    </cfRule>
    <cfRule type="cellIs" dxfId="73" priority="82" operator="equal">
      <formula>"Approved"</formula>
    </cfRule>
    <cfRule type="cellIs" dxfId="72" priority="83" operator="equal">
      <formula>"Get Approval"</formula>
    </cfRule>
    <cfRule type="cellIs" dxfId="71" priority="84" operator="equal">
      <formula>"Partial Approval"</formula>
    </cfRule>
    <cfRule type="cellIs" dxfId="70" priority="85" operator="equal">
      <formula>"Reviewing"</formula>
    </cfRule>
  </conditionalFormatting>
  <conditionalFormatting sqref="G335:H335">
    <cfRule type="cellIs" dxfId="69" priority="71" operator="equal">
      <formula>"Done"</formula>
    </cfRule>
    <cfRule type="cellIs" dxfId="68" priority="72" operator="equal">
      <formula>"Approved"</formula>
    </cfRule>
    <cfRule type="cellIs" dxfId="67" priority="73" operator="equal">
      <formula>"Get Approval"</formula>
    </cfRule>
    <cfRule type="cellIs" dxfId="66" priority="74" operator="equal">
      <formula>"Partial Approval"</formula>
    </cfRule>
    <cfRule type="cellIs" dxfId="65" priority="75" operator="equal">
      <formula>"Reviewing"</formula>
    </cfRule>
  </conditionalFormatting>
  <conditionalFormatting sqref="G336:G337">
    <cfRule type="cellIs" dxfId="64" priority="66" operator="equal">
      <formula>"Done"</formula>
    </cfRule>
    <cfRule type="cellIs" dxfId="63" priority="67" operator="equal">
      <formula>"Approved"</formula>
    </cfRule>
    <cfRule type="cellIs" dxfId="62" priority="68" operator="equal">
      <formula>"Get Approval"</formula>
    </cfRule>
    <cfRule type="cellIs" dxfId="61" priority="69" operator="equal">
      <formula>"Partial Approval"</formula>
    </cfRule>
    <cfRule type="cellIs" dxfId="60" priority="70" operator="equal">
      <formula>"Reviewing"</formula>
    </cfRule>
  </conditionalFormatting>
  <conditionalFormatting sqref="H337">
    <cfRule type="cellIs" dxfId="59" priority="61" operator="equal">
      <formula>"Done"</formula>
    </cfRule>
    <cfRule type="cellIs" dxfId="58" priority="62" operator="equal">
      <formula>"Approved"</formula>
    </cfRule>
    <cfRule type="cellIs" dxfId="57" priority="63" operator="equal">
      <formula>"Get Approval"</formula>
    </cfRule>
    <cfRule type="cellIs" dxfId="56" priority="64" operator="equal">
      <formula>"Partial Approval"</formula>
    </cfRule>
    <cfRule type="cellIs" dxfId="55" priority="65" operator="equal">
      <formula>"Reviewing"</formula>
    </cfRule>
  </conditionalFormatting>
  <conditionalFormatting sqref="H336">
    <cfRule type="cellIs" dxfId="54" priority="56" operator="equal">
      <formula>"Done"</formula>
    </cfRule>
    <cfRule type="cellIs" dxfId="53" priority="57" operator="equal">
      <formula>"Approved"</formula>
    </cfRule>
    <cfRule type="cellIs" dxfId="52" priority="58" operator="equal">
      <formula>"Get Approval"</formula>
    </cfRule>
    <cfRule type="cellIs" dxfId="51" priority="59" operator="equal">
      <formula>"Partial Approval"</formula>
    </cfRule>
    <cfRule type="cellIs" dxfId="50" priority="60" operator="equal">
      <formula>"Reviewing"</formula>
    </cfRule>
  </conditionalFormatting>
  <conditionalFormatting sqref="AB338">
    <cfRule type="cellIs" dxfId="49" priority="51" operator="equal">
      <formula>"Done"</formula>
    </cfRule>
    <cfRule type="cellIs" dxfId="48" priority="52" operator="equal">
      <formula>"Approved"</formula>
    </cfRule>
    <cfRule type="cellIs" dxfId="47" priority="53" operator="equal">
      <formula>"Get Approval"</formula>
    </cfRule>
    <cfRule type="cellIs" dxfId="46" priority="54" operator="equal">
      <formula>"Partial Approval"</formula>
    </cfRule>
    <cfRule type="cellIs" dxfId="45" priority="55" operator="equal">
      <formula>"Reviewing"</formula>
    </cfRule>
  </conditionalFormatting>
  <conditionalFormatting sqref="AB339:AB341">
    <cfRule type="cellIs" dxfId="44" priority="46" operator="equal">
      <formula>"Done"</formula>
    </cfRule>
    <cfRule type="cellIs" dxfId="43" priority="47" operator="equal">
      <formula>"Approved"</formula>
    </cfRule>
    <cfRule type="cellIs" dxfId="42" priority="48" operator="equal">
      <formula>"Get Approval"</formula>
    </cfRule>
    <cfRule type="cellIs" dxfId="41" priority="49" operator="equal">
      <formula>"Partial Approval"</formula>
    </cfRule>
    <cfRule type="cellIs" dxfId="40" priority="50" operator="equal">
      <formula>"Reviewing"</formula>
    </cfRule>
  </conditionalFormatting>
  <conditionalFormatting sqref="AB325">
    <cfRule type="cellIs" dxfId="39" priority="41" operator="equal">
      <formula>"Done"</formula>
    </cfRule>
    <cfRule type="cellIs" dxfId="38" priority="42" operator="equal">
      <formula>"Approved"</formula>
    </cfRule>
    <cfRule type="cellIs" dxfId="37" priority="43" operator="equal">
      <formula>"Get Approval"</formula>
    </cfRule>
    <cfRule type="cellIs" dxfId="36" priority="44" operator="equal">
      <formula>"Partial Approval"</formula>
    </cfRule>
    <cfRule type="cellIs" dxfId="35" priority="45" operator="equal">
      <formula>"Reviewing"</formula>
    </cfRule>
  </conditionalFormatting>
  <conditionalFormatting sqref="F363">
    <cfRule type="cellIs" dxfId="34" priority="36" operator="equal">
      <formula>"Done"</formula>
    </cfRule>
    <cfRule type="cellIs" dxfId="33" priority="37" operator="equal">
      <formula>"Approved"</formula>
    </cfRule>
    <cfRule type="cellIs" dxfId="32" priority="38" operator="equal">
      <formula>"Get Approval"</formula>
    </cfRule>
    <cfRule type="cellIs" dxfId="31" priority="39" operator="equal">
      <formula>"Partial Approval"</formula>
    </cfRule>
    <cfRule type="cellIs" dxfId="30" priority="40" operator="equal">
      <formula>"Reviewing"</formula>
    </cfRule>
  </conditionalFormatting>
  <conditionalFormatting sqref="G364:H364">
    <cfRule type="cellIs" dxfId="29" priority="31" operator="equal">
      <formula>"Done"</formula>
    </cfRule>
    <cfRule type="cellIs" dxfId="28" priority="32" operator="equal">
      <formula>"Approved"</formula>
    </cfRule>
    <cfRule type="cellIs" dxfId="27" priority="33" operator="equal">
      <formula>"Get Approval"</formula>
    </cfRule>
    <cfRule type="cellIs" dxfId="26" priority="34" operator="equal">
      <formula>"Partial Approval"</formula>
    </cfRule>
    <cfRule type="cellIs" dxfId="25" priority="35" operator="equal">
      <formula>"Reviewing"</formula>
    </cfRule>
  </conditionalFormatting>
  <conditionalFormatting sqref="AC365">
    <cfRule type="cellIs" dxfId="24" priority="21" operator="equal">
      <formula>"Done"</formula>
    </cfRule>
    <cfRule type="cellIs" dxfId="23" priority="22" operator="equal">
      <formula>"Approved"</formula>
    </cfRule>
    <cfRule type="cellIs" dxfId="22" priority="23" operator="equal">
      <formula>"Get Approval"</formula>
    </cfRule>
    <cfRule type="cellIs" dxfId="21" priority="24" operator="equal">
      <formula>"Partial Approval"</formula>
    </cfRule>
    <cfRule type="cellIs" dxfId="20" priority="25" operator="equal">
      <formula>"Reviewing"</formula>
    </cfRule>
  </conditionalFormatting>
  <conditionalFormatting sqref="AB285">
    <cfRule type="cellIs" dxfId="19" priority="16" operator="equal">
      <formula>"Done"</formula>
    </cfRule>
    <cfRule type="cellIs" dxfId="18" priority="17" operator="equal">
      <formula>"Approved"</formula>
    </cfRule>
    <cfRule type="cellIs" dxfId="17" priority="18" operator="equal">
      <formula>"Get Approval"</formula>
    </cfRule>
    <cfRule type="cellIs" dxfId="16" priority="19" operator="equal">
      <formula>"Partial Approval"</formula>
    </cfRule>
    <cfRule type="cellIs" dxfId="15" priority="20" operator="equal">
      <formula>"Reviewing"</formula>
    </cfRule>
  </conditionalFormatting>
  <conditionalFormatting sqref="AB329">
    <cfRule type="cellIs" dxfId="14" priority="11" operator="equal">
      <formula>"Done"</formula>
    </cfRule>
    <cfRule type="cellIs" dxfId="13" priority="12" operator="equal">
      <formula>"Approved"</formula>
    </cfRule>
    <cfRule type="cellIs" dxfId="12" priority="13" operator="equal">
      <formula>"Get Approval"</formula>
    </cfRule>
    <cfRule type="cellIs" dxfId="11" priority="14" operator="equal">
      <formula>"Partial Approval"</formula>
    </cfRule>
    <cfRule type="cellIs" dxfId="10" priority="15" operator="equal">
      <formula>"Reviewing"</formula>
    </cfRule>
  </conditionalFormatting>
  <conditionalFormatting sqref="AB331">
    <cfRule type="cellIs" dxfId="9" priority="6" operator="equal">
      <formula>"Done"</formula>
    </cfRule>
    <cfRule type="cellIs" dxfId="8" priority="7" operator="equal">
      <formula>"Approved"</formula>
    </cfRule>
    <cfRule type="cellIs" dxfId="7" priority="8" operator="equal">
      <formula>"Get Approval"</formula>
    </cfRule>
    <cfRule type="cellIs" dxfId="6" priority="9" operator="equal">
      <formula>"Partial Approval"</formula>
    </cfRule>
    <cfRule type="cellIs" dxfId="5" priority="10" operator="equal">
      <formula>"Reviewing"</formula>
    </cfRule>
  </conditionalFormatting>
  <conditionalFormatting sqref="AB336">
    <cfRule type="cellIs" dxfId="4" priority="1" operator="equal">
      <formula>"Done"</formula>
    </cfRule>
    <cfRule type="cellIs" dxfId="3" priority="2" operator="equal">
      <formula>"Approved"</formula>
    </cfRule>
    <cfRule type="cellIs" dxfId="2" priority="3" operator="equal">
      <formula>"Get Approval"</formula>
    </cfRule>
    <cfRule type="cellIs" dxfId="1" priority="4" operator="equal">
      <formula>"Partial Approval"</formula>
    </cfRule>
    <cfRule type="cellIs" dxfId="0" priority="5" operator="equal">
      <formula>"Reviewing"</formula>
    </cfRule>
  </conditionalFormatting>
  <dataValidations count="5">
    <dataValidation type="list" allowBlank="1" showInputMessage="1" showErrorMessage="1" sqref="W16 L11 J15:J16 J18:J19 J21:J26 J40:J41 J28:J38 J44:J63 J65:J67 J3:J11 J69:J205 J207:J223 J227:J229 J238:J240 J252:J255 J270:J272 J279:J288 J292:J321 J325:J406" xr:uid="{4FFBBB2D-9124-4DEA-A360-C0BB4F3DB37F}">
      <formula1>"Quoted,Get Approval,Partial Approval,Approved"</formula1>
    </dataValidation>
    <dataValidation type="list" allowBlank="1" showInputMessage="1" showErrorMessage="1" sqref="O4:O6 AA16 L17:L26 L13:L15 L29:L41 L44:L45 L3:L10 L47:L123 AC178 L125:L205 L207:L223 L227:L229 L238:L240 L252:L255 L269:L272 L279:L288 L292:L321 L325:L406" xr:uid="{E0E0F8EA-6477-4DF3-88C7-5956586B98B2}">
      <formula1>"Get Approval,Partial Approval,Approved"</formula1>
    </dataValidation>
    <dataValidation type="list" allowBlank="1" showInputMessage="1" showErrorMessage="1" sqref="AC17:AC18 O25:P26 P17 O40:P40 O7:O9 AD16 O18:P19 O29:P31 O15 P13:P15 AC25:AC31 O42 AC40:AC41 AC36:AC38 AC12:AC15 O44:P45 AC46 O36:P38 O47:O48 P47:P66 P69:P89 O50:O96 P91:P96 O3:P3 AC3:AC9 AC49:AC177 O97:P205 O207:P223 AC179:AC224 O227:P229 O238:P240 AC227:AC251 O253:P255 AC253:AC258 AC261:AC263 O270:P272 O279:P288 O292:P321 AC270:AC364 AD370 AD365:AD368 O325:P406 AC366:AC406" xr:uid="{12EACA66-D4FF-4F44-80D4-3B603957D057}">
      <formula1>"Reviewing,Reviewed,Get Approval,Partial Approval,Approved"</formula1>
    </dataValidation>
    <dataValidation type="list" allowBlank="1" showInputMessage="1" showErrorMessage="1" sqref="E12:E15 E17:E22 E24:E26 E29:E34 E36:E38 E40:E41 E44:E45 E48:E90 E3:E9 E94:E134 E137:E205 E207:E223 E227:E229 E238:E240 E253:E255 E270:E272 E279:E288 E293" xr:uid="{C6226049-99F2-42FC-857B-DDED42B56C19}">
      <formula1>"KH,VN"</formula1>
    </dataValidation>
    <dataValidation allowBlank="1" showInputMessage="1" showErrorMessage="1" sqref="U21 V21:AJ22 O21:Q22 S21:T22 R21" xr:uid="{C413B757-D9D9-4D67-88D5-731C9070C60C}"/>
  </dataValidations>
  <pageMargins left="0.7" right="0.7" top="0.75" bottom="0.75" header="0.3" footer="0.3"/>
  <ignoredErrors>
    <ignoredError sqref="Y103" numberStoredAsText="1"/>
  </ignoredErrors>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19DEBF1-AEC2-4C5E-BC9A-CDB85D3E0958}">
          <x14:formula1>
            <xm:f>Vendor!$C:$C</xm:f>
          </x14:formula1>
          <xm:sqref>F44:F90 L124 F147:F230 F3:F41 F94:F134 F232:F406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A2910-5880-42D4-9F1F-44D3E18C7E81}">
  <dimension ref="A1:G4"/>
  <sheetViews>
    <sheetView workbookViewId="0">
      <selection activeCell="D2" sqref="D2"/>
    </sheetView>
  </sheetViews>
  <sheetFormatPr defaultColWidth="8.7109375" defaultRowHeight="14.45"/>
  <cols>
    <col min="1" max="1" width="5" style="2" customWidth="1"/>
    <col min="2" max="2" width="40.42578125" style="1" bestFit="1" customWidth="1"/>
    <col min="3" max="3" width="22.140625" style="1" customWidth="1"/>
    <col min="4" max="4" width="36.5703125" style="1" bestFit="1" customWidth="1"/>
    <col min="5" max="5" width="12.5703125" style="1" bestFit="1" customWidth="1"/>
    <col min="6" max="6" width="11.140625" style="1" customWidth="1"/>
    <col min="7" max="16384" width="8.7109375" style="1"/>
  </cols>
  <sheetData>
    <row r="1" spans="1:7" s="2" customFormat="1" ht="29.1">
      <c r="A1" s="11" t="s">
        <v>10</v>
      </c>
      <c r="B1" s="11" t="s">
        <v>939</v>
      </c>
      <c r="C1" s="11" t="s">
        <v>940</v>
      </c>
      <c r="D1" s="17" t="s">
        <v>15</v>
      </c>
      <c r="E1" s="11" t="s">
        <v>941</v>
      </c>
      <c r="F1" s="11" t="s">
        <v>19</v>
      </c>
      <c r="G1" s="11" t="s">
        <v>942</v>
      </c>
    </row>
    <row r="2" spans="1:7">
      <c r="A2" s="11">
        <v>1</v>
      </c>
      <c r="B2" s="7" t="s">
        <v>943</v>
      </c>
      <c r="C2" s="7" t="s">
        <v>944</v>
      </c>
      <c r="D2" s="7" t="s">
        <v>32</v>
      </c>
      <c r="E2" s="21">
        <v>45113</v>
      </c>
      <c r="F2" s="7"/>
      <c r="G2" s="7"/>
    </row>
    <row r="3" spans="1:7">
      <c r="A3" s="11">
        <f>A2+1</f>
        <v>2</v>
      </c>
      <c r="B3" s="7" t="s">
        <v>945</v>
      </c>
      <c r="C3" s="7"/>
      <c r="D3" s="7" t="s">
        <v>32</v>
      </c>
      <c r="E3" s="7"/>
      <c r="F3" s="7"/>
      <c r="G3" s="7"/>
    </row>
    <row r="4" spans="1:7">
      <c r="A4" s="11">
        <f>A3+1</f>
        <v>3</v>
      </c>
      <c r="B4" s="7" t="s">
        <v>946</v>
      </c>
      <c r="C4" s="7"/>
      <c r="D4" s="7" t="s">
        <v>32</v>
      </c>
      <c r="E4" s="7"/>
      <c r="F4" s="7"/>
      <c r="G4" s="7"/>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D9FCBD4-F847-4A2C-9CF1-FEF084238121}">
          <x14:formula1>
            <xm:f>Vendor!$C:$C</xm:f>
          </x14:formula1>
          <xm:sqref>D2:D4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53ABD-E003-47BF-9D14-E37A5E883A84}">
  <dimension ref="A1:H59"/>
  <sheetViews>
    <sheetView workbookViewId="0">
      <pane ySplit="1" topLeftCell="F32" activePane="bottomLeft" state="frozen"/>
      <selection pane="bottomLeft" activeCell="F32" sqref="F32:G39"/>
    </sheetView>
  </sheetViews>
  <sheetFormatPr defaultColWidth="9.140625" defaultRowHeight="14.45"/>
  <cols>
    <col min="1" max="1" width="4.140625" style="2" bestFit="1" customWidth="1"/>
    <col min="2" max="2" width="73.7109375" style="1" customWidth="1"/>
    <col min="3" max="3" width="11" style="15" customWidth="1"/>
    <col min="4" max="4" width="12.140625" style="1" bestFit="1" customWidth="1"/>
    <col min="5" max="5" width="15.85546875" style="1" customWidth="1"/>
    <col min="6" max="6" width="13.140625" style="2" customWidth="1"/>
    <col min="7" max="7" width="19.42578125" style="2" customWidth="1"/>
    <col min="8" max="8" width="37.85546875" style="1" customWidth="1"/>
    <col min="9" max="9" width="14.7109375" style="1" customWidth="1"/>
    <col min="10" max="16384" width="9.140625" style="1"/>
  </cols>
  <sheetData>
    <row r="1" spans="1:8" ht="29.1">
      <c r="A1" s="4" t="s">
        <v>10</v>
      </c>
      <c r="B1" s="16" t="s">
        <v>947</v>
      </c>
      <c r="C1" s="14" t="s">
        <v>948</v>
      </c>
      <c r="D1" s="5" t="s">
        <v>949</v>
      </c>
      <c r="E1" s="5" t="s">
        <v>950</v>
      </c>
      <c r="F1" s="13" t="s">
        <v>951</v>
      </c>
      <c r="G1" s="9" t="s">
        <v>19</v>
      </c>
      <c r="H1" s="5" t="s">
        <v>952</v>
      </c>
    </row>
    <row r="2" spans="1:8" ht="29.1">
      <c r="A2" s="3">
        <v>1</v>
      </c>
      <c r="B2" s="6" t="s">
        <v>953</v>
      </c>
      <c r="C2" s="8" t="s">
        <v>6</v>
      </c>
      <c r="D2" s="7" t="s">
        <v>954</v>
      </c>
      <c r="E2" s="7" t="s">
        <v>955</v>
      </c>
      <c r="F2" s="10" t="s">
        <v>956</v>
      </c>
      <c r="G2" s="17" t="s">
        <v>33</v>
      </c>
      <c r="H2" s="7" t="s">
        <v>957</v>
      </c>
    </row>
    <row r="3" spans="1:8" ht="29.1">
      <c r="A3" s="3">
        <f t="shared" ref="A3:A28" si="0">A2+1</f>
        <v>2</v>
      </c>
      <c r="B3" s="6" t="s">
        <v>958</v>
      </c>
      <c r="C3" s="8" t="s">
        <v>6</v>
      </c>
      <c r="D3" s="7" t="s">
        <v>954</v>
      </c>
      <c r="E3" s="7" t="s">
        <v>959</v>
      </c>
      <c r="F3" s="10" t="s">
        <v>956</v>
      </c>
      <c r="G3" s="17" t="s">
        <v>33</v>
      </c>
      <c r="H3" s="7" t="s">
        <v>960</v>
      </c>
    </row>
    <row r="4" spans="1:8" ht="29.1">
      <c r="A4" s="3">
        <f t="shared" si="0"/>
        <v>3</v>
      </c>
      <c r="B4" s="8" t="s">
        <v>961</v>
      </c>
      <c r="C4" s="8" t="s">
        <v>6</v>
      </c>
      <c r="D4" s="7" t="s">
        <v>954</v>
      </c>
      <c r="E4" s="7" t="s">
        <v>959</v>
      </c>
      <c r="F4" s="10" t="s">
        <v>956</v>
      </c>
      <c r="G4" s="17" t="s">
        <v>33</v>
      </c>
      <c r="H4" s="7" t="s">
        <v>957</v>
      </c>
    </row>
    <row r="5" spans="1:8" ht="29.1">
      <c r="A5" s="3">
        <f t="shared" si="0"/>
        <v>4</v>
      </c>
      <c r="B5" s="6" t="s">
        <v>962</v>
      </c>
      <c r="C5" s="8" t="s">
        <v>6</v>
      </c>
      <c r="D5" s="7" t="s">
        <v>954</v>
      </c>
      <c r="E5" s="7" t="s">
        <v>955</v>
      </c>
      <c r="F5" s="12" t="s">
        <v>963</v>
      </c>
      <c r="G5" s="17" t="s">
        <v>33</v>
      </c>
      <c r="H5" s="7" t="s">
        <v>964</v>
      </c>
    </row>
    <row r="6" spans="1:8" ht="29.1">
      <c r="A6" s="3">
        <f t="shared" si="0"/>
        <v>5</v>
      </c>
      <c r="B6" s="6" t="s">
        <v>965</v>
      </c>
      <c r="C6" s="8" t="s">
        <v>6</v>
      </c>
      <c r="D6" s="7" t="s">
        <v>954</v>
      </c>
      <c r="E6" s="7" t="s">
        <v>955</v>
      </c>
      <c r="F6" s="12" t="s">
        <v>963</v>
      </c>
      <c r="G6" s="17" t="s">
        <v>33</v>
      </c>
      <c r="H6" s="7" t="s">
        <v>964</v>
      </c>
    </row>
    <row r="7" spans="1:8" ht="29.1">
      <c r="A7" s="3">
        <f t="shared" si="0"/>
        <v>6</v>
      </c>
      <c r="B7" s="6" t="s">
        <v>966</v>
      </c>
      <c r="C7" s="8" t="s">
        <v>6</v>
      </c>
      <c r="D7" s="7" t="s">
        <v>954</v>
      </c>
      <c r="E7" s="7" t="s">
        <v>959</v>
      </c>
      <c r="F7" s="12" t="s">
        <v>963</v>
      </c>
      <c r="G7" s="17" t="s">
        <v>967</v>
      </c>
      <c r="H7" s="7"/>
    </row>
    <row r="8" spans="1:8" ht="29.1">
      <c r="A8" s="3">
        <f t="shared" si="0"/>
        <v>7</v>
      </c>
      <c r="B8" s="6" t="s">
        <v>968</v>
      </c>
      <c r="C8" s="8" t="s">
        <v>6</v>
      </c>
      <c r="D8" s="7" t="s">
        <v>954</v>
      </c>
      <c r="E8" s="7" t="s">
        <v>959</v>
      </c>
      <c r="F8" s="12" t="s">
        <v>963</v>
      </c>
      <c r="G8" s="17" t="s">
        <v>967</v>
      </c>
      <c r="H8" s="7"/>
    </row>
    <row r="9" spans="1:8" ht="29.1">
      <c r="A9" s="3">
        <f t="shared" si="0"/>
        <v>8</v>
      </c>
      <c r="B9" s="8" t="s">
        <v>969</v>
      </c>
      <c r="C9" s="8" t="s">
        <v>1</v>
      </c>
      <c r="D9" s="7" t="s">
        <v>954</v>
      </c>
      <c r="E9" s="7" t="s">
        <v>970</v>
      </c>
      <c r="F9" s="12" t="s">
        <v>971</v>
      </c>
      <c r="G9" s="17" t="s">
        <v>33</v>
      </c>
      <c r="H9" s="7" t="s">
        <v>972</v>
      </c>
    </row>
    <row r="10" spans="1:8" ht="29.1">
      <c r="A10" s="3">
        <f t="shared" si="0"/>
        <v>9</v>
      </c>
      <c r="B10" s="6" t="s">
        <v>973</v>
      </c>
      <c r="C10" s="8" t="s">
        <v>1</v>
      </c>
      <c r="D10" s="7" t="s">
        <v>954</v>
      </c>
      <c r="E10" s="7" t="s">
        <v>970</v>
      </c>
      <c r="F10" s="12" t="s">
        <v>971</v>
      </c>
      <c r="G10" s="17" t="s">
        <v>974</v>
      </c>
      <c r="H10" s="7" t="s">
        <v>975</v>
      </c>
    </row>
    <row r="11" spans="1:8" ht="29.1">
      <c r="A11" s="3">
        <f t="shared" si="0"/>
        <v>10</v>
      </c>
      <c r="B11" s="6" t="s">
        <v>976</v>
      </c>
      <c r="C11" s="8" t="s">
        <v>1</v>
      </c>
      <c r="D11" s="7" t="s">
        <v>954</v>
      </c>
      <c r="E11" s="7" t="s">
        <v>955</v>
      </c>
      <c r="F11" s="12" t="s">
        <v>977</v>
      </c>
      <c r="G11" s="11" t="s">
        <v>33</v>
      </c>
      <c r="H11" s="18" t="s">
        <v>978</v>
      </c>
    </row>
    <row r="12" spans="1:8" ht="29.1">
      <c r="A12" s="3">
        <f t="shared" si="0"/>
        <v>11</v>
      </c>
      <c r="B12" s="6" t="s">
        <v>979</v>
      </c>
      <c r="C12" s="8" t="s">
        <v>1</v>
      </c>
      <c r="D12" s="7" t="s">
        <v>954</v>
      </c>
      <c r="E12" s="7" t="s">
        <v>980</v>
      </c>
      <c r="F12" s="12" t="s">
        <v>977</v>
      </c>
      <c r="G12" s="11" t="s">
        <v>974</v>
      </c>
      <c r="H12" s="19" t="s">
        <v>981</v>
      </c>
    </row>
    <row r="13" spans="1:8" ht="29.1">
      <c r="A13" s="3">
        <f t="shared" si="0"/>
        <v>12</v>
      </c>
      <c r="B13" s="6" t="s">
        <v>982</v>
      </c>
      <c r="C13" s="8" t="s">
        <v>6</v>
      </c>
      <c r="D13" s="7" t="s">
        <v>954</v>
      </c>
      <c r="E13" s="7" t="s">
        <v>955</v>
      </c>
      <c r="F13" s="10" t="s">
        <v>977</v>
      </c>
      <c r="G13" s="11" t="s">
        <v>974</v>
      </c>
      <c r="H13" s="7" t="s">
        <v>983</v>
      </c>
    </row>
    <row r="14" spans="1:8" ht="29.1">
      <c r="A14" s="3">
        <f t="shared" si="0"/>
        <v>13</v>
      </c>
      <c r="B14" s="6" t="s">
        <v>984</v>
      </c>
      <c r="C14" s="8" t="s">
        <v>6</v>
      </c>
      <c r="D14" s="7" t="s">
        <v>954</v>
      </c>
      <c r="E14" s="7" t="s">
        <v>985</v>
      </c>
      <c r="F14" s="11" t="s">
        <v>986</v>
      </c>
      <c r="G14" s="11" t="s">
        <v>974</v>
      </c>
      <c r="H14" s="7"/>
    </row>
    <row r="15" spans="1:8" ht="29.1">
      <c r="A15" s="3">
        <f t="shared" si="0"/>
        <v>14</v>
      </c>
      <c r="B15" s="6" t="s">
        <v>987</v>
      </c>
      <c r="C15" s="8" t="s">
        <v>1</v>
      </c>
      <c r="D15" s="7" t="s">
        <v>954</v>
      </c>
      <c r="E15" s="7" t="s">
        <v>988</v>
      </c>
      <c r="F15" s="11" t="s">
        <v>986</v>
      </c>
      <c r="G15" s="11" t="s">
        <v>974</v>
      </c>
      <c r="H15" s="7"/>
    </row>
    <row r="16" spans="1:8" ht="29.1">
      <c r="A16" s="3">
        <f t="shared" si="0"/>
        <v>15</v>
      </c>
      <c r="B16" s="6" t="s">
        <v>989</v>
      </c>
      <c r="C16" s="8" t="s">
        <v>1</v>
      </c>
      <c r="D16" s="7" t="s">
        <v>954</v>
      </c>
      <c r="E16" s="7" t="s">
        <v>990</v>
      </c>
      <c r="F16" s="10" t="s">
        <v>956</v>
      </c>
      <c r="G16" s="11" t="s">
        <v>33</v>
      </c>
      <c r="H16" s="7"/>
    </row>
    <row r="17" spans="1:8" ht="29.1">
      <c r="A17" s="3">
        <f t="shared" si="0"/>
        <v>16</v>
      </c>
      <c r="B17" s="6" t="s">
        <v>991</v>
      </c>
      <c r="C17" s="8" t="s">
        <v>6</v>
      </c>
      <c r="D17" s="7" t="s">
        <v>954</v>
      </c>
      <c r="E17" s="7" t="s">
        <v>955</v>
      </c>
      <c r="F17" s="10" t="s">
        <v>963</v>
      </c>
      <c r="G17" s="11" t="s">
        <v>33</v>
      </c>
      <c r="H17" s="7"/>
    </row>
    <row r="18" spans="1:8" ht="29.1">
      <c r="A18" s="3">
        <f t="shared" si="0"/>
        <v>17</v>
      </c>
      <c r="B18" s="6" t="s">
        <v>992</v>
      </c>
      <c r="C18" s="8" t="s">
        <v>6</v>
      </c>
      <c r="D18" s="7" t="s">
        <v>954</v>
      </c>
      <c r="E18" s="7" t="s">
        <v>955</v>
      </c>
      <c r="F18" s="10" t="s">
        <v>963</v>
      </c>
      <c r="G18" s="11" t="s">
        <v>33</v>
      </c>
      <c r="H18" s="7"/>
    </row>
    <row r="19" spans="1:8" ht="29.1">
      <c r="A19" s="3">
        <f t="shared" si="0"/>
        <v>18</v>
      </c>
      <c r="B19" s="6" t="s">
        <v>993</v>
      </c>
      <c r="C19" s="8" t="s">
        <v>6</v>
      </c>
      <c r="D19" s="7" t="s">
        <v>954</v>
      </c>
      <c r="E19" s="7" t="s">
        <v>955</v>
      </c>
      <c r="F19" s="10" t="s">
        <v>994</v>
      </c>
      <c r="G19" s="11" t="s">
        <v>974</v>
      </c>
      <c r="H19" s="7"/>
    </row>
    <row r="20" spans="1:8" ht="29.1">
      <c r="A20" s="3">
        <f t="shared" si="0"/>
        <v>19</v>
      </c>
      <c r="B20" s="6" t="s">
        <v>995</v>
      </c>
      <c r="C20" s="8" t="s">
        <v>6</v>
      </c>
      <c r="D20" s="7" t="s">
        <v>954</v>
      </c>
      <c r="E20" s="7" t="s">
        <v>959</v>
      </c>
      <c r="F20" s="12" t="s">
        <v>996</v>
      </c>
      <c r="G20" s="11" t="s">
        <v>974</v>
      </c>
      <c r="H20" s="7"/>
    </row>
    <row r="21" spans="1:8" ht="29.1">
      <c r="A21" s="3">
        <f t="shared" si="0"/>
        <v>20</v>
      </c>
      <c r="B21" s="6" t="s">
        <v>997</v>
      </c>
      <c r="C21" s="8" t="s">
        <v>6</v>
      </c>
      <c r="D21" s="7" t="s">
        <v>954</v>
      </c>
      <c r="E21" s="7" t="s">
        <v>955</v>
      </c>
      <c r="F21" s="20">
        <v>45238</v>
      </c>
      <c r="G21" s="11" t="s">
        <v>75</v>
      </c>
      <c r="H21" s="7"/>
    </row>
    <row r="22" spans="1:8" ht="29.1">
      <c r="A22" s="3">
        <f t="shared" si="0"/>
        <v>21</v>
      </c>
      <c r="B22" s="6" t="s">
        <v>998</v>
      </c>
      <c r="C22" s="8" t="s">
        <v>6</v>
      </c>
      <c r="D22" s="7" t="s">
        <v>954</v>
      </c>
      <c r="E22" s="7" t="s">
        <v>955</v>
      </c>
      <c r="F22" s="20">
        <v>45238</v>
      </c>
      <c r="G22" s="11" t="s">
        <v>974</v>
      </c>
      <c r="H22" s="7"/>
    </row>
    <row r="23" spans="1:8" ht="29.1">
      <c r="A23" s="3">
        <f t="shared" si="0"/>
        <v>22</v>
      </c>
      <c r="B23" s="6" t="s">
        <v>999</v>
      </c>
      <c r="C23" s="8" t="s">
        <v>1</v>
      </c>
      <c r="D23" s="7" t="s">
        <v>954</v>
      </c>
      <c r="E23" s="7" t="s">
        <v>1000</v>
      </c>
      <c r="F23" s="20">
        <v>45268</v>
      </c>
      <c r="G23" s="11" t="s">
        <v>974</v>
      </c>
      <c r="H23" s="7"/>
    </row>
    <row r="24" spans="1:8" ht="29.1">
      <c r="A24" s="3">
        <f t="shared" si="0"/>
        <v>23</v>
      </c>
      <c r="B24" s="6" t="s">
        <v>1001</v>
      </c>
      <c r="C24" s="8" t="s">
        <v>1</v>
      </c>
      <c r="D24" s="7" t="s">
        <v>1002</v>
      </c>
      <c r="E24" s="7" t="s">
        <v>1000</v>
      </c>
      <c r="F24" s="20">
        <v>45268</v>
      </c>
      <c r="G24" s="11" t="s">
        <v>974</v>
      </c>
      <c r="H24" s="7"/>
    </row>
    <row r="25" spans="1:8" ht="29.1">
      <c r="A25" s="3">
        <f t="shared" si="0"/>
        <v>24</v>
      </c>
      <c r="B25" s="6" t="s">
        <v>1003</v>
      </c>
      <c r="C25" s="8" t="s">
        <v>6</v>
      </c>
      <c r="D25" s="7" t="s">
        <v>1002</v>
      </c>
      <c r="E25" s="7" t="s">
        <v>959</v>
      </c>
      <c r="F25" s="20">
        <v>45026</v>
      </c>
      <c r="G25" s="11" t="s">
        <v>967</v>
      </c>
      <c r="H25" s="7"/>
    </row>
    <row r="26" spans="1:8" ht="29.1">
      <c r="A26" s="3">
        <f t="shared" si="0"/>
        <v>25</v>
      </c>
      <c r="B26" s="6" t="s">
        <v>1004</v>
      </c>
      <c r="C26" s="8" t="s">
        <v>6</v>
      </c>
      <c r="D26" s="7" t="s">
        <v>1002</v>
      </c>
      <c r="E26" s="7" t="s">
        <v>959</v>
      </c>
      <c r="F26" s="20">
        <v>45026</v>
      </c>
      <c r="G26" s="11" t="s">
        <v>967</v>
      </c>
      <c r="H26" s="7"/>
    </row>
    <row r="27" spans="1:8" ht="43.5">
      <c r="A27" s="3">
        <f t="shared" si="0"/>
        <v>26</v>
      </c>
      <c r="B27" s="8" t="s">
        <v>1005</v>
      </c>
      <c r="C27" s="8" t="s">
        <v>6</v>
      </c>
      <c r="D27" s="7" t="s">
        <v>1002</v>
      </c>
      <c r="E27" s="7" t="s">
        <v>959</v>
      </c>
      <c r="F27" s="20">
        <v>45026</v>
      </c>
      <c r="G27" s="11" t="s">
        <v>967</v>
      </c>
      <c r="H27" s="7"/>
    </row>
    <row r="28" spans="1:8" ht="43.5">
      <c r="A28" s="3">
        <f t="shared" si="0"/>
        <v>27</v>
      </c>
      <c r="B28" s="8" t="s">
        <v>1006</v>
      </c>
      <c r="C28" s="8" t="s">
        <v>6</v>
      </c>
      <c r="D28" s="7" t="s">
        <v>1002</v>
      </c>
      <c r="E28" s="7" t="s">
        <v>959</v>
      </c>
      <c r="F28" s="20">
        <v>45026</v>
      </c>
      <c r="G28" s="11" t="s">
        <v>967</v>
      </c>
      <c r="H28" s="7"/>
    </row>
    <row r="29" spans="1:8" ht="29.1">
      <c r="A29" s="3">
        <f>A28+1</f>
        <v>28</v>
      </c>
      <c r="B29" s="6" t="s">
        <v>1007</v>
      </c>
      <c r="C29" s="8" t="s">
        <v>6</v>
      </c>
      <c r="D29" s="7" t="s">
        <v>1002</v>
      </c>
      <c r="E29" s="7" t="s">
        <v>955</v>
      </c>
      <c r="F29" s="20">
        <f ca="1">TODAY()</f>
        <v>46203</v>
      </c>
      <c r="G29" s="11" t="s">
        <v>967</v>
      </c>
      <c r="H29" s="7"/>
    </row>
    <row r="30" spans="1:8" ht="29.1">
      <c r="A30" s="3">
        <f>A29+1</f>
        <v>29</v>
      </c>
      <c r="B30" s="6" t="s">
        <v>1008</v>
      </c>
      <c r="C30" s="8" t="s">
        <v>6</v>
      </c>
      <c r="D30" s="7" t="s">
        <v>1002</v>
      </c>
      <c r="E30" s="7" t="s">
        <v>955</v>
      </c>
      <c r="F30" s="20">
        <f ca="1">TODAY()</f>
        <v>46203</v>
      </c>
      <c r="G30" s="11" t="s">
        <v>967</v>
      </c>
      <c r="H30" s="7"/>
    </row>
    <row r="31" spans="1:8" ht="29.1">
      <c r="A31" s="3">
        <f>A30+1</f>
        <v>30</v>
      </c>
      <c r="B31" s="6" t="s">
        <v>1009</v>
      </c>
      <c r="C31" s="8" t="s">
        <v>6</v>
      </c>
      <c r="D31" s="7" t="s">
        <v>1002</v>
      </c>
      <c r="E31" s="7" t="s">
        <v>955</v>
      </c>
      <c r="F31" s="20">
        <f ca="1">TODAY()</f>
        <v>46203</v>
      </c>
      <c r="G31" s="11" t="s">
        <v>967</v>
      </c>
      <c r="H31" s="7"/>
    </row>
    <row r="32" spans="1:8" ht="29.1">
      <c r="A32" s="3">
        <v>31</v>
      </c>
      <c r="B32" s="6" t="s">
        <v>40</v>
      </c>
      <c r="C32" s="8" t="s">
        <v>6</v>
      </c>
      <c r="D32" s="7" t="s">
        <v>1002</v>
      </c>
      <c r="E32" s="7" t="s">
        <v>959</v>
      </c>
      <c r="F32" s="11" t="s">
        <v>1010</v>
      </c>
      <c r="G32" s="11" t="s">
        <v>967</v>
      </c>
      <c r="H32" s="7"/>
    </row>
    <row r="33" spans="1:8" ht="29.1">
      <c r="A33" s="3">
        <v>32</v>
      </c>
      <c r="B33" s="6" t="s">
        <v>42</v>
      </c>
      <c r="C33" s="8" t="s">
        <v>6</v>
      </c>
      <c r="D33" s="7" t="s">
        <v>1002</v>
      </c>
      <c r="E33" s="7" t="s">
        <v>959</v>
      </c>
      <c r="F33" s="11" t="s">
        <v>1010</v>
      </c>
      <c r="G33" s="11" t="s">
        <v>967</v>
      </c>
      <c r="H33" s="7"/>
    </row>
    <row r="34" spans="1:8" ht="29.1">
      <c r="A34" s="3">
        <v>33</v>
      </c>
      <c r="B34" s="6" t="s">
        <v>1011</v>
      </c>
      <c r="C34" s="8" t="s">
        <v>6</v>
      </c>
      <c r="D34" s="7" t="s">
        <v>1002</v>
      </c>
      <c r="E34" s="7" t="s">
        <v>959</v>
      </c>
      <c r="F34" s="11" t="s">
        <v>1010</v>
      </c>
      <c r="G34" s="11" t="s">
        <v>967</v>
      </c>
      <c r="H34" s="7"/>
    </row>
    <row r="35" spans="1:8" ht="29.1">
      <c r="A35" s="3">
        <v>34</v>
      </c>
      <c r="B35" s="6" t="s">
        <v>69</v>
      </c>
      <c r="C35" s="8" t="s">
        <v>6</v>
      </c>
      <c r="D35" s="7" t="s">
        <v>1002</v>
      </c>
      <c r="E35" s="7" t="s">
        <v>959</v>
      </c>
      <c r="F35" s="11" t="s">
        <v>1010</v>
      </c>
      <c r="G35" s="11" t="s">
        <v>967</v>
      </c>
      <c r="H35" s="7"/>
    </row>
    <row r="36" spans="1:8" ht="29.1">
      <c r="A36" s="3">
        <v>35</v>
      </c>
      <c r="B36" s="6" t="s">
        <v>100</v>
      </c>
      <c r="C36" s="8" t="s">
        <v>6</v>
      </c>
      <c r="D36" s="7" t="s">
        <v>1002</v>
      </c>
      <c r="E36" s="7" t="s">
        <v>959</v>
      </c>
      <c r="F36" s="11" t="s">
        <v>1010</v>
      </c>
      <c r="G36" s="11" t="s">
        <v>967</v>
      </c>
      <c r="H36" s="7"/>
    </row>
    <row r="37" spans="1:8" ht="29.1">
      <c r="A37" s="3">
        <v>36</v>
      </c>
      <c r="B37" s="65" t="s">
        <v>102</v>
      </c>
      <c r="C37" s="8" t="s">
        <v>6</v>
      </c>
      <c r="D37" s="7" t="s">
        <v>1002</v>
      </c>
      <c r="E37" s="7" t="s">
        <v>959</v>
      </c>
      <c r="F37" s="11" t="s">
        <v>1010</v>
      </c>
      <c r="G37" s="11" t="s">
        <v>967</v>
      </c>
      <c r="H37" s="7"/>
    </row>
    <row r="38" spans="1:8" ht="29.1">
      <c r="A38" s="3">
        <v>37</v>
      </c>
      <c r="B38" s="6" t="s">
        <v>109</v>
      </c>
      <c r="C38" s="8" t="s">
        <v>6</v>
      </c>
      <c r="D38" s="7" t="s">
        <v>1002</v>
      </c>
      <c r="E38" s="7" t="s">
        <v>959</v>
      </c>
      <c r="F38" s="11" t="s">
        <v>1010</v>
      </c>
      <c r="G38" s="11" t="s">
        <v>967</v>
      </c>
      <c r="H38" s="7"/>
    </row>
    <row r="39" spans="1:8" ht="29.1">
      <c r="A39" s="3">
        <v>38</v>
      </c>
      <c r="B39" s="6" t="s">
        <v>113</v>
      </c>
      <c r="C39" s="8" t="s">
        <v>6</v>
      </c>
      <c r="D39" s="7" t="s">
        <v>1002</v>
      </c>
      <c r="E39" s="7" t="s">
        <v>959</v>
      </c>
      <c r="F39" s="11" t="s">
        <v>1010</v>
      </c>
      <c r="G39" s="11" t="s">
        <v>967</v>
      </c>
      <c r="H39" s="7"/>
    </row>
    <row r="40" spans="1:8">
      <c r="A40" s="3"/>
      <c r="B40" s="6"/>
      <c r="C40" s="8"/>
      <c r="D40" s="7"/>
      <c r="E40" s="7"/>
      <c r="F40" s="11"/>
      <c r="G40" s="11"/>
      <c r="H40" s="7"/>
    </row>
    <row r="41" spans="1:8">
      <c r="A41" s="3"/>
      <c r="B41" s="6"/>
      <c r="C41" s="8"/>
      <c r="D41" s="7"/>
      <c r="E41" s="7"/>
      <c r="F41" s="11"/>
      <c r="G41" s="11"/>
      <c r="H41" s="7"/>
    </row>
    <row r="42" spans="1:8">
      <c r="A42" s="3"/>
      <c r="B42" s="6"/>
      <c r="C42" s="8"/>
      <c r="D42" s="7"/>
      <c r="E42" s="7"/>
      <c r="F42" s="11"/>
      <c r="G42" s="11"/>
      <c r="H42" s="7"/>
    </row>
    <row r="43" spans="1:8">
      <c r="A43" s="3"/>
      <c r="B43" s="6"/>
      <c r="C43" s="8"/>
      <c r="D43" s="7"/>
      <c r="E43" s="7"/>
      <c r="F43" s="11"/>
      <c r="G43" s="11"/>
      <c r="H43" s="7"/>
    </row>
    <row r="44" spans="1:8">
      <c r="A44" s="3"/>
      <c r="B44" s="6"/>
      <c r="C44" s="8"/>
      <c r="D44" s="7"/>
      <c r="E44" s="7"/>
      <c r="F44" s="11"/>
      <c r="G44" s="11"/>
      <c r="H44" s="7"/>
    </row>
    <row r="45" spans="1:8">
      <c r="A45" s="3"/>
      <c r="B45" s="6"/>
      <c r="C45" s="8"/>
      <c r="D45" s="7"/>
      <c r="E45" s="7"/>
      <c r="F45" s="11"/>
      <c r="G45" s="11"/>
      <c r="H45" s="7"/>
    </row>
    <row r="46" spans="1:8">
      <c r="A46" s="3"/>
      <c r="B46" s="6"/>
      <c r="C46" s="8"/>
      <c r="D46" s="7"/>
      <c r="E46" s="7"/>
      <c r="F46" s="11"/>
      <c r="G46" s="11"/>
      <c r="H46" s="7"/>
    </row>
    <row r="47" spans="1:8">
      <c r="A47" s="3"/>
      <c r="B47" s="6"/>
      <c r="C47" s="8"/>
      <c r="D47" s="7"/>
      <c r="E47" s="7"/>
      <c r="F47" s="11"/>
      <c r="G47" s="11"/>
      <c r="H47" s="7"/>
    </row>
    <row r="48" spans="1:8">
      <c r="A48" s="3"/>
      <c r="B48" s="6"/>
      <c r="C48" s="8"/>
      <c r="D48" s="7"/>
      <c r="E48" s="7"/>
      <c r="F48" s="11"/>
      <c r="G48" s="11"/>
      <c r="H48" s="7"/>
    </row>
    <row r="49" spans="1:8">
      <c r="A49" s="3"/>
      <c r="B49" s="6"/>
      <c r="C49" s="8"/>
      <c r="D49" s="7"/>
      <c r="E49" s="7"/>
      <c r="F49" s="11"/>
      <c r="G49" s="11"/>
      <c r="H49" s="7"/>
    </row>
    <row r="50" spans="1:8">
      <c r="A50" s="3"/>
      <c r="B50" s="6"/>
      <c r="C50" s="8"/>
      <c r="D50" s="7"/>
      <c r="E50" s="7"/>
      <c r="F50" s="11"/>
      <c r="G50" s="11"/>
      <c r="H50" s="7"/>
    </row>
    <row r="51" spans="1:8">
      <c r="A51" s="3"/>
      <c r="B51" s="6"/>
      <c r="C51" s="8"/>
      <c r="D51" s="7"/>
      <c r="E51" s="7"/>
      <c r="F51" s="11"/>
      <c r="G51" s="11"/>
      <c r="H51" s="7"/>
    </row>
    <row r="52" spans="1:8">
      <c r="A52" s="3"/>
      <c r="B52" s="6"/>
      <c r="C52" s="8"/>
      <c r="D52" s="7"/>
      <c r="E52" s="7"/>
      <c r="F52" s="11"/>
      <c r="G52" s="11"/>
      <c r="H52" s="7"/>
    </row>
    <row r="53" spans="1:8">
      <c r="A53" s="3"/>
      <c r="B53" s="6"/>
      <c r="C53" s="8"/>
      <c r="D53" s="7"/>
      <c r="E53" s="7"/>
      <c r="F53" s="11"/>
      <c r="G53" s="11"/>
      <c r="H53" s="7"/>
    </row>
    <row r="54" spans="1:8">
      <c r="A54" s="3"/>
      <c r="B54" s="6"/>
      <c r="C54" s="8"/>
      <c r="D54" s="7"/>
      <c r="E54" s="7"/>
      <c r="F54" s="11"/>
      <c r="G54" s="11"/>
      <c r="H54" s="7"/>
    </row>
    <row r="55" spans="1:8">
      <c r="A55" s="3"/>
      <c r="B55" s="6"/>
      <c r="C55" s="8"/>
      <c r="D55" s="7"/>
      <c r="E55" s="7"/>
      <c r="F55" s="11"/>
      <c r="G55" s="11"/>
      <c r="H55" s="7"/>
    </row>
    <row r="56" spans="1:8">
      <c r="A56" s="3"/>
      <c r="B56" s="6"/>
      <c r="C56" s="8"/>
      <c r="D56" s="7"/>
      <c r="E56" s="7"/>
      <c r="F56" s="11"/>
      <c r="G56" s="11"/>
      <c r="H56" s="7"/>
    </row>
    <row r="57" spans="1:8">
      <c r="A57" s="3"/>
      <c r="B57" s="6"/>
      <c r="C57" s="8"/>
      <c r="D57" s="7"/>
      <c r="E57" s="7"/>
      <c r="F57" s="11"/>
      <c r="G57" s="11"/>
      <c r="H57" s="7"/>
    </row>
    <row r="58" spans="1:8">
      <c r="A58" s="3"/>
      <c r="B58" s="6"/>
      <c r="C58" s="8"/>
      <c r="D58" s="7"/>
      <c r="E58" s="7"/>
      <c r="F58" s="11"/>
      <c r="G58" s="11"/>
      <c r="H58" s="7"/>
    </row>
    <row r="59" spans="1:8">
      <c r="A59" s="3"/>
      <c r="B59" s="6"/>
      <c r="C59" s="8"/>
      <c r="D59" s="7"/>
      <c r="E59" s="7"/>
      <c r="F59" s="11"/>
      <c r="G59" s="11"/>
      <c r="H59" s="7"/>
    </row>
  </sheetData>
  <autoFilter ref="A1:H10" xr:uid="{2CF53ABD-E003-47BF-9D14-E37A5E883A8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B8A5-86C3-412E-8CD3-4F91051B746C}">
  <dimension ref="A1:M43"/>
  <sheetViews>
    <sheetView workbookViewId="0">
      <pane xSplit="4" ySplit="1" topLeftCell="E11" activePane="bottomRight" state="frozen"/>
      <selection pane="bottomRight" activeCell="C24" sqref="C24"/>
      <selection pane="bottomLeft"/>
      <selection pane="topRight"/>
    </sheetView>
  </sheetViews>
  <sheetFormatPr defaultColWidth="9.140625" defaultRowHeight="15" customHeight="1"/>
  <cols>
    <col min="1" max="1" width="4.42578125" style="2" customWidth="1"/>
    <col min="2" max="2" width="8.140625" style="2" bestFit="1" customWidth="1"/>
    <col min="3" max="3" width="36.5703125" style="72" customWidth="1"/>
    <col min="4" max="4" width="40.5703125" style="1" bestFit="1" customWidth="1"/>
    <col min="5" max="5" width="32.42578125" style="72" bestFit="1" customWidth="1"/>
    <col min="6" max="6" width="27.28515625" style="153" bestFit="1" customWidth="1"/>
    <col min="7" max="7" width="38.28515625" style="1" bestFit="1" customWidth="1"/>
    <col min="8" max="8" width="79.28515625" style="1" bestFit="1" customWidth="1"/>
    <col min="9" max="9" width="23.42578125" style="72" bestFit="1" customWidth="1"/>
    <col min="10" max="10" width="16.42578125" style="214" bestFit="1" customWidth="1"/>
    <col min="11" max="11" width="13.5703125" style="1" bestFit="1" customWidth="1"/>
    <col min="12" max="12" width="34.85546875" style="1" bestFit="1" customWidth="1"/>
    <col min="13" max="13" width="10.28515625" style="1" bestFit="1" customWidth="1"/>
    <col min="14" max="16384" width="9.140625" style="1"/>
  </cols>
  <sheetData>
    <row r="1" spans="1:13" s="2" customFormat="1" ht="29.1">
      <c r="A1" s="161" t="s">
        <v>10</v>
      </c>
      <c r="B1" s="161" t="s">
        <v>14</v>
      </c>
      <c r="C1" s="161" t="s">
        <v>1012</v>
      </c>
      <c r="D1" s="35" t="s">
        <v>1013</v>
      </c>
      <c r="E1" s="161" t="s">
        <v>1014</v>
      </c>
      <c r="F1" s="162" t="s">
        <v>1015</v>
      </c>
      <c r="G1" s="161" t="s">
        <v>1016</v>
      </c>
      <c r="H1" s="161" t="s">
        <v>1017</v>
      </c>
      <c r="I1" s="161" t="s">
        <v>1018</v>
      </c>
      <c r="J1" s="162" t="s">
        <v>1019</v>
      </c>
      <c r="K1" s="162" t="s">
        <v>1020</v>
      </c>
      <c r="L1" s="162" t="s">
        <v>1021</v>
      </c>
      <c r="M1" s="162" t="s">
        <v>1022</v>
      </c>
    </row>
    <row r="2" spans="1:13" ht="29.1" customHeight="1">
      <c r="A2" s="157">
        <v>1</v>
      </c>
      <c r="B2" s="338" t="s">
        <v>31</v>
      </c>
      <c r="C2" s="148" t="s">
        <v>32</v>
      </c>
      <c r="D2" s="158" t="s">
        <v>1023</v>
      </c>
      <c r="E2" s="148"/>
      <c r="F2" s="160"/>
      <c r="G2" s="159"/>
      <c r="H2" s="163"/>
      <c r="I2" s="148"/>
      <c r="J2" s="214" t="s">
        <v>1024</v>
      </c>
      <c r="K2" s="1" t="s">
        <v>1025</v>
      </c>
      <c r="L2" s="1" t="s">
        <v>1026</v>
      </c>
      <c r="M2" s="1" t="s">
        <v>1027</v>
      </c>
    </row>
    <row r="3" spans="1:13" ht="14.45" customHeight="1">
      <c r="A3" s="3">
        <f>A2+1</f>
        <v>2</v>
      </c>
      <c r="B3" s="339"/>
      <c r="C3" s="71" t="s">
        <v>47</v>
      </c>
      <c r="D3" s="155" t="s">
        <v>1028</v>
      </c>
      <c r="E3" s="71"/>
      <c r="F3" s="149"/>
      <c r="G3" s="22"/>
      <c r="H3" s="164"/>
      <c r="I3" s="71"/>
    </row>
    <row r="4" spans="1:13" ht="14.45" customHeight="1">
      <c r="A4" s="157">
        <v>2</v>
      </c>
      <c r="B4" s="339"/>
      <c r="C4" s="71" t="s">
        <v>61</v>
      </c>
      <c r="D4" s="155" t="s">
        <v>1029</v>
      </c>
      <c r="E4" s="71"/>
      <c r="F4" s="150"/>
      <c r="G4" s="36"/>
      <c r="H4" s="165"/>
      <c r="I4" s="70"/>
    </row>
    <row r="5" spans="1:13" ht="14.45" customHeight="1">
      <c r="A5" s="3">
        <f t="shared" ref="A5:A9" si="0">A4+1</f>
        <v>3</v>
      </c>
      <c r="B5" s="339"/>
      <c r="C5" s="70" t="s">
        <v>1030</v>
      </c>
      <c r="D5" s="156" t="s">
        <v>1029</v>
      </c>
      <c r="E5" s="155"/>
      <c r="F5" s="149"/>
      <c r="G5" s="22"/>
      <c r="H5" s="71"/>
      <c r="I5" s="71"/>
    </row>
    <row r="6" spans="1:13" ht="14.45" customHeight="1">
      <c r="A6" s="157">
        <v>3</v>
      </c>
      <c r="B6" s="339"/>
      <c r="C6" s="70" t="s">
        <v>67</v>
      </c>
      <c r="D6" s="156" t="s">
        <v>1031</v>
      </c>
      <c r="E6" s="155"/>
      <c r="F6" s="149"/>
      <c r="G6" s="22"/>
      <c r="H6" s="71"/>
      <c r="I6" s="71"/>
    </row>
    <row r="7" spans="1:13" ht="14.45" customHeight="1">
      <c r="A7" s="3">
        <f t="shared" ref="A7:A9" si="1">A6+1</f>
        <v>4</v>
      </c>
      <c r="B7" s="339"/>
      <c r="C7" s="70" t="s">
        <v>64</v>
      </c>
      <c r="D7" s="156" t="s">
        <v>1032</v>
      </c>
      <c r="E7" s="156"/>
      <c r="F7" s="150"/>
      <c r="G7" s="203" t="s">
        <v>1033</v>
      </c>
      <c r="H7" s="70"/>
      <c r="I7" s="70"/>
    </row>
    <row r="8" spans="1:13" ht="14.45" customHeight="1">
      <c r="A8" s="157">
        <v>4</v>
      </c>
      <c r="B8" s="339"/>
      <c r="C8" s="70" t="s">
        <v>395</v>
      </c>
      <c r="D8" s="156" t="s">
        <v>1034</v>
      </c>
      <c r="E8" s="156"/>
      <c r="F8" s="150"/>
      <c r="G8" s="36"/>
      <c r="H8" s="70"/>
      <c r="I8" s="70"/>
    </row>
    <row r="9" spans="1:13" ht="14.45" customHeight="1">
      <c r="A9" s="3">
        <f t="shared" ref="A9" si="2">A8+1</f>
        <v>5</v>
      </c>
      <c r="B9" s="339"/>
      <c r="C9" s="70" t="s">
        <v>364</v>
      </c>
      <c r="D9" s="156" t="s">
        <v>1035</v>
      </c>
      <c r="E9" s="156" t="s">
        <v>1036</v>
      </c>
      <c r="F9" s="215" t="s">
        <v>1037</v>
      </c>
      <c r="G9" s="36"/>
      <c r="H9" s="70" t="s">
        <v>1038</v>
      </c>
      <c r="I9" s="70"/>
      <c r="J9" s="214" t="s">
        <v>1039</v>
      </c>
      <c r="K9" s="1" t="s">
        <v>1040</v>
      </c>
      <c r="L9" s="1" t="s">
        <v>1041</v>
      </c>
      <c r="M9" s="1" t="s">
        <v>1042</v>
      </c>
    </row>
    <row r="10" spans="1:13" ht="14.45" customHeight="1">
      <c r="A10" s="23"/>
      <c r="B10" s="339"/>
      <c r="C10" s="70" t="s">
        <v>468</v>
      </c>
      <c r="D10" s="156" t="s">
        <v>1043</v>
      </c>
      <c r="E10" s="259"/>
      <c r="F10" s="215"/>
      <c r="G10" s="36"/>
      <c r="H10" s="70"/>
      <c r="I10" s="70"/>
    </row>
    <row r="11" spans="1:13" ht="14.45" customHeight="1">
      <c r="A11" s="23"/>
      <c r="B11" s="339"/>
      <c r="C11" s="70" t="s">
        <v>509</v>
      </c>
      <c r="D11" s="156" t="s">
        <v>1044</v>
      </c>
      <c r="E11" s="259"/>
      <c r="F11" s="215"/>
      <c r="G11" s="36"/>
      <c r="H11" s="70"/>
      <c r="I11" s="70"/>
    </row>
    <row r="12" spans="1:13" ht="14.45" customHeight="1">
      <c r="A12" s="23"/>
      <c r="B12" s="339"/>
      <c r="C12" s="70" t="s">
        <v>836</v>
      </c>
      <c r="D12" s="156" t="s">
        <v>1045</v>
      </c>
      <c r="E12" s="259"/>
      <c r="F12" s="215"/>
      <c r="G12" s="36"/>
      <c r="H12" s="70"/>
      <c r="I12" s="70"/>
    </row>
    <row r="13" spans="1:13" ht="14.45">
      <c r="A13" s="23">
        <f>A9+1</f>
        <v>6</v>
      </c>
      <c r="B13" s="340"/>
      <c r="C13" s="70" t="s">
        <v>438</v>
      </c>
      <c r="D13" s="156" t="s">
        <v>1029</v>
      </c>
      <c r="E13" s="259" t="s">
        <v>1046</v>
      </c>
      <c r="F13" s="260" t="s">
        <v>1047</v>
      </c>
      <c r="G13" s="203" t="s">
        <v>1048</v>
      </c>
      <c r="H13" s="70" t="s">
        <v>1049</v>
      </c>
      <c r="I13" s="261" t="s">
        <v>1050</v>
      </c>
    </row>
    <row r="14" spans="1:13" ht="29.1" customHeight="1">
      <c r="A14" s="23">
        <f t="shared" ref="A14:A15" si="3">A13+1</f>
        <v>7</v>
      </c>
      <c r="B14" s="338" t="s">
        <v>53</v>
      </c>
      <c r="C14" s="71" t="s">
        <v>1051</v>
      </c>
      <c r="D14" s="147" t="s">
        <v>1052</v>
      </c>
      <c r="E14" s="223" t="s">
        <v>1053</v>
      </c>
      <c r="F14" s="116" t="s">
        <v>1054</v>
      </c>
      <c r="G14" s="25" t="s">
        <v>1055</v>
      </c>
      <c r="H14" s="147" t="s">
        <v>1056</v>
      </c>
      <c r="I14" s="147" t="s">
        <v>1057</v>
      </c>
    </row>
    <row r="15" spans="1:13" ht="14.45" customHeight="1">
      <c r="A15" s="23">
        <f t="shared" si="3"/>
        <v>8</v>
      </c>
      <c r="B15" s="339"/>
      <c r="C15" s="341" t="s">
        <v>58</v>
      </c>
      <c r="D15" s="344" t="s">
        <v>1058</v>
      </c>
      <c r="E15" s="223" t="s">
        <v>1059</v>
      </c>
      <c r="F15" s="116" t="s">
        <v>1060</v>
      </c>
      <c r="G15" s="154" t="s">
        <v>1061</v>
      </c>
      <c r="H15" s="147" t="s">
        <v>1062</v>
      </c>
      <c r="I15" s="147" t="s">
        <v>1063</v>
      </c>
    </row>
    <row r="16" spans="1:13" ht="14.45" customHeight="1">
      <c r="A16" s="23">
        <f t="shared" ref="A16:A39" si="4">A15+1</f>
        <v>9</v>
      </c>
      <c r="B16" s="339"/>
      <c r="C16" s="343"/>
      <c r="D16" s="346"/>
      <c r="E16" s="223" t="s">
        <v>1064</v>
      </c>
      <c r="F16" s="116"/>
      <c r="G16" s="154" t="s">
        <v>1065</v>
      </c>
      <c r="H16" s="147"/>
      <c r="I16" s="147"/>
    </row>
    <row r="17" spans="1:9" ht="14.45" customHeight="1">
      <c r="A17" s="23">
        <f t="shared" si="4"/>
        <v>10</v>
      </c>
      <c r="B17" s="339"/>
      <c r="C17" s="341" t="s">
        <v>267</v>
      </c>
      <c r="D17" s="344" t="s">
        <v>1066</v>
      </c>
      <c r="E17" s="223" t="s">
        <v>1067</v>
      </c>
      <c r="F17" s="116" t="s">
        <v>1068</v>
      </c>
      <c r="G17" s="25" t="s">
        <v>1069</v>
      </c>
      <c r="H17" s="71" t="s">
        <v>1070</v>
      </c>
      <c r="I17" s="147"/>
    </row>
    <row r="18" spans="1:9" ht="14.45" customHeight="1">
      <c r="A18" s="23">
        <f t="shared" si="4"/>
        <v>11</v>
      </c>
      <c r="B18" s="339"/>
      <c r="C18" s="342"/>
      <c r="D18" s="345"/>
      <c r="E18" s="223" t="s">
        <v>1071</v>
      </c>
      <c r="F18" s="116" t="s">
        <v>1072</v>
      </c>
      <c r="G18" s="154" t="s">
        <v>1073</v>
      </c>
      <c r="H18" s="71"/>
      <c r="I18" s="147"/>
    </row>
    <row r="19" spans="1:9" ht="14.45" customHeight="1">
      <c r="A19" s="23">
        <f t="shared" si="4"/>
        <v>12</v>
      </c>
      <c r="B19" s="339"/>
      <c r="C19" s="343"/>
      <c r="D19" s="346"/>
      <c r="E19" s="223" t="s">
        <v>1074</v>
      </c>
      <c r="F19" s="116"/>
      <c r="G19" s="154" t="s">
        <v>1075</v>
      </c>
      <c r="H19" s="71"/>
      <c r="I19" s="147"/>
    </row>
    <row r="20" spans="1:9" ht="14.45" customHeight="1">
      <c r="A20" s="23">
        <f t="shared" si="4"/>
        <v>13</v>
      </c>
      <c r="B20" s="339"/>
      <c r="C20" s="71" t="s">
        <v>54</v>
      </c>
      <c r="D20" s="71" t="s">
        <v>1076</v>
      </c>
      <c r="E20" s="223" t="s">
        <v>1077</v>
      </c>
      <c r="F20" s="116" t="s">
        <v>1078</v>
      </c>
      <c r="G20" s="25" t="s">
        <v>1079</v>
      </c>
      <c r="H20" s="147" t="s">
        <v>1080</v>
      </c>
      <c r="I20" s="147" t="s">
        <v>1081</v>
      </c>
    </row>
    <row r="21" spans="1:9" ht="14.45" customHeight="1">
      <c r="A21" s="23">
        <f t="shared" si="4"/>
        <v>14</v>
      </c>
      <c r="B21" s="339"/>
      <c r="C21" s="71" t="s">
        <v>1082</v>
      </c>
      <c r="D21" s="71" t="s">
        <v>1029</v>
      </c>
      <c r="E21" s="164" t="s">
        <v>1083</v>
      </c>
      <c r="F21" s="151" t="s">
        <v>1084</v>
      </c>
      <c r="G21" s="56" t="s">
        <v>1085</v>
      </c>
      <c r="H21" s="71"/>
      <c r="I21" s="71"/>
    </row>
    <row r="22" spans="1:9" ht="14.25" customHeight="1">
      <c r="A22" s="23">
        <f t="shared" si="4"/>
        <v>15</v>
      </c>
      <c r="B22" s="339"/>
      <c r="C22" s="71" t="s">
        <v>86</v>
      </c>
      <c r="D22" s="71" t="s">
        <v>1029</v>
      </c>
      <c r="E22" s="164" t="s">
        <v>1086</v>
      </c>
      <c r="F22" s="151" t="s">
        <v>1087</v>
      </c>
      <c r="G22" s="56" t="s">
        <v>1088</v>
      </c>
      <c r="H22" s="71"/>
      <c r="I22" s="71"/>
    </row>
    <row r="23" spans="1:9" ht="14.45" customHeight="1">
      <c r="A23" s="23">
        <f t="shared" si="4"/>
        <v>16</v>
      </c>
      <c r="B23" s="339"/>
      <c r="C23" s="71" t="s">
        <v>191</v>
      </c>
      <c r="D23" s="71" t="s">
        <v>1029</v>
      </c>
      <c r="E23" s="164" t="s">
        <v>1089</v>
      </c>
      <c r="F23" s="151" t="s">
        <v>1090</v>
      </c>
      <c r="G23" s="56" t="s">
        <v>1091</v>
      </c>
      <c r="H23" s="71"/>
      <c r="I23" s="71"/>
    </row>
    <row r="24" spans="1:9" ht="14.45" customHeight="1">
      <c r="A24" s="23">
        <f t="shared" si="4"/>
        <v>17</v>
      </c>
      <c r="B24" s="339"/>
      <c r="C24" s="71" t="s">
        <v>107</v>
      </c>
      <c r="D24" s="71" t="s">
        <v>1029</v>
      </c>
      <c r="E24" s="164" t="s">
        <v>1092</v>
      </c>
      <c r="F24" s="152" t="s">
        <v>1093</v>
      </c>
      <c r="G24" s="56" t="s">
        <v>1094</v>
      </c>
      <c r="H24" s="71"/>
      <c r="I24" s="71"/>
    </row>
    <row r="25" spans="1:9" ht="14.45" customHeight="1">
      <c r="A25" s="23">
        <f t="shared" si="4"/>
        <v>18</v>
      </c>
      <c r="B25" s="339"/>
      <c r="C25" s="71" t="s">
        <v>1095</v>
      </c>
      <c r="D25" s="71" t="s">
        <v>1096</v>
      </c>
      <c r="E25" s="164" t="s">
        <v>1097</v>
      </c>
      <c r="F25" s="151" t="s">
        <v>1098</v>
      </c>
      <c r="G25" s="56" t="s">
        <v>1099</v>
      </c>
      <c r="H25" s="71"/>
      <c r="I25" s="71"/>
    </row>
    <row r="26" spans="1:9" ht="14.45" customHeight="1">
      <c r="A26" s="23">
        <f t="shared" si="4"/>
        <v>19</v>
      </c>
      <c r="B26" s="339"/>
      <c r="C26" s="71" t="s">
        <v>821</v>
      </c>
      <c r="D26" s="71" t="s">
        <v>1100</v>
      </c>
      <c r="E26" s="164" t="s">
        <v>1101</v>
      </c>
      <c r="F26" s="151" t="s">
        <v>1102</v>
      </c>
      <c r="G26" s="56" t="s">
        <v>1103</v>
      </c>
      <c r="H26" s="71"/>
      <c r="I26" s="71"/>
    </row>
    <row r="27" spans="1:9" ht="14.45" customHeight="1">
      <c r="A27" s="23">
        <f t="shared" si="4"/>
        <v>20</v>
      </c>
      <c r="B27" s="339"/>
      <c r="C27" s="71" t="s">
        <v>211</v>
      </c>
      <c r="D27" s="71" t="s">
        <v>1104</v>
      </c>
      <c r="E27" s="164" t="s">
        <v>1105</v>
      </c>
      <c r="F27" s="151" t="s">
        <v>1106</v>
      </c>
      <c r="G27" s="56" t="s">
        <v>1107</v>
      </c>
      <c r="H27" s="71"/>
      <c r="I27" s="71"/>
    </row>
    <row r="28" spans="1:9" ht="14.45" customHeight="1">
      <c r="A28" s="23">
        <f t="shared" si="4"/>
        <v>21</v>
      </c>
      <c r="B28" s="339"/>
      <c r="C28" s="71" t="s">
        <v>195</v>
      </c>
      <c r="D28" s="71" t="s">
        <v>1108</v>
      </c>
      <c r="E28" s="164" t="s">
        <v>1109</v>
      </c>
      <c r="F28" s="151" t="s">
        <v>1110</v>
      </c>
      <c r="G28" s="56" t="s">
        <v>1111</v>
      </c>
      <c r="H28" s="71"/>
      <c r="I28" s="71"/>
    </row>
    <row r="29" spans="1:9" ht="14.45" customHeight="1">
      <c r="A29" s="23">
        <f t="shared" si="4"/>
        <v>22</v>
      </c>
      <c r="B29" s="339"/>
      <c r="C29" s="71" t="s">
        <v>230</v>
      </c>
      <c r="D29" s="71" t="s">
        <v>1029</v>
      </c>
      <c r="E29" s="164" t="s">
        <v>1112</v>
      </c>
      <c r="F29" s="151" t="s">
        <v>1113</v>
      </c>
      <c r="G29" s="56" t="s">
        <v>1114</v>
      </c>
      <c r="H29" s="71"/>
      <c r="I29" s="71"/>
    </row>
    <row r="30" spans="1:9" ht="14.45" customHeight="1">
      <c r="A30" s="23">
        <f>A29+1</f>
        <v>23</v>
      </c>
      <c r="B30" s="339"/>
      <c r="C30" s="71" t="s">
        <v>305</v>
      </c>
      <c r="D30" s="71" t="s">
        <v>1108</v>
      </c>
      <c r="E30" s="164" t="s">
        <v>1115</v>
      </c>
      <c r="F30" s="151"/>
      <c r="G30" s="56"/>
      <c r="H30" s="71"/>
      <c r="I30" s="71"/>
    </row>
    <row r="31" spans="1:9" ht="14.45" customHeight="1">
      <c r="A31" s="23">
        <f t="shared" si="4"/>
        <v>24</v>
      </c>
      <c r="B31" s="339"/>
      <c r="C31" s="71" t="s">
        <v>414</v>
      </c>
      <c r="D31" s="71" t="s">
        <v>1029</v>
      </c>
      <c r="E31" s="164" t="s">
        <v>1116</v>
      </c>
      <c r="F31" s="151"/>
      <c r="G31" s="56" t="s">
        <v>1117</v>
      </c>
      <c r="H31" s="71"/>
      <c r="I31" s="71"/>
    </row>
    <row r="32" spans="1:9" ht="14.45" customHeight="1">
      <c r="A32" s="23"/>
      <c r="B32" s="339"/>
      <c r="C32" s="71" t="s">
        <v>839</v>
      </c>
      <c r="D32" s="71" t="s">
        <v>1029</v>
      </c>
      <c r="E32" s="164"/>
      <c r="F32" s="151"/>
      <c r="G32" s="56"/>
      <c r="H32" s="71"/>
      <c r="I32" s="71"/>
    </row>
    <row r="33" spans="1:9" ht="14.45" customHeight="1">
      <c r="A33" s="23"/>
      <c r="B33" s="339"/>
      <c r="C33" s="71" t="s">
        <v>546</v>
      </c>
      <c r="D33" s="71" t="s">
        <v>1029</v>
      </c>
      <c r="E33" s="164" t="s">
        <v>1118</v>
      </c>
      <c r="F33" s="151"/>
      <c r="G33" s="56"/>
      <c r="H33" s="71"/>
      <c r="I33" s="71"/>
    </row>
    <row r="34" spans="1:9" ht="14.45" customHeight="1">
      <c r="A34" s="23">
        <f>A31+1</f>
        <v>25</v>
      </c>
      <c r="B34" s="339"/>
      <c r="C34" s="71" t="s">
        <v>116</v>
      </c>
      <c r="D34" s="71" t="s">
        <v>1029</v>
      </c>
      <c r="E34" s="164" t="s">
        <v>1119</v>
      </c>
      <c r="F34" s="152"/>
      <c r="G34" s="3"/>
      <c r="H34" s="71"/>
      <c r="I34" s="71"/>
    </row>
    <row r="35" spans="1:9" ht="14.45" customHeight="1">
      <c r="A35" s="23"/>
      <c r="B35" s="339"/>
      <c r="C35" s="70" t="s">
        <v>801</v>
      </c>
      <c r="D35" s="70" t="s">
        <v>1120</v>
      </c>
      <c r="E35" s="164"/>
      <c r="F35" s="152"/>
      <c r="G35" s="3"/>
      <c r="H35" s="71"/>
      <c r="I35" s="71"/>
    </row>
    <row r="36" spans="1:9" ht="14.45" customHeight="1">
      <c r="A36" s="23"/>
      <c r="B36" s="339"/>
      <c r="C36" s="70" t="s">
        <v>818</v>
      </c>
      <c r="D36" s="70" t="s">
        <v>1121</v>
      </c>
      <c r="E36" s="164"/>
      <c r="F36" s="152"/>
      <c r="G36" s="3"/>
      <c r="H36" s="71"/>
      <c r="I36" s="71"/>
    </row>
    <row r="37" spans="1:9" ht="14.45" customHeight="1">
      <c r="A37" s="23"/>
      <c r="B37" s="339"/>
      <c r="C37" s="70" t="s">
        <v>821</v>
      </c>
      <c r="D37" s="70" t="s">
        <v>1122</v>
      </c>
      <c r="E37" s="164"/>
      <c r="F37" s="152"/>
      <c r="G37" s="3"/>
      <c r="H37" s="71"/>
      <c r="I37" s="71"/>
    </row>
    <row r="38" spans="1:9">
      <c r="A38" s="23">
        <f>A34+1</f>
        <v>26</v>
      </c>
      <c r="B38" s="340"/>
      <c r="C38" s="70" t="s">
        <v>427</v>
      </c>
      <c r="D38" s="70" t="s">
        <v>1123</v>
      </c>
      <c r="E38" s="164"/>
      <c r="F38" s="152"/>
      <c r="G38" s="3"/>
      <c r="H38" s="71"/>
      <c r="I38" s="71"/>
    </row>
    <row r="39" spans="1:9" ht="14.45" customHeight="1">
      <c r="A39" s="23">
        <f t="shared" si="4"/>
        <v>27</v>
      </c>
      <c r="B39" s="336" t="s">
        <v>1124</v>
      </c>
      <c r="C39" s="222" t="s">
        <v>138</v>
      </c>
      <c r="D39" s="222" t="s">
        <v>1125</v>
      </c>
      <c r="E39" s="222" t="s">
        <v>1125</v>
      </c>
      <c r="F39" s="149"/>
      <c r="G39" s="56" t="s">
        <v>1126</v>
      </c>
      <c r="H39" s="71"/>
      <c r="I39" s="71"/>
    </row>
    <row r="40" spans="1:9" ht="14.45" customHeight="1">
      <c r="B40" s="337"/>
      <c r="C40" s="72" t="s">
        <v>630</v>
      </c>
      <c r="D40" s="1" t="s">
        <v>1127</v>
      </c>
    </row>
    <row r="41" spans="1:9" ht="15" customHeight="1">
      <c r="C41" s="72" t="s">
        <v>643</v>
      </c>
      <c r="D41" s="1" t="s">
        <v>1128</v>
      </c>
    </row>
    <row r="42" spans="1:9" ht="15" customHeight="1">
      <c r="C42" s="72" t="s">
        <v>768</v>
      </c>
    </row>
    <row r="43" spans="1:9" ht="15" customHeight="1">
      <c r="C43" s="72" t="s">
        <v>842</v>
      </c>
      <c r="D43" s="1" t="s">
        <v>1129</v>
      </c>
    </row>
  </sheetData>
  <mergeCells count="7">
    <mergeCell ref="B39:B40"/>
    <mergeCell ref="B2:B13"/>
    <mergeCell ref="C17:C19"/>
    <mergeCell ref="D17:D19"/>
    <mergeCell ref="C15:C16"/>
    <mergeCell ref="D15:D16"/>
    <mergeCell ref="B14:B38"/>
  </mergeCells>
  <hyperlinks>
    <hyperlink ref="I20" r:id="rId1" xr:uid="{6389C654-5279-400D-87DE-F26122D3ACFD}"/>
    <hyperlink ref="I14" r:id="rId2" xr:uid="{3CF3EAA3-A5D2-43F9-AC0D-85BAFABB05B2}"/>
    <hyperlink ref="I15" r:id="rId3" xr:uid="{5A040E8A-C8EF-47A6-B5F0-E35448C5845C}"/>
    <hyperlink ref="G20" r:id="rId4" xr:uid="{86CEBD49-C519-4B3D-ADEC-E64B17A58AF3}"/>
    <hyperlink ref="G17" r:id="rId5" xr:uid="{244EB8B2-C323-4027-8A7E-046B8179BBBF}"/>
    <hyperlink ref="G14" r:id="rId6" xr:uid="{24053157-BBDB-4EEE-9ECB-7BD4AB4472CD}"/>
    <hyperlink ref="G21" r:id="rId7" xr:uid="{512AF8AE-4F1E-4E75-8CB2-B7C420E9A241}"/>
    <hyperlink ref="G22" r:id="rId8" xr:uid="{81A756ED-967C-40C3-BBFB-6119E4B3E7BC}"/>
    <hyperlink ref="G23" r:id="rId9" xr:uid="{4D637325-53FE-4972-85A0-D2F5A546D1B4}"/>
    <hyperlink ref="G24" r:id="rId10" xr:uid="{06FD4425-6ACA-4F7E-9F0B-A7579CE162C1}"/>
    <hyperlink ref="G25" r:id="rId11" xr:uid="{BD87F5D3-C8A0-4E12-A7B7-E9A336A98348}"/>
    <hyperlink ref="G26" r:id="rId12" xr:uid="{9120C8A5-9F97-46C4-9AD9-3B4A3486836E}"/>
    <hyperlink ref="G39" r:id="rId13" xr:uid="{D23452D2-D4B7-4EFF-91F2-3CF2EDF75263}"/>
    <hyperlink ref="G18" r:id="rId14" xr:uid="{7A16A147-12CC-40E6-A44B-7090118FF44F}"/>
    <hyperlink ref="G19" r:id="rId15" xr:uid="{9155DFA6-A331-4AD3-AD15-8C6E8718C0DB}"/>
    <hyperlink ref="G15" r:id="rId16" xr:uid="{E8C51ACD-5045-4CFF-98C8-DB8EB14B0A37}"/>
    <hyperlink ref="G16" r:id="rId17" xr:uid="{12D9BCC1-4F29-4206-93D1-9DA9A37F4994}"/>
    <hyperlink ref="G28" r:id="rId18" xr:uid="{22AD67A5-DDF0-4558-9BF5-68662D36CB3A}"/>
    <hyperlink ref="G27" r:id="rId19" xr:uid="{989A00DD-F659-46D1-84C7-8196D133E296}"/>
    <hyperlink ref="G7" r:id="rId20" xr:uid="{6D6E8C34-3203-4689-9154-4C9677369051}"/>
    <hyperlink ref="G31" r:id="rId21" xr:uid="{6A43E1DA-9093-4317-8DA3-77451449199E}"/>
    <hyperlink ref="G13" r:id="rId22" xr:uid="{FDBC6D7F-4DF2-4271-900B-C63B265D2FAB}"/>
    <hyperlink ref="I13" r:id="rId23" xr:uid="{724985E2-80C2-4AEC-8DB0-85C2CDA78BD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0244633-fe53-457c-bf4a-663379417716">
      <Terms xmlns="http://schemas.microsoft.com/office/infopath/2007/PartnerControls"/>
    </lcf76f155ced4ddcb4097134ff3c332f>
    <TaxCatchAll xmlns="3398f5b3-d997-4a50-a652-14898b611e2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647EBF53701AE4DB4131FC12CF7C60B" ma:contentTypeVersion="15" ma:contentTypeDescription="Create a new document." ma:contentTypeScope="" ma:versionID="07e5e9f463471b202abd9e34724528eb">
  <xsd:schema xmlns:xsd="http://www.w3.org/2001/XMLSchema" xmlns:xs="http://www.w3.org/2001/XMLSchema" xmlns:p="http://schemas.microsoft.com/office/2006/metadata/properties" xmlns:ns2="30244633-fe53-457c-bf4a-663379417716" xmlns:ns3="3398f5b3-d997-4a50-a652-14898b611e26" targetNamespace="http://schemas.microsoft.com/office/2006/metadata/properties" ma:root="true" ma:fieldsID="45458df43ab81ec95c69fc9f41d0a973" ns2:_="" ns3:_="">
    <xsd:import namespace="30244633-fe53-457c-bf4a-663379417716"/>
    <xsd:import namespace="3398f5b3-d997-4a50-a652-14898b611e2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244633-fe53-457c-bf4a-6633794177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72ef673-cf9d-48ea-8c65-e3e907dd28d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98f5b3-d997-4a50-a652-14898b611e2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c6c3e78-916c-499e-bf1e-b4f14d2382af}" ma:internalName="TaxCatchAll" ma:showField="CatchAllData" ma:web="3398f5b3-d997-4a50-a652-14898b611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0FC425-A4D7-460A-90D1-51B1A3912DD8}"/>
</file>

<file path=customXml/itemProps2.xml><?xml version="1.0" encoding="utf-8"?>
<ds:datastoreItem xmlns:ds="http://schemas.openxmlformats.org/officeDocument/2006/customXml" ds:itemID="{9329BD76-E7D6-42CA-9145-0E9B7CB13294}"/>
</file>

<file path=customXml/itemProps3.xml><?xml version="1.0" encoding="utf-8"?>
<ds:datastoreItem xmlns:ds="http://schemas.openxmlformats.org/officeDocument/2006/customXml" ds:itemID="{D8A040D7-05F4-4E78-AA4D-88070C1E01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Luong Huu Quan</dc:creator>
  <cp:keywords/>
  <dc:description/>
  <cp:lastModifiedBy/>
  <cp:revision/>
  <dcterms:created xsi:type="dcterms:W3CDTF">2023-08-07T06:50:57Z</dcterms:created>
  <dcterms:modified xsi:type="dcterms:W3CDTF">2026-06-30T04:20:20Z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0x0101000647EBF53701AE4DB4131FC12CF7C60B</vt:lpwstr>
  </property>
  <property fmtid="{D5CDD505-2E9C-101B-9397-08002B2CF9AE}" pid="3" name="MediaServiceImageTags">
    <vt:lpwstr/>
  </property>
</Properties>
</file>