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mapcoid-my.sharepoint.com/personal/hieu_phamtrung_map_co_id/Documents/IT/01. IT Operations/"/>
    </mc:Choice>
  </mc:AlternateContent>
  <xr:revisionPtr revIDLastSave="0" documentId="8_{ABFAF7CB-FFB6-4413-98D5-0015A4A4356B}" xr6:coauthVersionLast="47" xr6:coauthVersionMax="47" xr10:uidLastSave="{00000000-0000-0000-0000-000000000000}"/>
  <bookViews>
    <workbookView xWindow="-20610" yWindow="-120" windowWidth="19335" windowHeight="11760" firstSheet="3" activeTab="3" xr2:uid="{AF02F0BB-D8FF-404C-8E27-2304E0F56FB9}"/>
  </bookViews>
  <sheets>
    <sheet name="Summary_Store" sheetId="19" r:id="rId1"/>
    <sheet name="Summary_Endpoint" sheetId="1" r:id="rId2"/>
    <sheet name="Asset_Store" sheetId="14" r:id="rId3"/>
    <sheet name="Asset_Office" sheetId="7" r:id="rId4"/>
    <sheet name="VN_Emails" sheetId="8" r:id="rId5"/>
    <sheet name="Office_Resigned" sheetId="9" r:id="rId6"/>
    <sheet name="Brand Code" sheetId="20" r:id="rId7"/>
    <sheet name="Warehosue mail" sheetId="26" r:id="rId8"/>
    <sheet name="Store_Info_VN" sheetId="18" r:id="rId9"/>
    <sheet name="Lost Device" sheetId="25" r:id="rId10"/>
    <sheet name="Naming_Policy" sheetId="6" r:id="rId11"/>
    <sheet name="Department_Code" sheetId="13" r:id="rId12"/>
    <sheet name="KH_Emails" sheetId="16" r:id="rId13"/>
    <sheet name="Asset_Warehouse" sheetId="15" r:id="rId14"/>
    <sheet name="MeetingRoom" sheetId="23" r:id="rId15"/>
    <sheet name="Store Laptops-Mini Pc" sheetId="2" r:id="rId16"/>
    <sheet name=" DASHBOARD BIGFIX &amp; Crowdstrike" sheetId="5" r:id="rId17"/>
    <sheet name="TEMP" sheetId="4" r:id="rId18"/>
    <sheet name="SDWAN_Project" sheetId="22" r:id="rId19"/>
    <sheet name="Report_License365VN" sheetId="17" r:id="rId20"/>
    <sheet name="Report_MasterDataStore_VN" sheetId="21" r:id="rId21"/>
  </sheets>
  <definedNames>
    <definedName name="_xlnm._FilterDatabase" localSheetId="13" hidden="1">Asset_Warehouse!$A$1:$W$10</definedName>
    <definedName name="_xlnm._FilterDatabase" localSheetId="12" hidden="1">KH_Emails!$A$1:$R$7</definedName>
    <definedName name="_xlnm._FilterDatabase" localSheetId="19" hidden="1">Report_License365VN!$A$1:$A$113</definedName>
    <definedName name="_xlnm._FilterDatabase" localSheetId="20" hidden="1">Report_MasterDataStore_VN!#REF!</definedName>
    <definedName name="_xlnm._FilterDatabase" localSheetId="18" hidden="1">SDWAN_Project!$A$1:$D$39</definedName>
    <definedName name="_xlnm._FilterDatabase" localSheetId="4" hidden="1">VN_Emails!$A$1:$S$7</definedName>
    <definedName name="_xlnm._FilterDatabase" localSheetId="8" hidden="1">Store_Info_VN!$A$1:$Y$92</definedName>
    <definedName name="_xlnm._FilterDatabase" localSheetId="5" hidden="1">Office_Resigned!$A$1:$T$62</definedName>
    <definedName name="_xlnm._FilterDatabase" localSheetId="3" hidden="1">Asset_Office!$A$1:$AC$104</definedName>
    <definedName name="_xlnm._FilterDatabase" localSheetId="2" hidden="1">Asset_Store!$A$1:$AA$568</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7" l="1"/>
  <c r="G58" i="7"/>
  <c r="G103" i="7"/>
  <c r="G102" i="7"/>
  <c r="G101" i="7"/>
  <c r="G100" i="7"/>
  <c r="G99" i="7"/>
  <c r="G98" i="7"/>
  <c r="G97" i="7"/>
  <c r="G96" i="7"/>
  <c r="G95" i="7"/>
  <c r="G94" i="7"/>
  <c r="G93" i="7"/>
  <c r="G92" i="7"/>
  <c r="G91" i="7"/>
  <c r="G89" i="7"/>
  <c r="G88" i="7"/>
  <c r="G84" i="7"/>
  <c r="G83" i="7"/>
  <c r="G82" i="7"/>
  <c r="G67" i="7"/>
  <c r="G81" i="7"/>
  <c r="G80" i="7"/>
  <c r="G79" i="7"/>
  <c r="G78" i="7"/>
  <c r="G76" i="7"/>
  <c r="G75" i="7"/>
  <c r="G51" i="7"/>
  <c r="G73" i="7"/>
  <c r="G72" i="7"/>
  <c r="G71" i="7"/>
  <c r="G70" i="7"/>
  <c r="G69" i="7"/>
  <c r="G68" i="7"/>
  <c r="G66" i="7"/>
  <c r="G65" i="7"/>
  <c r="G64" i="7"/>
  <c r="G63" i="7"/>
  <c r="G62" i="7"/>
  <c r="G61" i="7"/>
  <c r="G60" i="7"/>
  <c r="G59" i="7"/>
  <c r="G57" i="7"/>
  <c r="G56" i="7"/>
  <c r="G55" i="7"/>
  <c r="G54" i="7"/>
  <c r="G53" i="7"/>
  <c r="G52" i="7"/>
  <c r="G74"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6" i="7"/>
  <c r="G5"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74" i="7"/>
  <c r="E52" i="7"/>
  <c r="E53" i="7"/>
  <c r="E54" i="7"/>
  <c r="E55" i="7"/>
  <c r="E56" i="7"/>
  <c r="D3" i="7"/>
  <c r="D4" i="7"/>
  <c r="D5" i="7"/>
  <c r="D6" i="7"/>
  <c r="D7" i="7"/>
  <c r="D8" i="7"/>
  <c r="D9" i="7"/>
  <c r="D10" i="7"/>
  <c r="D11" i="7"/>
  <c r="D12" i="7"/>
  <c r="D13" i="7"/>
  <c r="D14" i="7"/>
  <c r="D15" i="7"/>
  <c r="D16" i="7"/>
  <c r="D17" i="7"/>
  <c r="D18" i="7"/>
  <c r="E91" i="7"/>
  <c r="D91" i="7"/>
  <c r="D98" i="7"/>
  <c r="D97" i="7"/>
  <c r="G8" i="7"/>
  <c r="D75" i="7"/>
  <c r="I32" i="7"/>
  <c r="D100" i="7"/>
  <c r="E99" i="7"/>
  <c r="E103" i="7"/>
  <c r="D103" i="7"/>
  <c r="D99" i="7"/>
  <c r="E2" i="7"/>
  <c r="D2" i="7"/>
  <c r="D23" i="7"/>
  <c r="D58" i="7"/>
  <c r="D38" i="7"/>
  <c r="D37" i="7"/>
  <c r="D27" i="7"/>
  <c r="D56" i="7"/>
  <c r="D72" i="7"/>
  <c r="I103" i="7"/>
  <c r="E288" i="14"/>
  <c r="A69" i="9"/>
  <c r="A64" i="9"/>
  <c r="I2" i="7"/>
  <c r="B42" i="9"/>
  <c r="E101" i="7"/>
  <c r="D101" i="7"/>
  <c r="A60" i="9"/>
  <c r="G496" i="14"/>
  <c r="G487" i="14"/>
  <c r="G471" i="14"/>
  <c r="G466" i="14"/>
  <c r="G518" i="14"/>
  <c r="G491" i="14"/>
  <c r="G480" i="14"/>
  <c r="G461" i="14"/>
  <c r="G516" i="14"/>
  <c r="G517" i="14"/>
  <c r="G490" i="14"/>
  <c r="G479" i="14"/>
  <c r="G473" i="14"/>
  <c r="G459" i="14"/>
  <c r="G460" i="14"/>
  <c r="G514" i="14"/>
  <c r="G515" i="14"/>
  <c r="G500" i="14"/>
  <c r="G488" i="14"/>
  <c r="G472" i="14"/>
  <c r="G457" i="14"/>
  <c r="G458" i="14"/>
  <c r="G512" i="14"/>
  <c r="G493" i="14"/>
  <c r="G481" i="14"/>
  <c r="G470" i="14"/>
  <c r="G465" i="14"/>
  <c r="G455" i="14"/>
  <c r="G510" i="14"/>
  <c r="G509" i="14"/>
  <c r="G492" i="14"/>
  <c r="G485" i="14"/>
  <c r="G469" i="14"/>
  <c r="G453" i="14"/>
  <c r="G454" i="14"/>
  <c r="I448" i="14"/>
  <c r="I447" i="14"/>
  <c r="I502" i="14"/>
  <c r="D39" i="7"/>
  <c r="I39" i="7"/>
  <c r="E100" i="7"/>
  <c r="A56" i="9"/>
  <c r="A55" i="9"/>
  <c r="G265" i="14"/>
  <c r="D65" i="7"/>
  <c r="E65" i="7"/>
  <c r="I65" i="7"/>
  <c r="A53" i="9"/>
  <c r="G363" i="14"/>
  <c r="I68" i="7"/>
  <c r="G55" i="14"/>
  <c r="A9" i="16"/>
  <c r="A10" i="16"/>
  <c r="D40" i="7"/>
  <c r="E83" i="7"/>
  <c r="E82" i="7"/>
  <c r="D22" i="7"/>
  <c r="D62" i="7"/>
  <c r="D48" i="7"/>
  <c r="D49" i="7"/>
  <c r="G441" i="14"/>
  <c r="G444" i="14"/>
  <c r="G445" i="14"/>
  <c r="G446" i="14"/>
  <c r="G442" i="14"/>
  <c r="G440" i="14"/>
  <c r="G437" i="14"/>
  <c r="G438" i="14"/>
  <c r="G429" i="14"/>
  <c r="G430" i="14"/>
  <c r="G431" i="14"/>
  <c r="G432" i="14"/>
  <c r="G433" i="14"/>
  <c r="G434" i="14"/>
  <c r="G435" i="14"/>
  <c r="G436" i="14"/>
  <c r="G439" i="14"/>
  <c r="G443" i="14"/>
  <c r="E427" i="14"/>
  <c r="E428" i="14"/>
  <c r="E429" i="14"/>
  <c r="E430" i="14"/>
  <c r="E431" i="14"/>
  <c r="E432" i="14"/>
  <c r="E433" i="14"/>
  <c r="E434" i="14"/>
  <c r="E435" i="14"/>
  <c r="E436" i="14"/>
  <c r="E437" i="14"/>
  <c r="E438" i="14"/>
  <c r="E439" i="14"/>
  <c r="E440" i="14"/>
  <c r="E441" i="14"/>
  <c r="E442" i="14"/>
  <c r="E443" i="14"/>
  <c r="E444" i="14"/>
  <c r="E445" i="14"/>
  <c r="E446" i="14"/>
  <c r="D45" i="7"/>
  <c r="A4" i="23"/>
  <c r="Y3" i="18"/>
  <c r="Y4" i="18"/>
  <c r="Y5" i="18"/>
  <c r="Y6" i="18"/>
  <c r="Y7" i="18"/>
  <c r="Y8" i="18"/>
  <c r="Y9" i="18"/>
  <c r="Y10" i="18"/>
  <c r="Y11" i="18"/>
  <c r="Y12" i="18"/>
  <c r="Y13" i="18"/>
  <c r="Y14" i="18"/>
  <c r="Y15" i="18"/>
  <c r="Y16" i="18"/>
  <c r="Y17" i="18"/>
  <c r="Y18" i="18"/>
  <c r="Y19" i="18"/>
  <c r="Y20" i="18"/>
  <c r="Y21" i="18"/>
  <c r="Y22" i="18"/>
  <c r="Y23" i="18"/>
  <c r="Y24" i="18"/>
  <c r="Y25" i="18"/>
  <c r="Y26" i="18"/>
  <c r="Y27" i="18"/>
  <c r="Y28" i="18"/>
  <c r="Y29" i="18"/>
  <c r="Y30" i="18"/>
  <c r="Y31" i="18"/>
  <c r="Y32" i="18"/>
  <c r="Y33" i="18"/>
  <c r="Y34" i="18"/>
  <c r="Y35" i="18"/>
  <c r="Y36" i="18"/>
  <c r="Y37" i="18"/>
  <c r="Y38" i="18"/>
  <c r="Y39" i="18"/>
  <c r="Y40" i="18"/>
  <c r="Y41" i="18"/>
  <c r="Y42" i="18"/>
  <c r="Y43" i="18"/>
  <c r="Y44" i="18"/>
  <c r="Y45" i="18"/>
  <c r="Y46" i="18"/>
  <c r="Y47" i="18"/>
  <c r="Y48" i="18"/>
  <c r="Y49" i="18"/>
  <c r="Y50" i="18"/>
  <c r="Y51" i="18"/>
  <c r="Y52" i="18"/>
  <c r="Y53" i="18"/>
  <c r="Y54" i="18"/>
  <c r="Y55" i="18"/>
  <c r="Y56" i="18"/>
  <c r="Y57" i="18"/>
  <c r="Y58" i="18"/>
  <c r="Y59" i="18"/>
  <c r="Y60" i="18"/>
  <c r="Y61" i="18"/>
  <c r="Y62" i="18"/>
  <c r="Y63" i="18"/>
  <c r="Y64" i="18"/>
  <c r="Y65" i="18"/>
  <c r="Y66" i="18"/>
  <c r="Y67" i="18"/>
  <c r="Y68" i="18"/>
  <c r="Y69" i="18"/>
  <c r="Y70" i="18"/>
  <c r="Y71" i="18"/>
  <c r="Y72" i="18"/>
  <c r="Y73" i="18"/>
  <c r="Y74" i="18"/>
  <c r="Y75" i="18"/>
  <c r="Y76" i="18"/>
  <c r="Y77" i="18"/>
  <c r="Y78" i="18"/>
  <c r="Y79" i="18"/>
  <c r="Y80" i="18"/>
  <c r="Y81" i="18"/>
  <c r="Y82" i="18"/>
  <c r="Y83" i="18"/>
  <c r="Y84" i="18"/>
  <c r="Y85" i="18"/>
  <c r="Y86" i="18"/>
  <c r="Y87" i="18"/>
  <c r="Y2" i="18"/>
  <c r="D83" i="7"/>
  <c r="D82" i="7"/>
  <c r="E76" i="7"/>
  <c r="I102" i="7"/>
  <c r="A3" i="23"/>
  <c r="B39" i="9"/>
  <c r="I91" i="7"/>
  <c r="H3" i="22"/>
  <c r="H4" i="22"/>
  <c r="H5" i="22"/>
  <c r="H6" i="22"/>
  <c r="H7"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G3" i="22"/>
  <c r="G4" i="22"/>
  <c r="G5" i="22"/>
  <c r="G6" i="22"/>
  <c r="G7" i="22"/>
  <c r="G8" i="22"/>
  <c r="G9" i="22"/>
  <c r="G10" i="22"/>
  <c r="G11" i="22"/>
  <c r="G12" i="22"/>
  <c r="G13" i="22"/>
  <c r="G14" i="22"/>
  <c r="G15" i="22"/>
  <c r="G16" i="22"/>
  <c r="G17" i="22"/>
  <c r="G18" i="22"/>
  <c r="G19" i="22"/>
  <c r="G20" i="22"/>
  <c r="G21" i="22"/>
  <c r="G22" i="22"/>
  <c r="G23" i="22"/>
  <c r="G24" i="22"/>
  <c r="G25" i="22"/>
  <c r="G26" i="22"/>
  <c r="G27" i="22"/>
  <c r="G28" i="22"/>
  <c r="G29" i="22"/>
  <c r="G30" i="22"/>
  <c r="G31" i="22"/>
  <c r="G32" i="22"/>
  <c r="G33" i="22"/>
  <c r="G34" i="22"/>
  <c r="G35" i="22"/>
  <c r="G36" i="22"/>
  <c r="F3" i="22"/>
  <c r="F4" i="22"/>
  <c r="F5" i="22"/>
  <c r="F6" i="22"/>
  <c r="F7" i="22"/>
  <c r="F8" i="22"/>
  <c r="F9" i="22"/>
  <c r="F10" i="22"/>
  <c r="F11" i="22"/>
  <c r="F12" i="22"/>
  <c r="F13" i="22"/>
  <c r="F14" i="22"/>
  <c r="F15" i="22"/>
  <c r="F16" i="22"/>
  <c r="F17" i="22"/>
  <c r="F18" i="22"/>
  <c r="F19" i="22"/>
  <c r="F20" i="22"/>
  <c r="F21" i="22"/>
  <c r="F22" i="22"/>
  <c r="F23" i="22"/>
  <c r="F24" i="22"/>
  <c r="F25" i="22"/>
  <c r="F26" i="22"/>
  <c r="F27" i="22"/>
  <c r="F28" i="22"/>
  <c r="F29" i="22"/>
  <c r="F30" i="22"/>
  <c r="F31" i="22"/>
  <c r="F32" i="22"/>
  <c r="F33" i="22"/>
  <c r="F34" i="22"/>
  <c r="F35" i="22"/>
  <c r="F36" i="22"/>
  <c r="H2" i="22"/>
  <c r="G2" i="22"/>
  <c r="F2" i="22"/>
  <c r="E3" i="22"/>
  <c r="E4" i="22"/>
  <c r="E5" i="22"/>
  <c r="E6"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2" i="22"/>
  <c r="E3"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3" i="21"/>
  <c r="E74" i="21"/>
  <c r="E75" i="21"/>
  <c r="E76" i="21"/>
  <c r="E77" i="21"/>
  <c r="E78" i="21"/>
  <c r="E79" i="21"/>
  <c r="E80" i="21"/>
  <c r="E81" i="21"/>
  <c r="E82" i="21"/>
  <c r="E83" i="21"/>
  <c r="E84" i="21"/>
  <c r="E85" i="21"/>
  <c r="E86" i="21"/>
  <c r="E87" i="21"/>
  <c r="E88" i="21"/>
  <c r="E89" i="21"/>
  <c r="E90" i="21"/>
  <c r="E2" i="21"/>
  <c r="I3" i="7"/>
  <c r="G134" i="14"/>
  <c r="E95" i="7"/>
  <c r="G425" i="14"/>
  <c r="G424" i="14"/>
  <c r="G419" i="14"/>
  <c r="G428" i="14"/>
  <c r="G427" i="14"/>
  <c r="G426" i="14"/>
  <c r="G423" i="14"/>
  <c r="G422" i="14"/>
  <c r="G421" i="14"/>
  <c r="G420" i="14"/>
  <c r="G418" i="14"/>
  <c r="G417" i="14"/>
  <c r="G416" i="14"/>
  <c r="G415" i="14"/>
  <c r="G412" i="14"/>
  <c r="G413" i="14"/>
  <c r="G414" i="14"/>
  <c r="G410" i="14"/>
  <c r="E413" i="14"/>
  <c r="E414" i="14"/>
  <c r="E415" i="14"/>
  <c r="E416" i="14"/>
  <c r="E417" i="14"/>
  <c r="E418" i="14"/>
  <c r="E419" i="14"/>
  <c r="E420" i="14"/>
  <c r="E421" i="14"/>
  <c r="E422" i="14"/>
  <c r="E423" i="14"/>
  <c r="E424" i="14"/>
  <c r="E425" i="14"/>
  <c r="E426" i="14"/>
  <c r="E371" i="14"/>
  <c r="G371" i="14"/>
  <c r="E372" i="14"/>
  <c r="G372" i="14"/>
  <c r="E373" i="14"/>
  <c r="G373" i="14"/>
  <c r="E374" i="14"/>
  <c r="G374" i="14"/>
  <c r="E375" i="14"/>
  <c r="G375" i="14"/>
  <c r="E376" i="14"/>
  <c r="G376" i="14"/>
  <c r="E377" i="14"/>
  <c r="G377" i="14"/>
  <c r="E378" i="14"/>
  <c r="G378" i="14"/>
  <c r="E379" i="14"/>
  <c r="G379" i="14"/>
  <c r="E380" i="14"/>
  <c r="G380" i="14"/>
  <c r="E381" i="14"/>
  <c r="G381" i="14"/>
  <c r="E382" i="14"/>
  <c r="G382" i="14"/>
  <c r="E383" i="14"/>
  <c r="G383" i="14"/>
  <c r="E384" i="14"/>
  <c r="G384" i="14"/>
  <c r="E385" i="14"/>
  <c r="G385" i="14"/>
  <c r="E386" i="14"/>
  <c r="G386" i="14"/>
  <c r="E387" i="14"/>
  <c r="G387" i="14"/>
  <c r="E388" i="14"/>
  <c r="G388" i="14"/>
  <c r="E389" i="14"/>
  <c r="G389" i="14"/>
  <c r="E390" i="14"/>
  <c r="G390" i="14"/>
  <c r="E391" i="14"/>
  <c r="G391" i="14"/>
  <c r="E392" i="14"/>
  <c r="G392" i="14"/>
  <c r="E393" i="14"/>
  <c r="G393" i="14"/>
  <c r="E394" i="14"/>
  <c r="G394" i="14"/>
  <c r="E395" i="14"/>
  <c r="G395" i="14"/>
  <c r="E396" i="14"/>
  <c r="G396" i="14"/>
  <c r="E397" i="14"/>
  <c r="G397" i="14"/>
  <c r="E398" i="14"/>
  <c r="G398" i="14"/>
  <c r="E399" i="14"/>
  <c r="G399" i="14"/>
  <c r="E400" i="14"/>
  <c r="G400" i="14"/>
  <c r="E401" i="14"/>
  <c r="G401" i="14"/>
  <c r="E402" i="14"/>
  <c r="E403" i="14"/>
  <c r="G403" i="14"/>
  <c r="E404" i="14"/>
  <c r="G404" i="14"/>
  <c r="E405" i="14"/>
  <c r="G405" i="14"/>
  <c r="E406" i="14"/>
  <c r="G406" i="14"/>
  <c r="E407" i="14"/>
  <c r="G407" i="14"/>
  <c r="E408" i="14"/>
  <c r="G408" i="14"/>
  <c r="E409" i="14"/>
  <c r="G409" i="14"/>
  <c r="E410" i="14"/>
  <c r="E411" i="14"/>
  <c r="G411" i="14"/>
  <c r="E412" i="14"/>
  <c r="G357" i="14"/>
  <c r="E323" i="14"/>
  <c r="G323" i="14"/>
  <c r="E324" i="14"/>
  <c r="G324" i="14"/>
  <c r="E325" i="14"/>
  <c r="G325" i="14"/>
  <c r="E326" i="14"/>
  <c r="G326" i="14"/>
  <c r="E327" i="14"/>
  <c r="G327" i="14"/>
  <c r="E328" i="14"/>
  <c r="G328" i="14"/>
  <c r="E329" i="14"/>
  <c r="G329" i="14"/>
  <c r="E330" i="14"/>
  <c r="G330" i="14"/>
  <c r="E331" i="14"/>
  <c r="G331" i="14"/>
  <c r="E332" i="14"/>
  <c r="G332" i="14"/>
  <c r="E333" i="14"/>
  <c r="G333" i="14"/>
  <c r="E334" i="14"/>
  <c r="G334" i="14"/>
  <c r="E335" i="14"/>
  <c r="G335" i="14"/>
  <c r="E336" i="14"/>
  <c r="G336" i="14"/>
  <c r="E337" i="14"/>
  <c r="G337" i="14"/>
  <c r="E338" i="14"/>
  <c r="G338" i="14"/>
  <c r="E339" i="14"/>
  <c r="G339" i="14"/>
  <c r="E340" i="14"/>
  <c r="G340" i="14"/>
  <c r="E341" i="14"/>
  <c r="G341" i="14"/>
  <c r="E342" i="14"/>
  <c r="G342" i="14"/>
  <c r="E343" i="14"/>
  <c r="G343" i="14"/>
  <c r="E344" i="14"/>
  <c r="G344" i="14"/>
  <c r="E345" i="14"/>
  <c r="G345" i="14"/>
  <c r="E346" i="14"/>
  <c r="G346" i="14"/>
  <c r="E347" i="14"/>
  <c r="G347" i="14"/>
  <c r="E348" i="14"/>
  <c r="G348" i="14"/>
  <c r="E349" i="14"/>
  <c r="G349" i="14"/>
  <c r="E350" i="14"/>
  <c r="G350" i="14"/>
  <c r="E351" i="14"/>
  <c r="G351" i="14"/>
  <c r="E352" i="14"/>
  <c r="G352" i="14"/>
  <c r="E353" i="14"/>
  <c r="G353" i="14"/>
  <c r="E354" i="14"/>
  <c r="G354" i="14"/>
  <c r="E355" i="14"/>
  <c r="G355" i="14"/>
  <c r="E356" i="14"/>
  <c r="G356" i="14"/>
  <c r="E357" i="14"/>
  <c r="E358" i="14"/>
  <c r="G358" i="14"/>
  <c r="E359" i="14"/>
  <c r="G359" i="14"/>
  <c r="E360" i="14"/>
  <c r="G360" i="14"/>
  <c r="E361" i="14"/>
  <c r="G361" i="14"/>
  <c r="E362" i="14"/>
  <c r="G362" i="14"/>
  <c r="E363" i="14"/>
  <c r="E364" i="14"/>
  <c r="G364" i="14"/>
  <c r="E365" i="14"/>
  <c r="G365" i="14"/>
  <c r="E366" i="14"/>
  <c r="G366" i="14"/>
  <c r="E367" i="14"/>
  <c r="G367" i="14"/>
  <c r="E368" i="14"/>
  <c r="G368" i="14"/>
  <c r="E369" i="14"/>
  <c r="G369" i="14"/>
  <c r="E370" i="14"/>
  <c r="G370" i="14"/>
  <c r="G322" i="14"/>
  <c r="E322" i="14"/>
  <c r="G305" i="14"/>
  <c r="G306" i="14"/>
  <c r="E304" i="14"/>
  <c r="G304" i="14"/>
  <c r="E305" i="14"/>
  <c r="E306" i="14"/>
  <c r="E307" i="14"/>
  <c r="G307" i="14"/>
  <c r="E308" i="14"/>
  <c r="G308" i="14"/>
  <c r="E309" i="14"/>
  <c r="G309" i="14"/>
  <c r="E310" i="14"/>
  <c r="G310" i="14"/>
  <c r="E311" i="14"/>
  <c r="G311" i="14"/>
  <c r="E312" i="14"/>
  <c r="G312" i="14"/>
  <c r="E313" i="14"/>
  <c r="G313" i="14"/>
  <c r="E314" i="14"/>
  <c r="G314" i="14"/>
  <c r="E315" i="14"/>
  <c r="G315" i="14"/>
  <c r="E316" i="14"/>
  <c r="G316" i="14"/>
  <c r="E317" i="14"/>
  <c r="G317" i="14"/>
  <c r="E318" i="14"/>
  <c r="G318" i="14"/>
  <c r="E319" i="14"/>
  <c r="G319" i="14"/>
  <c r="E320" i="14"/>
  <c r="G320" i="14"/>
  <c r="E321" i="14"/>
  <c r="G321" i="14"/>
  <c r="G277" i="14"/>
  <c r="G268" i="14"/>
  <c r="E271" i="14"/>
  <c r="G271" i="14"/>
  <c r="E272" i="14"/>
  <c r="G272" i="14"/>
  <c r="E273" i="14"/>
  <c r="G273" i="14"/>
  <c r="E274" i="14"/>
  <c r="G274" i="14"/>
  <c r="E275" i="14"/>
  <c r="G275" i="14"/>
  <c r="E276" i="14"/>
  <c r="G276" i="14"/>
  <c r="E277" i="14"/>
  <c r="E278" i="14"/>
  <c r="G278" i="14"/>
  <c r="E279" i="14"/>
  <c r="G279" i="14"/>
  <c r="E280" i="14"/>
  <c r="G280" i="14"/>
  <c r="E281" i="14"/>
  <c r="G281" i="14"/>
  <c r="E282" i="14"/>
  <c r="G282" i="14"/>
  <c r="E283" i="14"/>
  <c r="G283" i="14"/>
  <c r="E284" i="14"/>
  <c r="G284" i="14"/>
  <c r="E285" i="14"/>
  <c r="G285" i="14"/>
  <c r="E286" i="14"/>
  <c r="G286" i="14"/>
  <c r="E287" i="14"/>
  <c r="G287" i="14"/>
  <c r="G288" i="14"/>
  <c r="E289" i="14"/>
  <c r="G289" i="14"/>
  <c r="E290" i="14"/>
  <c r="G290" i="14"/>
  <c r="E291" i="14"/>
  <c r="G291" i="14"/>
  <c r="E292" i="14"/>
  <c r="G292" i="14"/>
  <c r="E293" i="14"/>
  <c r="G293" i="14"/>
  <c r="E294" i="14"/>
  <c r="G294" i="14"/>
  <c r="E295" i="14"/>
  <c r="G295" i="14"/>
  <c r="E296" i="14"/>
  <c r="G297" i="14"/>
  <c r="E297" i="14"/>
  <c r="E298" i="14"/>
  <c r="G298" i="14"/>
  <c r="E299" i="14"/>
  <c r="G299" i="14"/>
  <c r="E300" i="14"/>
  <c r="G300" i="14"/>
  <c r="E301" i="14"/>
  <c r="G301" i="14"/>
  <c r="E302" i="14"/>
  <c r="G302" i="14"/>
  <c r="E303" i="14"/>
  <c r="G303" i="14"/>
  <c r="G252" i="14"/>
  <c r="G251" i="14"/>
  <c r="G242" i="14"/>
  <c r="G239" i="14"/>
  <c r="G237" i="14"/>
  <c r="G131" i="14"/>
  <c r="E131" i="14"/>
  <c r="G130" i="14"/>
  <c r="E130" i="14"/>
  <c r="G129" i="14"/>
  <c r="E129" i="14"/>
  <c r="G133" i="14"/>
  <c r="E133" i="14"/>
  <c r="E134" i="14"/>
  <c r="G132" i="14"/>
  <c r="E132" i="14"/>
  <c r="E232" i="14"/>
  <c r="G232" i="14"/>
  <c r="E233" i="14"/>
  <c r="G233" i="14"/>
  <c r="E234" i="14"/>
  <c r="G234" i="14"/>
  <c r="E235" i="14"/>
  <c r="G235" i="14"/>
  <c r="E236" i="14"/>
  <c r="G236" i="14"/>
  <c r="E237" i="14"/>
  <c r="E238" i="14"/>
  <c r="G238" i="14"/>
  <c r="E239" i="14"/>
  <c r="E240" i="14"/>
  <c r="G240" i="14"/>
  <c r="E241" i="14"/>
  <c r="G241" i="14"/>
  <c r="E242" i="14"/>
  <c r="E243" i="14"/>
  <c r="G243" i="14"/>
  <c r="E244" i="14"/>
  <c r="G244" i="14"/>
  <c r="E245" i="14"/>
  <c r="G245" i="14"/>
  <c r="E246" i="14"/>
  <c r="G246" i="14"/>
  <c r="E247" i="14"/>
  <c r="G247" i="14"/>
  <c r="E248" i="14"/>
  <c r="G248" i="14"/>
  <c r="E249" i="14"/>
  <c r="G249" i="14"/>
  <c r="E250" i="14"/>
  <c r="G250" i="14"/>
  <c r="E251" i="14"/>
  <c r="E252" i="14"/>
  <c r="E253" i="14"/>
  <c r="G253" i="14"/>
  <c r="E254" i="14"/>
  <c r="G254" i="14"/>
  <c r="E255" i="14"/>
  <c r="G255" i="14"/>
  <c r="E256" i="14"/>
  <c r="G256" i="14"/>
  <c r="E257" i="14"/>
  <c r="G257" i="14"/>
  <c r="E258" i="14"/>
  <c r="G258" i="14"/>
  <c r="E259" i="14"/>
  <c r="G259" i="14"/>
  <c r="E260" i="14"/>
  <c r="G260" i="14"/>
  <c r="E261" i="14"/>
  <c r="G261" i="14"/>
  <c r="E262" i="14"/>
  <c r="G262" i="14"/>
  <c r="E263" i="14"/>
  <c r="G263" i="14"/>
  <c r="E264" i="14"/>
  <c r="G264" i="14"/>
  <c r="E265" i="14"/>
  <c r="E266" i="14"/>
  <c r="G266" i="14"/>
  <c r="E267" i="14"/>
  <c r="G267" i="14"/>
  <c r="E268" i="14"/>
  <c r="E269" i="14"/>
  <c r="G269" i="14"/>
  <c r="E270" i="14"/>
  <c r="G270" i="14"/>
  <c r="G503" i="14"/>
  <c r="E503" i="14"/>
  <c r="E26" i="14"/>
  <c r="I93" i="7"/>
  <c r="I94" i="7"/>
  <c r="I95" i="7"/>
  <c r="I96" i="7"/>
  <c r="I97" i="7"/>
  <c r="I98" i="7"/>
  <c r="I99" i="7"/>
  <c r="I100" i="7"/>
  <c r="I101" i="7"/>
  <c r="D50" i="7"/>
  <c r="D46" i="7"/>
  <c r="E98" i="7"/>
  <c r="D96" i="7"/>
  <c r="D94" i="7"/>
  <c r="G226" i="14"/>
  <c r="G224" i="14"/>
  <c r="G223" i="14"/>
  <c r="E223" i="14"/>
  <c r="E224" i="14"/>
  <c r="E225" i="14"/>
  <c r="G225" i="14"/>
  <c r="E226" i="14"/>
  <c r="E189" i="14"/>
  <c r="G189" i="14"/>
  <c r="E190" i="14"/>
  <c r="G190" i="14"/>
  <c r="E191" i="14"/>
  <c r="G191" i="14"/>
  <c r="E192" i="14"/>
  <c r="G192" i="14"/>
  <c r="E193" i="14"/>
  <c r="G193" i="14"/>
  <c r="E194" i="14"/>
  <c r="G194" i="14"/>
  <c r="E195" i="14"/>
  <c r="G195" i="14"/>
  <c r="E196" i="14"/>
  <c r="G196" i="14"/>
  <c r="E197" i="14"/>
  <c r="G197" i="14"/>
  <c r="G203" i="14"/>
  <c r="E200" i="14"/>
  <c r="G200" i="14"/>
  <c r="E201" i="14"/>
  <c r="G201" i="14"/>
  <c r="E202" i="14"/>
  <c r="G202" i="14"/>
  <c r="E203" i="14"/>
  <c r="E204" i="14"/>
  <c r="G204" i="14"/>
  <c r="E205" i="14"/>
  <c r="G205" i="14"/>
  <c r="E206" i="14"/>
  <c r="G206" i="14"/>
  <c r="E207" i="14"/>
  <c r="G207" i="14"/>
  <c r="G222" i="14"/>
  <c r="E222" i="14"/>
  <c r="G230" i="14"/>
  <c r="I3" i="15"/>
  <c r="I4" i="15"/>
  <c r="I5" i="15"/>
  <c r="I6" i="15"/>
  <c r="I7" i="15"/>
  <c r="I8" i="15"/>
  <c r="I9" i="15"/>
  <c r="I10" i="15"/>
  <c r="I2" i="15"/>
  <c r="G18" i="14"/>
  <c r="G19" i="14"/>
  <c r="G20" i="14"/>
  <c r="G21" i="14"/>
  <c r="G22" i="14"/>
  <c r="G23" i="14"/>
  <c r="E18" i="14"/>
  <c r="E19" i="14"/>
  <c r="E20" i="14"/>
  <c r="E21" i="14"/>
  <c r="E22" i="14"/>
  <c r="E23" i="14"/>
  <c r="G86" i="14"/>
  <c r="G76" i="14"/>
  <c r="G77" i="14"/>
  <c r="G78" i="14"/>
  <c r="G79" i="14"/>
  <c r="G80" i="14"/>
  <c r="G81" i="14"/>
  <c r="G82" i="14"/>
  <c r="G83" i="14"/>
  <c r="G84" i="14"/>
  <c r="G85" i="14"/>
  <c r="E76" i="14"/>
  <c r="E77" i="14"/>
  <c r="E78" i="14"/>
  <c r="E79" i="14"/>
  <c r="E80" i="14"/>
  <c r="E81" i="14"/>
  <c r="E82" i="14"/>
  <c r="E83" i="14"/>
  <c r="E85" i="14"/>
  <c r="E86" i="14"/>
  <c r="G27" i="14"/>
  <c r="G26" i="14"/>
  <c r="E27" i="14"/>
  <c r="G104" i="14"/>
  <c r="G105" i="14"/>
  <c r="G103" i="14"/>
  <c r="G11" i="14"/>
  <c r="E11" i="14"/>
  <c r="G10" i="14"/>
  <c r="E10" i="14"/>
  <c r="G9" i="14"/>
  <c r="E9" i="14"/>
  <c r="G8" i="14"/>
  <c r="E8" i="14"/>
  <c r="E121" i="14"/>
  <c r="G121" i="14"/>
  <c r="E122" i="14"/>
  <c r="G122" i="14"/>
  <c r="E123" i="14"/>
  <c r="G123" i="14"/>
  <c r="E124" i="14"/>
  <c r="G124" i="14"/>
  <c r="E125" i="14"/>
  <c r="G125" i="14"/>
  <c r="E126" i="14"/>
  <c r="G126" i="14"/>
  <c r="G45" i="14"/>
  <c r="E45" i="14"/>
  <c r="G44" i="14"/>
  <c r="E44" i="14"/>
  <c r="G43" i="14"/>
  <c r="E43" i="14"/>
  <c r="G42" i="14"/>
  <c r="E42" i="14"/>
  <c r="G92" i="14"/>
  <c r="G91" i="14"/>
  <c r="G90" i="14"/>
  <c r="G89" i="14"/>
  <c r="G152" i="14"/>
  <c r="G153" i="14"/>
  <c r="G154" i="14"/>
  <c r="G155" i="14"/>
  <c r="G156" i="14"/>
  <c r="G157" i="14"/>
  <c r="G158" i="14"/>
  <c r="E159" i="14"/>
  <c r="G159" i="14"/>
  <c r="E160" i="14"/>
  <c r="G160" i="14"/>
  <c r="E161" i="14"/>
  <c r="G161" i="14"/>
  <c r="E162" i="14"/>
  <c r="G162" i="14"/>
  <c r="G73" i="14"/>
  <c r="G72" i="14"/>
  <c r="E73" i="14"/>
  <c r="E72" i="14"/>
  <c r="E69" i="14"/>
  <c r="G69" i="14"/>
  <c r="E70" i="14"/>
  <c r="G70" i="14"/>
  <c r="E71" i="14"/>
  <c r="G71" i="14"/>
  <c r="G68" i="14"/>
  <c r="E68" i="14"/>
  <c r="E48" i="14"/>
  <c r="G48" i="14"/>
  <c r="E49" i="14"/>
  <c r="G49" i="14"/>
  <c r="E50" i="14"/>
  <c r="G50" i="14"/>
  <c r="E51" i="14"/>
  <c r="G51" i="14"/>
  <c r="E52" i="14"/>
  <c r="G52" i="14"/>
  <c r="E53" i="14"/>
  <c r="G53" i="14"/>
  <c r="G47" i="14"/>
  <c r="E47" i="14"/>
  <c r="E96" i="14"/>
  <c r="G96" i="14"/>
  <c r="E97" i="14"/>
  <c r="G97" i="14"/>
  <c r="E98" i="14"/>
  <c r="G98" i="14"/>
  <c r="E99" i="14"/>
  <c r="G99" i="14"/>
  <c r="E100" i="14"/>
  <c r="G100" i="14"/>
  <c r="G95" i="14"/>
  <c r="E95" i="14"/>
  <c r="G59" i="14"/>
  <c r="G58" i="14"/>
  <c r="G57" i="14"/>
  <c r="E57" i="14"/>
  <c r="G56" i="14"/>
  <c r="E56" i="14"/>
  <c r="E55" i="14"/>
  <c r="E30" i="14"/>
  <c r="G30" i="14"/>
  <c r="E31" i="14"/>
  <c r="G31" i="14"/>
  <c r="E32" i="14"/>
  <c r="G32" i="14"/>
  <c r="G33" i="14"/>
  <c r="E34" i="14"/>
  <c r="G34" i="14"/>
  <c r="G29" i="14"/>
  <c r="E29" i="14"/>
  <c r="E36" i="14"/>
  <c r="G36" i="14"/>
  <c r="E37" i="14"/>
  <c r="G37" i="14"/>
  <c r="E38" i="14"/>
  <c r="G38" i="14"/>
  <c r="E39" i="14"/>
  <c r="G39" i="14"/>
  <c r="E165" i="14"/>
  <c r="G165" i="14"/>
  <c r="E166" i="14"/>
  <c r="G166" i="14"/>
  <c r="E167" i="14"/>
  <c r="G167" i="14"/>
  <c r="E168" i="14"/>
  <c r="G168" i="14"/>
  <c r="E169" i="14"/>
  <c r="G169" i="14"/>
  <c r="E170" i="14"/>
  <c r="G170" i="14"/>
  <c r="E171" i="14"/>
  <c r="G171" i="14"/>
  <c r="E172" i="14"/>
  <c r="G172" i="14"/>
  <c r="G115" i="14"/>
  <c r="G116" i="14"/>
  <c r="G117" i="14"/>
  <c r="E115" i="14"/>
  <c r="E116" i="14"/>
  <c r="E117" i="14"/>
  <c r="G136" i="14"/>
  <c r="G137" i="14"/>
  <c r="G138" i="14"/>
  <c r="G139" i="14"/>
  <c r="G140" i="14"/>
  <c r="G141" i="14"/>
  <c r="G142" i="14"/>
  <c r="E136" i="14"/>
  <c r="E137" i="14"/>
  <c r="E138" i="14"/>
  <c r="E139" i="14"/>
  <c r="E140" i="14"/>
  <c r="E141" i="14"/>
  <c r="E142" i="14"/>
  <c r="G61" i="14"/>
  <c r="G62" i="14"/>
  <c r="G63" i="14"/>
  <c r="G64" i="14"/>
  <c r="G65" i="14"/>
  <c r="G66" i="14"/>
  <c r="E63" i="14"/>
  <c r="E64" i="14"/>
  <c r="E65" i="14"/>
  <c r="E66" i="14"/>
  <c r="E62" i="14"/>
  <c r="E61" i="14"/>
  <c r="G149" i="14"/>
  <c r="E495" i="14"/>
  <c r="E482" i="14"/>
  <c r="A5" i="20"/>
  <c r="A6" i="20"/>
  <c r="A3" i="20"/>
  <c r="A4" i="20"/>
  <c r="G145" i="14"/>
  <c r="G146" i="14"/>
  <c r="G147" i="14"/>
  <c r="G148" i="14"/>
  <c r="G150" i="14"/>
  <c r="E146" i="14"/>
  <c r="C10" i="19"/>
  <c r="A10" i="19"/>
  <c r="G112" i="14"/>
  <c r="E112" i="14"/>
  <c r="G111" i="14"/>
  <c r="E111" i="14"/>
  <c r="G110" i="14"/>
  <c r="E110" i="14"/>
  <c r="G109" i="14"/>
  <c r="E109" i="14"/>
  <c r="G108" i="14"/>
  <c r="E108" i="14"/>
  <c r="G107" i="14"/>
  <c r="E107" i="14"/>
  <c r="E2" i="14"/>
  <c r="G2" i="14"/>
  <c r="G17" i="14"/>
  <c r="E17" i="14"/>
  <c r="G16" i="14"/>
  <c r="E16" i="14"/>
  <c r="G15" i="14"/>
  <c r="E15" i="14"/>
  <c r="G14" i="14"/>
  <c r="E14" i="14"/>
  <c r="G13" i="14"/>
  <c r="E13" i="14"/>
  <c r="G495" i="14"/>
  <c r="G482" i="14"/>
  <c r="E467" i="14"/>
  <c r="E212" i="14"/>
  <c r="E220" i="14"/>
  <c r="G467" i="14"/>
  <c r="E75" i="14"/>
  <c r="E54" i="14"/>
  <c r="G231" i="14"/>
  <c r="G221" i="14"/>
  <c r="G220" i="14"/>
  <c r="G219" i="14"/>
  <c r="G218" i="14"/>
  <c r="G217" i="14"/>
  <c r="G215" i="14"/>
  <c r="G214" i="14"/>
  <c r="G213" i="14"/>
  <c r="G212" i="14"/>
  <c r="G210" i="14"/>
  <c r="G209" i="14"/>
  <c r="G198" i="14"/>
  <c r="G188" i="14"/>
  <c r="G187" i="14"/>
  <c r="G94" i="14"/>
  <c r="G118" i="14"/>
  <c r="G102" i="14"/>
  <c r="G119" i="14"/>
  <c r="G120" i="14"/>
  <c r="G114" i="14"/>
  <c r="G127" i="14"/>
  <c r="G128" i="14"/>
  <c r="G143" i="14"/>
  <c r="G144" i="14"/>
  <c r="G151" i="14"/>
  <c r="G135" i="14"/>
  <c r="G164" i="14"/>
  <c r="G174" i="14"/>
  <c r="G180" i="14"/>
  <c r="G181" i="14"/>
  <c r="G183" i="14"/>
  <c r="G173" i="14"/>
  <c r="G185" i="14"/>
  <c r="G175" i="14"/>
  <c r="G176" i="14"/>
  <c r="G177" i="14"/>
  <c r="G178" i="14"/>
  <c r="G179" i="14"/>
  <c r="G186" i="14"/>
  <c r="G184" i="14"/>
  <c r="G199" i="14"/>
  <c r="G208" i="14"/>
  <c r="G211" i="14"/>
  <c r="G216" i="14"/>
  <c r="G227" i="14"/>
  <c r="G228" i="14"/>
  <c r="G449" i="14"/>
  <c r="G3" i="14"/>
  <c r="G6" i="14"/>
  <c r="G28" i="14"/>
  <c r="G40" i="14"/>
  <c r="G7" i="14"/>
  <c r="G54" i="14"/>
  <c r="G35" i="14"/>
  <c r="G60" i="14"/>
  <c r="G41" i="14"/>
  <c r="G67" i="14"/>
  <c r="G75" i="14"/>
  <c r="G88" i="14"/>
  <c r="G101" i="14"/>
  <c r="G74" i="14"/>
  <c r="G106" i="14"/>
  <c r="G87" i="14"/>
  <c r="G113" i="14"/>
  <c r="G93" i="14"/>
  <c r="C9" i="19"/>
  <c r="C8" i="19"/>
  <c r="C7" i="19"/>
  <c r="C6" i="19"/>
  <c r="C4" i="19" a="1"/>
  <c r="C4" i="19"/>
  <c r="C3" i="19"/>
  <c r="G2" i="19"/>
  <c r="H2" i="19"/>
  <c r="E2" i="19"/>
  <c r="F2" i="19"/>
  <c r="C2" i="19"/>
  <c r="C5" i="19"/>
  <c r="E219" i="14"/>
  <c r="E218" i="14"/>
  <c r="E217" i="14"/>
  <c r="E216" i="14"/>
  <c r="E215" i="14"/>
  <c r="E214" i="14"/>
  <c r="E213" i="14"/>
  <c r="E211" i="14"/>
  <c r="E210" i="14"/>
  <c r="E209" i="14"/>
  <c r="E208" i="14"/>
  <c r="E199" i="14"/>
  <c r="E184" i="14"/>
  <c r="E198" i="14"/>
  <c r="E188" i="14"/>
  <c r="E187" i="14"/>
  <c r="E186" i="14"/>
  <c r="E179" i="14"/>
  <c r="E178" i="14"/>
  <c r="E183" i="14"/>
  <c r="E181" i="14"/>
  <c r="E151" i="14"/>
  <c r="E135" i="14"/>
  <c r="E164" i="14"/>
  <c r="E114" i="14"/>
  <c r="E127" i="14"/>
  <c r="E128" i="14"/>
  <c r="E143" i="14"/>
  <c r="E144" i="14"/>
  <c r="E120" i="14"/>
  <c r="E119" i="14"/>
  <c r="E118" i="14"/>
  <c r="E94" i="14"/>
  <c r="E93" i="14"/>
  <c r="E113" i="14"/>
  <c r="E87" i="14"/>
  <c r="E106" i="14"/>
  <c r="E74" i="14"/>
  <c r="E101" i="14"/>
  <c r="E88" i="14"/>
  <c r="E67" i="14"/>
  <c r="E41" i="14"/>
  <c r="E60" i="14"/>
  <c r="E35" i="14"/>
  <c r="E12" i="14"/>
  <c r="E7" i="14"/>
  <c r="E3" i="14"/>
  <c r="A3" i="19"/>
  <c r="A4" i="19"/>
  <c r="A5" i="19"/>
  <c r="A6" i="19"/>
  <c r="A7" i="19"/>
  <c r="A8" i="19"/>
  <c r="A9" i="19"/>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E89" i="7"/>
  <c r="D89" i="7"/>
  <c r="G86" i="7"/>
  <c r="E86" i="7"/>
  <c r="E85" i="7"/>
  <c r="E81" i="7"/>
  <c r="E80" i="7"/>
  <c r="D80" i="7"/>
  <c r="E79" i="7"/>
  <c r="D79" i="7"/>
  <c r="G77" i="7"/>
  <c r="E77" i="7"/>
  <c r="D77" i="7"/>
  <c r="E78" i="7"/>
  <c r="D78" i="7"/>
  <c r="E75" i="7"/>
  <c r="D51" i="7"/>
  <c r="E73" i="7"/>
  <c r="D73" i="7"/>
  <c r="E72" i="7"/>
  <c r="E71" i="7"/>
  <c r="D71" i="7"/>
  <c r="E70" i="7"/>
  <c r="D70" i="7"/>
  <c r="E69" i="7"/>
  <c r="D69" i="7"/>
  <c r="E68" i="7"/>
  <c r="D68" i="7"/>
  <c r="E67" i="7"/>
  <c r="D67" i="7"/>
  <c r="E66" i="7"/>
  <c r="D66" i="7"/>
  <c r="E64" i="7"/>
  <c r="D64" i="7"/>
  <c r="E63" i="7"/>
  <c r="D63" i="7"/>
  <c r="E62" i="7"/>
  <c r="E61" i="7"/>
  <c r="D61" i="7"/>
  <c r="E60" i="7"/>
  <c r="D60" i="7"/>
  <c r="D55" i="7"/>
  <c r="D54" i="7"/>
  <c r="D53" i="7"/>
  <c r="D52" i="7"/>
  <c r="D74" i="7"/>
  <c r="D44" i="7"/>
  <c r="D43" i="7"/>
  <c r="D41" i="7"/>
  <c r="D35" i="7"/>
  <c r="D34" i="7"/>
  <c r="D33" i="7"/>
  <c r="D32" i="7"/>
  <c r="D31" i="7"/>
  <c r="D28" i="7"/>
  <c r="D25" i="7"/>
  <c r="D24" i="7"/>
  <c r="D21" i="7"/>
  <c r="G11" i="7"/>
  <c r="G10" i="7"/>
  <c r="G3" i="7"/>
  <c r="G7" i="7"/>
  <c r="G9" i="7"/>
  <c r="G2" i="7"/>
  <c r="I92" i="7"/>
  <c r="A3"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A93" i="17"/>
  <c r="A94" i="17"/>
  <c r="A95" i="17"/>
  <c r="A96" i="17"/>
  <c r="A97" i="17"/>
  <c r="A98" i="17"/>
  <c r="A99" i="17"/>
  <c r="A100" i="17"/>
  <c r="A101" i="17"/>
  <c r="A102" i="17"/>
  <c r="A103" i="17"/>
  <c r="A104" i="17"/>
  <c r="A105" i="17"/>
  <c r="A106" i="17"/>
  <c r="A107" i="17"/>
  <c r="A108" i="17"/>
  <c r="A109" i="17"/>
  <c r="A110" i="17"/>
  <c r="A111" i="17"/>
  <c r="A112" i="17"/>
  <c r="A113" i="17"/>
  <c r="A2" i="17"/>
  <c r="A3" i="16"/>
  <c r="A4" i="16"/>
  <c r="A5" i="16"/>
  <c r="A6" i="16"/>
  <c r="A7" i="16"/>
  <c r="B4" i="9"/>
  <c r="A3" i="15"/>
  <c r="A4" i="15"/>
  <c r="A5" i="15"/>
  <c r="A6" i="15"/>
  <c r="A7" i="15"/>
  <c r="A8" i="15"/>
  <c r="A9" i="15"/>
  <c r="A10" i="15"/>
  <c r="B2" i="1"/>
  <c r="B10" i="1"/>
  <c r="B7" i="1"/>
  <c r="B3" i="1"/>
  <c r="B4" i="1"/>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3" i="7"/>
  <c r="I34" i="7"/>
  <c r="I35" i="7"/>
  <c r="I36" i="7"/>
  <c r="I37" i="7"/>
  <c r="I38" i="7"/>
  <c r="I40" i="7"/>
  <c r="I41" i="7"/>
  <c r="I42" i="7"/>
  <c r="I43" i="7"/>
  <c r="I44" i="7"/>
  <c r="I45" i="7"/>
  <c r="I46" i="7"/>
  <c r="I47" i="7"/>
  <c r="I48" i="7"/>
  <c r="I49" i="7"/>
  <c r="I50" i="7"/>
  <c r="I74" i="7"/>
  <c r="I52" i="7"/>
  <c r="I53" i="7"/>
  <c r="I54" i="7"/>
  <c r="I55" i="7"/>
  <c r="I56" i="7"/>
  <c r="I57" i="7"/>
  <c r="I58" i="7"/>
  <c r="I59" i="7"/>
  <c r="I60" i="7"/>
  <c r="I61" i="7"/>
  <c r="I62" i="7"/>
  <c r="I63" i="7"/>
  <c r="I64" i="7"/>
  <c r="I66" i="7"/>
  <c r="I67" i="7"/>
  <c r="I69" i="7"/>
  <c r="I70" i="7"/>
  <c r="I71" i="7"/>
  <c r="I72" i="7"/>
  <c r="I73" i="7"/>
  <c r="I51" i="7"/>
  <c r="I75" i="7"/>
  <c r="I76" i="7"/>
  <c r="I78" i="7"/>
  <c r="I77" i="7"/>
  <c r="I79" i="7"/>
  <c r="I80" i="7"/>
  <c r="I81" i="7"/>
  <c r="I82" i="7"/>
  <c r="I83" i="7"/>
  <c r="I84" i="7"/>
  <c r="I85" i="7"/>
  <c r="I86" i="7"/>
  <c r="I87" i="7"/>
  <c r="I88" i="7"/>
  <c r="I89" i="7"/>
  <c r="I90" i="7"/>
  <c r="B5" i="9"/>
  <c r="B6" i="9"/>
  <c r="B7" i="9"/>
  <c r="B8" i="9"/>
  <c r="B9" i="9"/>
  <c r="B10" i="9"/>
  <c r="B11" i="9"/>
  <c r="B12" i="9"/>
  <c r="B13" i="9"/>
  <c r="B14" i="9"/>
  <c r="B15" i="9"/>
  <c r="B16" i="9"/>
  <c r="B17" i="9"/>
  <c r="B18" i="9"/>
  <c r="B19" i="9"/>
  <c r="B20" i="9"/>
  <c r="B21" i="9"/>
  <c r="B22" i="9"/>
  <c r="B23" i="9"/>
  <c r="B24" i="9"/>
  <c r="A49" i="9"/>
  <c r="A7" i="20"/>
  <c r="A8" i="20"/>
  <c r="A9" i="20"/>
  <c r="A10" i="20"/>
  <c r="A74" i="18"/>
  <c r="A75" i="18"/>
  <c r="A76" i="18"/>
  <c r="A77" i="18"/>
  <c r="A3" i="7"/>
  <c r="A4" i="7"/>
  <c r="A5" i="7"/>
  <c r="A6" i="7"/>
  <c r="A3" i="6"/>
  <c r="A4" i="6"/>
  <c r="A51" i="9"/>
  <c r="A50" i="9"/>
  <c r="A48" i="9"/>
  <c r="A78" i="18"/>
  <c r="A79" i="18"/>
  <c r="A80" i="18"/>
  <c r="A81" i="18"/>
  <c r="A82" i="18"/>
  <c r="A83" i="18"/>
  <c r="A84" i="18"/>
  <c r="A85" i="18"/>
  <c r="A86" i="18"/>
  <c r="A87" i="18"/>
  <c r="A88" i="18"/>
  <c r="A89" i="18"/>
  <c r="A90" i="18"/>
  <c r="A91" i="18"/>
  <c r="A92" i="18"/>
  <c r="A5" i="6"/>
  <c r="A6" i="6"/>
  <c r="A7" i="6"/>
  <c r="A9" i="6"/>
  <c r="A52" i="9"/>
  <c r="A47" i="9"/>
  <c r="B40" i="9"/>
  <c r="A46" i="9"/>
  <c r="B36" i="9"/>
  <c r="B38" i="9"/>
  <c r="B41" i="9"/>
  <c r="A84" i="7"/>
  <c r="A85" i="7"/>
  <c r="A88" i="7"/>
  <c r="A89" i="7"/>
  <c r="A56" i="14"/>
  <c r="A57" i="14"/>
  <c r="A58" i="14"/>
  <c r="A59" i="14"/>
  <c r="A61" i="14"/>
  <c r="A62" i="14"/>
  <c r="A63" i="14"/>
  <c r="A64" i="14"/>
  <c r="A65" i="14"/>
  <c r="A66" i="14"/>
  <c r="A68" i="14"/>
  <c r="A69" i="14"/>
  <c r="A70" i="14"/>
  <c r="A71" i="14"/>
  <c r="A72" i="14"/>
  <c r="A73" i="14"/>
  <c r="A74" i="14"/>
  <c r="A76" i="14"/>
  <c r="A77" i="14"/>
  <c r="A78" i="14"/>
  <c r="A79" i="14"/>
  <c r="A80" i="14"/>
  <c r="A81" i="14"/>
  <c r="A82" i="14"/>
  <c r="A83" i="14"/>
  <c r="A84" i="14"/>
  <c r="A85" i="14"/>
  <c r="A86" i="14"/>
  <c r="A87" i="14"/>
  <c r="A88" i="14" s="1"/>
  <c r="A89" i="14"/>
  <c r="A90" i="14"/>
  <c r="A91" i="14"/>
  <c r="A92" i="14"/>
  <c r="A93" i="14"/>
  <c r="A94" i="14"/>
  <c r="A95" i="14"/>
  <c r="A96" i="14"/>
  <c r="A97" i="14"/>
  <c r="A98" i="14"/>
  <c r="A99" i="14"/>
  <c r="A100" i="14"/>
  <c r="A101" i="14" s="1"/>
  <c r="A102" i="14"/>
  <c r="A103" i="14"/>
  <c r="A104" i="14"/>
  <c r="A105" i="14"/>
  <c r="A106" i="14" s="1"/>
  <c r="A107" i="14"/>
  <c r="A108" i="14"/>
  <c r="A109" i="14"/>
  <c r="A110" i="14"/>
  <c r="A111" i="14"/>
  <c r="A112" i="14"/>
  <c r="A113" i="14" s="1"/>
  <c r="A114" i="14"/>
  <c r="A115" i="14"/>
  <c r="A116" i="14"/>
  <c r="A117" i="14"/>
  <c r="A118" i="14" s="1"/>
  <c r="A119" i="14" s="1"/>
  <c r="A120" i="14" s="1"/>
  <c r="A121" i="14"/>
  <c r="A122" i="14"/>
  <c r="A123" i="14"/>
  <c r="A124" i="14"/>
  <c r="A125" i="14"/>
  <c r="A126" i="14"/>
  <c r="A127" i="14" s="1"/>
  <c r="A128" i="14" s="1"/>
  <c r="A129" i="14"/>
  <c r="A130" i="14"/>
  <c r="A131" i="14"/>
  <c r="A132" i="14"/>
  <c r="A133" i="14"/>
  <c r="A134" i="14"/>
  <c r="A135" i="14"/>
  <c r="A136" i="14"/>
  <c r="A137" i="14"/>
  <c r="A138" i="14"/>
  <c r="A139" i="14"/>
  <c r="A140" i="14"/>
  <c r="A141" i="14"/>
  <c r="A142" i="14"/>
  <c r="A143" i="14" s="1"/>
  <c r="A144" i="14" s="1"/>
  <c r="A145" i="14"/>
  <c r="A146" i="14"/>
  <c r="A147" i="14"/>
  <c r="A148" i="14"/>
  <c r="A149" i="14"/>
  <c r="A150" i="14"/>
  <c r="A151" i="14" s="1"/>
  <c r="A152" i="14"/>
  <c r="A153" i="14"/>
  <c r="A154" i="14"/>
  <c r="A155" i="14"/>
  <c r="A156" i="14"/>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88" i="14"/>
  <c r="A189" i="14"/>
  <c r="A190" i="14"/>
  <c r="A191" i="14"/>
  <c r="A192" i="14"/>
  <c r="A193" i="14"/>
  <c r="A194" i="14"/>
  <c r="A195" i="14"/>
  <c r="A196" i="14"/>
  <c r="A197" i="14"/>
  <c r="A198" i="14"/>
  <c r="A199" i="14"/>
  <c r="A200" i="14"/>
  <c r="A201" i="14"/>
  <c r="A202" i="14"/>
  <c r="A203" i="14"/>
  <c r="A204" i="14"/>
  <c r="A205" i="14"/>
  <c r="A206" i="14"/>
  <c r="A207" i="14"/>
  <c r="A208" i="14"/>
  <c r="A209" i="14"/>
  <c r="A210" i="14"/>
  <c r="A211" i="14"/>
  <c r="A212" i="14"/>
  <c r="A213" i="14"/>
  <c r="A214" i="14"/>
  <c r="A215" i="14"/>
  <c r="A216" i="14"/>
  <c r="A217" i="14"/>
  <c r="A218" i="14"/>
  <c r="A219" i="14"/>
  <c r="A220" i="14"/>
  <c r="A221" i="14"/>
  <c r="A222" i="14"/>
  <c r="A223" i="14"/>
  <c r="A224" i="14"/>
  <c r="A225" i="14"/>
  <c r="A226" i="14"/>
  <c r="A227" i="14"/>
  <c r="A228" i="14"/>
  <c r="A229" i="14"/>
  <c r="A230" i="14"/>
  <c r="A231" i="14"/>
  <c r="A232" i="14"/>
  <c r="A233" i="14"/>
  <c r="A234" i="14"/>
  <c r="A235" i="14"/>
  <c r="A236" i="14"/>
  <c r="A237" i="14"/>
  <c r="A238" i="14"/>
  <c r="A239" i="14"/>
  <c r="A240" i="14"/>
  <c r="A241" i="14"/>
  <c r="A242" i="14"/>
  <c r="A243" i="14"/>
  <c r="A244" i="14"/>
  <c r="A245" i="14"/>
  <c r="A246" i="14"/>
  <c r="A247" i="14"/>
  <c r="A248" i="14"/>
  <c r="A249" i="14"/>
  <c r="A250" i="14"/>
  <c r="A251" i="14"/>
  <c r="A252" i="14"/>
  <c r="A253" i="14"/>
  <c r="A254" i="14"/>
  <c r="A255" i="14"/>
  <c r="A256" i="14"/>
  <c r="A257" i="14"/>
  <c r="A258" i="14"/>
  <c r="A259" i="14"/>
  <c r="A260" i="14"/>
  <c r="A261" i="14"/>
  <c r="A262" i="14"/>
  <c r="A263" i="14"/>
  <c r="A264" i="14"/>
  <c r="A265" i="14"/>
  <c r="A266" i="14"/>
  <c r="A267" i="14"/>
  <c r="A268" i="14"/>
  <c r="A269" i="14"/>
  <c r="A270" i="14"/>
  <c r="A271" i="14"/>
  <c r="A272" i="14"/>
  <c r="A273" i="14"/>
  <c r="A274" i="14"/>
  <c r="A275" i="14"/>
  <c r="A276" i="14"/>
  <c r="A277" i="14"/>
  <c r="A278" i="14"/>
  <c r="A279" i="14"/>
  <c r="A280" i="14"/>
  <c r="A281" i="14"/>
  <c r="A282" i="14"/>
  <c r="A283" i="14"/>
  <c r="A284" i="14"/>
  <c r="A285" i="14"/>
  <c r="A286" i="14"/>
  <c r="A287" i="14"/>
  <c r="A288" i="14"/>
  <c r="A289" i="14"/>
  <c r="A290" i="14"/>
  <c r="A291" i="14"/>
  <c r="A292" i="14"/>
  <c r="A293" i="14"/>
  <c r="A294" i="14"/>
  <c r="A295" i="14"/>
  <c r="A296" i="14"/>
  <c r="A297" i="14"/>
  <c r="A298" i="14"/>
  <c r="A299" i="14"/>
  <c r="A300" i="14"/>
  <c r="A301" i="14"/>
  <c r="A302" i="14"/>
  <c r="A303" i="14"/>
  <c r="A304" i="14"/>
  <c r="A305" i="14"/>
  <c r="A306" i="14"/>
  <c r="A307" i="14"/>
  <c r="A308" i="14"/>
  <c r="A309" i="14"/>
  <c r="A310" i="14"/>
  <c r="A311" i="14"/>
  <c r="A312" i="14"/>
  <c r="A313" i="14"/>
  <c r="A314" i="14"/>
  <c r="A315" i="14"/>
  <c r="A316" i="14"/>
  <c r="A317" i="14"/>
  <c r="A318" i="14"/>
  <c r="A319" i="14"/>
  <c r="A320" i="14"/>
  <c r="A321" i="14"/>
  <c r="A322" i="14"/>
  <c r="A323" i="14"/>
  <c r="A324" i="14"/>
  <c r="A325" i="14"/>
  <c r="A326" i="14"/>
  <c r="A327" i="14"/>
  <c r="A328" i="14"/>
  <c r="A329" i="14"/>
  <c r="A330" i="14"/>
  <c r="A331" i="14"/>
  <c r="A332" i="14"/>
  <c r="A333" i="14"/>
  <c r="A334" i="14"/>
  <c r="A335" i="14"/>
  <c r="A336" i="14"/>
  <c r="A337" i="14"/>
  <c r="A338" i="14"/>
  <c r="A339" i="14"/>
  <c r="A340" i="14"/>
  <c r="A341" i="14"/>
  <c r="A342" i="14"/>
  <c r="A343" i="14"/>
  <c r="A344" i="14"/>
  <c r="A345" i="14"/>
  <c r="A346" i="14"/>
  <c r="A347" i="14"/>
  <c r="A348" i="14"/>
  <c r="A349" i="14"/>
  <c r="A350" i="14"/>
  <c r="A351" i="14"/>
  <c r="A352" i="14"/>
  <c r="A353" i="14"/>
  <c r="A354" i="14"/>
  <c r="A355" i="14"/>
  <c r="A356" i="14"/>
  <c r="A357" i="14"/>
  <c r="A358" i="14"/>
  <c r="A359" i="14"/>
  <c r="A360" i="14"/>
  <c r="A361" i="14"/>
  <c r="A362" i="14"/>
  <c r="A363" i="14"/>
  <c r="A364" i="14"/>
  <c r="A365" i="14"/>
  <c r="A366" i="14"/>
  <c r="A367" i="14"/>
  <c r="A368" i="14"/>
  <c r="A369" i="14"/>
  <c r="A370" i="14"/>
  <c r="A371" i="14"/>
  <c r="A372" i="14"/>
  <c r="A373" i="14"/>
  <c r="A374" i="14"/>
  <c r="A375" i="14"/>
  <c r="A376" i="14"/>
  <c r="A377" i="14"/>
  <c r="A378" i="14"/>
  <c r="A379" i="14"/>
  <c r="A380" i="14"/>
  <c r="A381" i="14"/>
  <c r="A382" i="14"/>
  <c r="A383" i="14"/>
  <c r="A384" i="14"/>
  <c r="A385" i="14"/>
  <c r="A386" i="14"/>
  <c r="A387" i="14"/>
  <c r="A388" i="14"/>
  <c r="A389" i="14"/>
  <c r="A390" i="14"/>
  <c r="A391" i="14"/>
  <c r="A392" i="14"/>
  <c r="A393" i="14"/>
  <c r="A394" i="14"/>
  <c r="A395" i="14"/>
  <c r="A396" i="14"/>
  <c r="A397" i="14"/>
  <c r="A398" i="14"/>
  <c r="A399" i="14"/>
  <c r="A400" i="14"/>
  <c r="A401" i="14"/>
  <c r="A402" i="14"/>
  <c r="A403" i="14"/>
  <c r="A404" i="14"/>
  <c r="A405" i="14"/>
  <c r="A406" i="14"/>
  <c r="A407" i="14"/>
  <c r="A408" i="14"/>
  <c r="A409" i="14"/>
  <c r="A410" i="14"/>
  <c r="A411" i="14"/>
  <c r="A412" i="14"/>
  <c r="A413" i="14"/>
  <c r="A414" i="14"/>
  <c r="A415" i="14"/>
  <c r="A416" i="14"/>
  <c r="A417" i="14"/>
  <c r="A418" i="14"/>
  <c r="A419" i="14"/>
  <c r="A420" i="14"/>
  <c r="A421" i="14"/>
  <c r="A422" i="14"/>
  <c r="A423" i="14"/>
  <c r="A424" i="14"/>
  <c r="A425" i="14"/>
  <c r="A426" i="14"/>
  <c r="A427" i="14"/>
  <c r="A428" i="14"/>
  <c r="A429" i="14"/>
  <c r="A430" i="14"/>
  <c r="A431" i="14"/>
  <c r="A432" i="14"/>
  <c r="A433" i="14"/>
  <c r="A434" i="14"/>
  <c r="A435" i="14"/>
  <c r="A436" i="14"/>
  <c r="A437" i="14"/>
  <c r="A438" i="14"/>
  <c r="A439" i="14"/>
  <c r="A440" i="14"/>
  <c r="A441" i="14"/>
  <c r="A442" i="14"/>
  <c r="A443" i="14"/>
  <c r="A444" i="14"/>
  <c r="A445" i="14"/>
  <c r="A446" i="14"/>
  <c r="A447" i="14"/>
  <c r="A448" i="14"/>
  <c r="A40" i="7"/>
  <c r="A449" i="14"/>
  <c r="A450" i="14"/>
  <c r="A451" i="14"/>
  <c r="A452" i="14"/>
  <c r="A453" i="14"/>
  <c r="A454" i="14"/>
  <c r="A455" i="14"/>
  <c r="A456" i="14"/>
  <c r="A457" i="14"/>
  <c r="A458" i="14"/>
  <c r="A459" i="14"/>
  <c r="A460" i="14"/>
  <c r="A461" i="14"/>
  <c r="A462" i="14"/>
  <c r="A463" i="14"/>
  <c r="A464" i="14"/>
  <c r="A465" i="14"/>
  <c r="A466" i="14"/>
  <c r="A467" i="14"/>
  <c r="A468" i="14"/>
  <c r="A469" i="14"/>
  <c r="A470" i="14"/>
  <c r="A471" i="14"/>
  <c r="A472" i="14"/>
  <c r="A473" i="14"/>
  <c r="A474" i="14"/>
  <c r="A475" i="14"/>
  <c r="A476" i="14"/>
  <c r="A477" i="14"/>
  <c r="A478" i="14"/>
  <c r="A479" i="14"/>
  <c r="A480" i="14"/>
  <c r="A481" i="14"/>
  <c r="A482" i="14"/>
  <c r="A483" i="14"/>
  <c r="A484" i="14"/>
  <c r="A485" i="14"/>
  <c r="A486" i="14"/>
  <c r="A487" i="14"/>
  <c r="A488" i="14"/>
  <c r="A489" i="14"/>
  <c r="A490" i="14"/>
  <c r="A491" i="14"/>
  <c r="A492" i="14"/>
  <c r="A493" i="14"/>
  <c r="A494" i="14"/>
  <c r="A495" i="14"/>
  <c r="A496" i="14"/>
  <c r="A497" i="14"/>
  <c r="A498" i="14"/>
  <c r="A499" i="14"/>
  <c r="A500" i="14"/>
  <c r="A501" i="14"/>
  <c r="A502" i="14"/>
  <c r="A503" i="14"/>
  <c r="A46" i="14"/>
  <c r="A504" i="14"/>
  <c r="A505" i="14"/>
  <c r="A506" i="14"/>
  <c r="A507" i="14"/>
  <c r="A508" i="14"/>
  <c r="A509" i="14"/>
  <c r="A510" i="14"/>
  <c r="A511" i="14"/>
  <c r="A512" i="14"/>
  <c r="A513" i="14"/>
  <c r="A514" i="14"/>
  <c r="A515" i="14"/>
  <c r="A516" i="14"/>
  <c r="A517" i="14"/>
  <c r="A518" i="14"/>
  <c r="A519" i="14"/>
  <c r="A520" i="14"/>
  <c r="A521" i="14"/>
  <c r="A522" i="14"/>
  <c r="A523" i="14"/>
  <c r="A524" i="14"/>
  <c r="A525" i="14"/>
  <c r="A526" i="14"/>
  <c r="A527" i="14"/>
  <c r="A528" i="14"/>
  <c r="A529" i="14"/>
  <c r="A530" i="14"/>
  <c r="A531" i="14"/>
  <c r="A532" i="14"/>
  <c r="A533" i="14"/>
  <c r="A534" i="14"/>
  <c r="A535" i="14"/>
  <c r="A536" i="14"/>
  <c r="A537" i="14"/>
  <c r="A538" i="14"/>
  <c r="A539" i="14"/>
  <c r="A540" i="14"/>
  <c r="A541" i="14"/>
  <c r="A542" i="14"/>
  <c r="A543" i="14"/>
  <c r="A544" i="14"/>
  <c r="A545" i="14"/>
  <c r="A546" i="14"/>
  <c r="A547" i="14"/>
  <c r="A548" i="14"/>
  <c r="A549" i="14"/>
  <c r="A550" i="14"/>
  <c r="A551" i="14"/>
  <c r="A552" i="14"/>
  <c r="A553" i="14"/>
  <c r="A554" i="14"/>
  <c r="A555" i="14"/>
  <c r="A556" i="14"/>
  <c r="A557" i="14"/>
  <c r="A558" i="14"/>
  <c r="A559" i="14"/>
  <c r="A560" i="14"/>
  <c r="A561" i="14"/>
  <c r="A562" i="14"/>
  <c r="A563" i="14"/>
  <c r="A564" i="14"/>
  <c r="A565" i="14"/>
  <c r="A566" i="14"/>
  <c r="A567" i="14"/>
  <c r="A568" i="14"/>
  <c r="A4" i="14"/>
  <c r="A5" i="14"/>
  <c r="A7" i="7"/>
  <c r="A8" i="7"/>
  <c r="A9" i="7"/>
  <c r="A10" i="7"/>
  <c r="A11" i="7"/>
  <c r="A12" i="7"/>
  <c r="A13" i="7"/>
  <c r="A14" i="7"/>
  <c r="A15" i="7"/>
  <c r="A16" i="7"/>
  <c r="A17" i="7"/>
  <c r="A18" i="7"/>
  <c r="A19" i="7"/>
  <c r="A20" i="7"/>
  <c r="A21" i="7"/>
  <c r="A22" i="7"/>
  <c r="A23" i="7"/>
  <c r="A90" i="7"/>
  <c r="A91" i="7"/>
  <c r="A92" i="7"/>
  <c r="A93" i="7"/>
  <c r="A94" i="7"/>
  <c r="A24" i="7"/>
  <c r="A41" i="7"/>
  <c r="A42" i="7"/>
  <c r="A43" i="7"/>
  <c r="A44" i="7"/>
  <c r="A45" i="7"/>
  <c r="A46" i="7"/>
  <c r="A86" i="7"/>
  <c r="A87" i="7"/>
  <c r="A47" i="7"/>
  <c r="A48" i="7"/>
  <c r="A49" i="7"/>
  <c r="A50" i="7"/>
  <c r="A51" i="7"/>
  <c r="A52" i="7"/>
  <c r="A53" i="7"/>
  <c r="A54" i="7"/>
  <c r="A55" i="7"/>
  <c r="A56" i="7"/>
  <c r="A57" i="7"/>
  <c r="A58" i="7"/>
  <c r="A59" i="7"/>
  <c r="A60" i="7"/>
  <c r="A61" i="7"/>
  <c r="A95" i="7"/>
  <c r="A96" i="7"/>
  <c r="A97" i="7"/>
  <c r="A98" i="7"/>
  <c r="A99" i="7"/>
  <c r="A100" i="7"/>
  <c r="A101" i="7"/>
  <c r="A102" i="7"/>
  <c r="A25" i="7"/>
  <c r="A26" i="7"/>
  <c r="A27" i="7"/>
  <c r="A28" i="7"/>
  <c r="A29" i="7"/>
  <c r="A30" i="7"/>
  <c r="A67" i="7"/>
  <c r="A62" i="7"/>
  <c r="A63" i="7"/>
  <c r="A64" i="7"/>
  <c r="A65" i="7"/>
  <c r="A66" i="7"/>
  <c r="A31" i="7"/>
  <c r="A32" i="7"/>
  <c r="A103" i="7"/>
  <c r="A104" i="7"/>
  <c r="A33" i="7"/>
  <c r="A34" i="7"/>
  <c r="A35" i="7"/>
  <c r="A36" i="7"/>
  <c r="A37" i="7"/>
  <c r="A38" i="7"/>
  <c r="A83" i="7"/>
  <c r="A82" i="7"/>
  <c r="A68" i="7"/>
  <c r="A69" i="7"/>
  <c r="A70" i="7"/>
  <c r="A71" i="7"/>
  <c r="A72" i="7"/>
  <c r="A73" i="7"/>
  <c r="A74" i="7"/>
  <c r="A75" i="7"/>
  <c r="A76" i="7"/>
  <c r="A77" i="7"/>
  <c r="A78" i="7"/>
  <c r="A79" i="7"/>
  <c r="A80" i="7"/>
  <c r="A8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tc={9DFF5F5A-615C-4EAD-A8CD-81F4D7CDDEA9}</author>
    <author>tc={B0384A5E-8AE0-44A8-ADCA-934FF0BB4356}</author>
    <author>tc={E8119DF3-D781-43F1-9908-CC8B9C8D06A9}</author>
    <author>tc={9282B909-CC75-4D6B-8813-02972771A17D}</author>
    <author>tc={3417E49A-FD3D-471B-88B8-09F1D079C140}</author>
    <author>tc={A04F04D0-A794-483E-ACD0-D67421B3EEF1}</author>
  </authors>
  <commentList>
    <comment ref="W28" authorId="0" shapeId="0" xr:uid="{9DFF5F5A-615C-4EAD-A8CD-81F4D7CDDEA9}">
      <text>
        <t>[Threaded comment]
Your version of Excel allows you to read this threaded comment; however, any edits to it will get removed if the file is opened in a newer version of Excel. Learn more: https://go.microsoft.com/fwlink/?linkid=870924
Comment:
    USB ports faulty</t>
      </text>
    </comment>
    <comment ref="W40" authorId="1" shapeId="0" xr:uid="{B0384A5E-8AE0-44A8-ADCA-934FF0BB4356}">
      <text>
        <t>[Threaded comment]
Your version of Excel allows you to read this threaded comment; however, any edits to it will get removed if the file is opened in a newer version of Excel. Learn more: https://go.microsoft.com/fwlink/?linkid=870924
Comment:
    USB ports faulty</t>
      </text>
    </comment>
    <comment ref="M49" authorId="2" shapeId="0" xr:uid="{E8119DF3-D781-43F1-9908-CC8B9C8D06A9}">
      <text>
        <t>[Threaded comment]
Your version of Excel allows you to read this threaded comment; however, any edits to it will get removed if the file is opened in a newer version of Excel. Learn more: https://go.microsoft.com/fwlink/?linkid=870924
Comment:
    Anh Đạt note đã đổi cho store Scaning gun với serial number SNG23C76551</t>
      </text>
    </comment>
    <comment ref="D54" authorId="3" shapeId="0" xr:uid="{9282B909-CC75-4D6B-8813-02972771A17D}">
      <text>
        <t>[Threaded comment]
Your version of Excel allows you to read this threaded comment; however, any edits to it will get removed if the file is opened in a newer version of Excel. Learn more: https://go.microsoft.com/fwlink/?linkid=870924
Comment:
    need to check data clearance</t>
      </text>
    </comment>
    <comment ref="D75" authorId="4" shapeId="0" xr:uid="{3417E49A-FD3D-471B-88B8-09F1D079C140}">
      <text>
        <t>[Threaded comment]
Your version of Excel allows you to read this threaded comment; however, any edits to it will get removed if the file is opened in a newer version of Excel. Learn more: https://go.microsoft.com/fwlink/?linkid=870924
Comment:
    need to check data clearance</t>
      </text>
    </comment>
    <comment ref="D449" authorId="5" shapeId="0" xr:uid="{A04F04D0-A794-483E-ACD0-D67421B3EEF1}">
      <text>
        <t>[Threaded comment]
Your version of Excel allows you to read this threaded comment; however, any edits to it will get removed if the file is opened in a newer version of Excel. Learn more: https://go.microsoft.com/fwlink/?linkid=870924
Comment:
    at Khang COE (resigned) table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tc={12A45809-2674-4F77-BF72-DD10B2F0E6F1}</author>
    <author>tc={1E202E03-4C70-4A13-B60B-3C887A5B161C}</author>
  </authors>
  <commentList>
    <comment ref="M17" authorId="0" shapeId="0" xr:uid="{12A45809-2674-4F77-BF72-DD10B2F0E6F1}">
      <text>
        <t>[Threaded comment]
Your version of Excel allows you to read this threaded comment; however, any edits to it will get removed if the file is opened in a newer version of Excel. Learn more: https://go.microsoft.com/fwlink/?linkid=870924
Comment:
    Use 4G from ZV07</t>
      </text>
    </comment>
    <comment ref="P66" authorId="1" shapeId="0" xr:uid="{1E202E03-4C70-4A13-B60B-3C887A5B161C}">
      <text>
        <t>[Threaded comment]
Your version of Excel allows you to read this threaded comment; however, any edits to it will get removed if the file is opened in a newer version of Excel. Learn more: https://go.microsoft.com/fwlink/?linkid=870924
Comment:
    will transfer O2O assets to NEW BALANCE SAIGON CENTER (VA15)</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<sst xmlns="http://schemas.openxmlformats.org/spreadsheetml/2006/main" count="13516" uniqueCount="4225">
  <si>
    <t>No.</t>
  </si>
  <si>
    <t>Category</t>
  </si>
  <si>
    <t>Qty</t>
  </si>
  <si>
    <t>Notes</t>
  </si>
  <si>
    <t>HCM</t>
  </si>
  <si>
    <t>South stores (other than HCM)</t>
  </si>
  <si>
    <t>HN</t>
  </si>
  <si>
    <t>North stores (other than HN)</t>
  </si>
  <si>
    <t>Number of active stores</t>
  </si>
  <si>
    <t>Number of active bazaar</t>
  </si>
  <si>
    <t>Number of active events, private sales</t>
  </si>
  <si>
    <t>Total (active)</t>
  </si>
  <si>
    <t>Existing stores that need to deploy FG-40F</t>
  </si>
  <si>
    <t>Existing stores that need to deploy FG-60F</t>
  </si>
  <si>
    <t>Extra Details - Number of active Mono stores</t>
  </si>
  <si>
    <t>Extra Details - Number of active SIS stores</t>
  </si>
  <si>
    <t>Stores enabled O2O</t>
  </si>
  <si>
    <t>Total</t>
  </si>
  <si>
    <t>VN Office Computers</t>
  </si>
  <si>
    <t>Completed for VN Office Computers</t>
  </si>
  <si>
    <t>Remaining VN Office Computers to unjoin existing domain &amp; change hostname &amp; use OneDrive to store data</t>
  </si>
  <si>
    <t>VN Office Bazaar Computers</t>
  </si>
  <si>
    <t>Completed for VN Office Bazaar Computers</t>
  </si>
  <si>
    <t>Remaining VN Office Bazaar Computers to unjoin existing domain &amp; change hostname &amp; use OneDrive to store data</t>
  </si>
  <si>
    <t>Cambodia Office Computers</t>
  </si>
  <si>
    <t>Completed for Cambodia Office Computers</t>
  </si>
  <si>
    <t>Remaining Cambodia Office Computers to unjoin existing domain &amp; change hostname &amp; use OneDrive to store data</t>
  </si>
  <si>
    <t>Asset ID</t>
  </si>
  <si>
    <t>Status
(formula)</t>
  </si>
  <si>
    <t>Assigned To
(formula)</t>
  </si>
  <si>
    <t>Description
(formula)</t>
  </si>
  <si>
    <t>Location</t>
  </si>
  <si>
    <t>Asset Description
(formula)</t>
  </si>
  <si>
    <t>Asset Type (formula)</t>
  </si>
  <si>
    <t>Brand</t>
  </si>
  <si>
    <t>Model</t>
  </si>
  <si>
    <t>Additional Specs</t>
  </si>
  <si>
    <t>S/N</t>
  </si>
  <si>
    <t>RAM (GB)</t>
  </si>
  <si>
    <t>Hard Disk (GB)</t>
  </si>
  <si>
    <t>Hard Disk Type</t>
  </si>
  <si>
    <t>CPU</t>
  </si>
  <si>
    <t>Purchase Date</t>
  </si>
  <si>
    <t>Vendor/Supplier</t>
  </si>
  <si>
    <t>Note</t>
  </si>
  <si>
    <t>Assignment History</t>
  </si>
  <si>
    <t>Old Hostname</t>
  </si>
  <si>
    <t>Hostname</t>
  </si>
  <si>
    <t>AD unjoin, change hostname</t>
  </si>
  <si>
    <t>Status BIGFIX</t>
  </si>
  <si>
    <t>STATUS Crowdstrike</t>
  </si>
  <si>
    <t>JOIN DOMAIN</t>
  </si>
  <si>
    <t>Template</t>
  </si>
  <si>
    <t>22VN00110001</t>
  </si>
  <si>
    <t>Available</t>
  </si>
  <si>
    <t>KN01</t>
  </si>
  <si>
    <t>Store</t>
  </si>
  <si>
    <t>Desktop</t>
  </si>
  <si>
    <t>HP</t>
  </si>
  <si>
    <t>ProDesk 400 G4 DM</t>
  </si>
  <si>
    <t>8CC90102Q1</t>
  </si>
  <si>
    <t>HDD</t>
  </si>
  <si>
    <t>2100 MHz Core i5-8500T</t>
  </si>
  <si>
    <t>KN01-ADMIN</t>
  </si>
  <si>
    <t>DONE</t>
  </si>
  <si>
    <t>In Use</t>
  </si>
  <si>
    <t>VA14</t>
  </si>
  <si>
    <t>New Balance Vincom Dong Khoi</t>
  </si>
  <si>
    <t>HP ProDesk 400 G3 DM</t>
  </si>
  <si>
    <t>ProDesk 400 G3 DM</t>
  </si>
  <si>
    <t>8CG8105N35</t>
  </si>
  <si>
    <t>22VN00110002</t>
  </si>
  <si>
    <t>VA16</t>
  </si>
  <si>
    <t>New Balance Outlet Quang Trung</t>
  </si>
  <si>
    <t>8CG8105N1T</t>
  </si>
  <si>
    <t>22VN00110003</t>
  </si>
  <si>
    <t>HR Intern</t>
  </si>
  <si>
    <t>PLANET SPORTS VINCOM DONG KHOI (closed)</t>
  </si>
  <si>
    <t>8CG8105MSL</t>
  </si>
  <si>
    <t>SSD</t>
  </si>
  <si>
    <t>2700 MHz Core i5-7500T</t>
  </si>
  <si>
    <t>đã thu hồi</t>
  </si>
  <si>
    <t>IT BACKUP đang cấp Nguyễn Bảo Du InterHR</t>
  </si>
  <si>
    <t>PO02-Server</t>
  </si>
  <si>
    <t>22VN00110006</t>
  </si>
  <si>
    <t>VA02</t>
  </si>
  <si>
    <t>Laptop</t>
  </si>
  <si>
    <t>ProBook 440 14 inch G9 Notebook PC</t>
  </si>
  <si>
    <t>5CD250F9ZW</t>
  </si>
  <si>
    <t>2500 MHz 12th Gen Intel Core i5-1235U</t>
  </si>
  <si>
    <t>Cần tìm lại file scan</t>
  </si>
  <si>
    <t>VA02-ADMIN</t>
  </si>
  <si>
    <t>Bill Printer</t>
  </si>
  <si>
    <t>Epson</t>
  </si>
  <si>
    <t>TM-T82III</t>
  </si>
  <si>
    <t>G22EB4602</t>
  </si>
  <si>
    <t>Scanner</t>
  </si>
  <si>
    <t>Datalogic</t>
  </si>
  <si>
    <t>QW2100</t>
  </si>
  <si>
    <t>A4 Printer</t>
  </si>
  <si>
    <t>Canon</t>
  </si>
  <si>
    <t>LBP 2900</t>
  </si>
  <si>
    <t>NMYA783802</t>
  </si>
  <si>
    <t>USB</t>
  </si>
  <si>
    <t>Kingston</t>
  </si>
  <si>
    <t>32GB</t>
  </si>
  <si>
    <t>22VN00110007</t>
  </si>
  <si>
    <t>VA10</t>
  </si>
  <si>
    <t>ư/'</t>
  </si>
  <si>
    <t>5CD250F9QZ</t>
  </si>
  <si>
    <t>VA10-ADMIN</t>
  </si>
  <si>
    <t>X7B9022786</t>
  </si>
  <si>
    <t>G22F27244</t>
  </si>
  <si>
    <t>NMYA782038</t>
  </si>
  <si>
    <t>Mouse</t>
  </si>
  <si>
    <t>VC01</t>
  </si>
  <si>
    <t>Monitor</t>
  </si>
  <si>
    <t>V190</t>
  </si>
  <si>
    <t>1CR82307LJ</t>
  </si>
  <si>
    <t>Trước đó dùng cho VC01 - CHAMPION VINCOM DONG KHOI</t>
  </si>
  <si>
    <t>TM-T82II</t>
  </si>
  <si>
    <t>TCCY014794</t>
  </si>
  <si>
    <t>VR05</t>
  </si>
  <si>
    <t>G18C39492</t>
  </si>
  <si>
    <t>- Trước đó dùng cho VC01 - CHAMPION VINCOM DONG KHOI
- Điều chuyển đến VR05</t>
  </si>
  <si>
    <t>Pole Display</t>
  </si>
  <si>
    <t>LD220</t>
  </si>
  <si>
    <t>2TD843AAA0</t>
  </si>
  <si>
    <t>22VN00000005</t>
  </si>
  <si>
    <t>VN03</t>
  </si>
  <si>
    <t>VN03- CONVERSE TAKASHIMAYA</t>
  </si>
  <si>
    <t>Latitude 3520</t>
  </si>
  <si>
    <t>STORE</t>
  </si>
  <si>
    <t>Dell</t>
  </si>
  <si>
    <t>8P9VKG3</t>
  </si>
  <si>
    <t>2200 MHz 11th Gen Intel Core i3-1115G4 @ 3.00GHz</t>
  </si>
  <si>
    <t>BÀN GIAO NGÀY 19-02-2024 CHO STORE CONVERSE TAKASHIMAYA (VN03)</t>
  </si>
  <si>
    <t>trước đây là laptop cũ của Diễm Quỳnh Accounting, ĐÃ  SETUP CHO VN03 (CONVERSE TAKASHIMAYA)</t>
  </si>
  <si>
    <t>MMA-LAP-0005</t>
  </si>
  <si>
    <t>VI02</t>
  </si>
  <si>
    <t>TCCY011121</t>
  </si>
  <si>
    <t>G14MA2902</t>
  </si>
  <si>
    <t xml:space="preserve">THIẾU  bbbg máy scan </t>
  </si>
  <si>
    <t>22VN00110004</t>
  </si>
  <si>
    <t>VA05</t>
  </si>
  <si>
    <t>NEW BALANCE VINCOM THAO DIEN</t>
  </si>
  <si>
    <t xml:space="preserve">8CG8105MTN </t>
  </si>
  <si>
    <t>IT BACKUP</t>
  </si>
  <si>
    <t>PO02-POS1</t>
  </si>
  <si>
    <t>VA03</t>
  </si>
  <si>
    <t>1CR82307DL</t>
  </si>
  <si>
    <t>- Trước đó dùng cho CHAMPION AEON HAI PHONG (VC03)</t>
  </si>
  <si>
    <t>TCEY007587</t>
  </si>
  <si>
    <t>G20I34943</t>
  </si>
  <si>
    <t>Topcash</t>
  </si>
  <si>
    <t>AL-CD1</t>
  </si>
  <si>
    <t>ALCD20110003</t>
  </si>
  <si>
    <t>IT</t>
  </si>
  <si>
    <t>Thu hồi từ New Balance Aeon Hai Phong (VA03)</t>
  </si>
  <si>
    <t>Cash Drawer</t>
  </si>
  <si>
    <t>Poscom</t>
  </si>
  <si>
    <t>2020092549</t>
  </si>
  <si>
    <t>NMYA467017</t>
  </si>
  <si>
    <t>22VN00110011</t>
  </si>
  <si>
    <t>VA23</t>
  </si>
  <si>
    <t>Inspiron 3505</t>
  </si>
  <si>
    <t>HRBPK73</t>
  </si>
  <si>
    <t>2600 MHz Ryzen 3 3250U with Radeon Graphics</t>
  </si>
  <si>
    <t>VC04-ADMIN</t>
  </si>
  <si>
    <t>X7BA000883</t>
  </si>
  <si>
    <t>G20L70107</t>
  </si>
  <si>
    <t>G20L70107 - IT BACKUP đem đổi mới cho VC04
G22F27150 trước đó cấp cho store bị hư, đã thu hồi</t>
  </si>
  <si>
    <t>Network Switch</t>
  </si>
  <si>
    <t>Mercusys</t>
  </si>
  <si>
    <t>8 Port</t>
  </si>
  <si>
    <t>2201552001975</t>
  </si>
  <si>
    <t>STORE LÀM MẤT</t>
  </si>
  <si>
    <t>LBP 3300</t>
  </si>
  <si>
    <t>NMYA467026</t>
  </si>
  <si>
    <t>22VN00110005</t>
  </si>
  <si>
    <t>Spare</t>
  </si>
  <si>
    <t>8CG8105MSN</t>
  </si>
  <si>
    <t>PO02-POS2</t>
  </si>
  <si>
    <t>22VN00110013</t>
  </si>
  <si>
    <t>VC06</t>
  </si>
  <si>
    <t>JS90L73</t>
  </si>
  <si>
    <t>VC06-ADMIN</t>
  </si>
  <si>
    <t>X7BA000891</t>
  </si>
  <si>
    <t>G20L70145</t>
  </si>
  <si>
    <t>201552001925</t>
  </si>
  <si>
    <t>có trên bb nhung không thấy thiết bị vật lý - CHECK LẠI VS STORE</t>
  </si>
  <si>
    <t>LQHA364224</t>
  </si>
  <si>
    <t>22VN00110008</t>
  </si>
  <si>
    <t>8CG8105MSQ</t>
  </si>
  <si>
    <t>VC08</t>
  </si>
  <si>
    <t>1CR82307CH</t>
  </si>
  <si>
    <t>X7BA003673</t>
  </si>
  <si>
    <t>G21E85754</t>
  </si>
  <si>
    <t>VFD220U</t>
  </si>
  <si>
    <t>120039</t>
  </si>
  <si>
    <t>Antech</t>
  </si>
  <si>
    <t>DGAV141220180754</t>
  </si>
  <si>
    <t>2201552001923</t>
  </si>
  <si>
    <t>Neverstop Laser 1000w</t>
  </si>
  <si>
    <t>CNBRP837ZY</t>
  </si>
  <si>
    <t>22VN00110010</t>
  </si>
  <si>
    <t>VC03</t>
  </si>
  <si>
    <t>8CG75206VW</t>
  </si>
  <si>
    <t>đã nâng cấp SSD 500 GB</t>
  </si>
  <si>
    <t>- Trước đó dùng cho CHAMPION AEON HAI PHONG (VC03)
- Hiện tại: IT BACKUP</t>
  </si>
  <si>
    <t>VC03-ADMIN</t>
  </si>
  <si>
    <t>VI05</t>
  </si>
  <si>
    <t>V193b</t>
  </si>
  <si>
    <t>3CQ54013F6</t>
  </si>
  <si>
    <t xml:space="preserve">ĐÃ THU HỒI , ĐIỀU CHUYỂN VI05-VR05 </t>
  </si>
  <si>
    <t>- Trước đó dùng cho VE01</t>
  </si>
  <si>
    <t>TCEY007558</t>
  </si>
  <si>
    <t>ĐÃ THU HỒI, điều chuyển cho VI05</t>
  </si>
  <si>
    <t>G20I34954</t>
  </si>
  <si>
    <t>ĐÃ THU HỒI , ĐIỀU CHUYỂN VI05</t>
  </si>
  <si>
    <t>ALCD20110005</t>
  </si>
  <si>
    <t>ĐÃ THU HỒI</t>
  </si>
  <si>
    <t>22VN00110012</t>
  </si>
  <si>
    <t>VC05</t>
  </si>
  <si>
    <t>8CG75234Q7</t>
  </si>
  <si>
    <t>VC05-ADMIN</t>
  </si>
  <si>
    <t>VE03</t>
  </si>
  <si>
    <t>X7BA004103</t>
  </si>
  <si>
    <t>CN-098W4H---2V8M</t>
  </si>
  <si>
    <t>G21E85723</t>
  </si>
  <si>
    <t>Maken</t>
  </si>
  <si>
    <t>MK410</t>
  </si>
  <si>
    <t>MK410210300816</t>
  </si>
  <si>
    <t>120034</t>
  </si>
  <si>
    <t>8-port Switch</t>
  </si>
  <si>
    <t>22VN00110014</t>
  </si>
  <si>
    <t>HP 280 G3 MT</t>
  </si>
  <si>
    <t>4CE7385WV3</t>
  </si>
  <si>
    <t>3400 MHz Core i5-7500</t>
  </si>
  <si>
    <t>VC08-ADMIN</t>
  </si>
  <si>
    <t>VE04</t>
  </si>
  <si>
    <t>1CR8420HDS</t>
  </si>
  <si>
    <t>X7BA004104</t>
  </si>
  <si>
    <t>G21E85821</t>
  </si>
  <si>
    <t>120033</t>
  </si>
  <si>
    <t>DGAV141220180740</t>
  </si>
  <si>
    <t>2201552001955</t>
  </si>
  <si>
    <t>22VN00110018</t>
  </si>
  <si>
    <t>VE06</t>
  </si>
  <si>
    <t>ProBook 440 G9</t>
  </si>
  <si>
    <t>5CD250F9PD</t>
  </si>
  <si>
    <t>VE06-ADMIN</t>
  </si>
  <si>
    <t>22VN00110015</t>
  </si>
  <si>
    <t>Buy by Maison</t>
  </si>
  <si>
    <t>KN08</t>
  </si>
  <si>
    <t>8CG75234QC</t>
  </si>
  <si>
    <t>ĐÃ THU HỒI, cần nâng SSD</t>
  </si>
  <si>
    <t>- Trước đó dùng cho VE01
- Hiện tại: IT BACKUP</t>
  </si>
  <si>
    <t>VE01-ADMIN</t>
  </si>
  <si>
    <t>VF02</t>
  </si>
  <si>
    <t>1CR84126GF</t>
  </si>
  <si>
    <t>Lúc trước dùng cho VF02 - BIRKENSTOCK VINCOM DONG KHOI
Đã thu hồi</t>
  </si>
  <si>
    <t>TCCYO11123</t>
  </si>
  <si>
    <t>G18C96710</t>
  </si>
  <si>
    <t>2TD819AAEJ</t>
  </si>
  <si>
    <t>D-Link</t>
  </si>
  <si>
    <t>24 Port</t>
  </si>
  <si>
    <t>22172w5002268</t>
  </si>
  <si>
    <t>LaserJet</t>
  </si>
  <si>
    <t>VNC3K04690</t>
  </si>
  <si>
    <t>Operations</t>
  </si>
  <si>
    <t>Music Box</t>
  </si>
  <si>
    <t>MEDIA BOSE</t>
  </si>
  <si>
    <t>USB Hub</t>
  </si>
  <si>
    <t>Orico</t>
  </si>
  <si>
    <t>Other</t>
  </si>
  <si>
    <t>Patch Panel</t>
  </si>
  <si>
    <t>22VN00110020</t>
  </si>
  <si>
    <t>VI01</t>
  </si>
  <si>
    <t>Lenovo</t>
  </si>
  <si>
    <t>Lenovo 81FV</t>
  </si>
  <si>
    <t>PF1MDA7C</t>
  </si>
  <si>
    <t>2200 MHz Core i7-8750H</t>
  </si>
  <si>
    <t>VI01_ADMIN</t>
  </si>
  <si>
    <t>22VN00110016</t>
  </si>
  <si>
    <t>HP ProDesk 400 G3 MT</t>
  </si>
  <si>
    <t>SGH649PK2B</t>
  </si>
  <si>
    <t>3200 MHz Core i5-6500</t>
  </si>
  <si>
    <t>VE03-ADMIN</t>
  </si>
  <si>
    <t>22VN00110022</t>
  </si>
  <si>
    <t>VN19
VI04</t>
  </si>
  <si>
    <t>CONVERSE &amp; SMIGGLE GOLDCOAST NHA TRANG</t>
  </si>
  <si>
    <t>Dell Latitude 3520</t>
  </si>
  <si>
    <t>CND53878ZC</t>
  </si>
  <si>
    <t>2200 MHz Core i5-5200U</t>
  </si>
  <si>
    <t>S/N: 61RXKS3???
HP ProBook 440 G2 đã thu hồi (CND53878ZC)???</t>
  </si>
  <si>
    <t>VI04-VN19ADMIN</t>
  </si>
  <si>
    <t>X7BA002775</t>
  </si>
  <si>
    <t>G21M82726</t>
  </si>
  <si>
    <t>KHO IT G21M82786</t>
  </si>
  <si>
    <t>Logitech</t>
  </si>
  <si>
    <t>M185</t>
  </si>
  <si>
    <t>215LZ0428</t>
  </si>
  <si>
    <t>22VN00110023</t>
  </si>
  <si>
    <t>VI06</t>
  </si>
  <si>
    <t>5CD2409YYT</t>
  </si>
  <si>
    <t>23/07/2024 bàn giao cho  a Tuấn (ZV14)</t>
  </si>
  <si>
    <t>VI06-ADMIN</t>
  </si>
  <si>
    <t>22VN00110024</t>
  </si>
  <si>
    <t>VN01</t>
  </si>
  <si>
    <t>GNWPK73</t>
  </si>
  <si>
    <t>VN01-ADMIN</t>
  </si>
  <si>
    <t>X7BA000887</t>
  </si>
  <si>
    <t>G20L70063</t>
  </si>
  <si>
    <t>ALCD20110008</t>
  </si>
  <si>
    <t xml:space="preserve">Biên bản VN01 sai serial  &gt; IN LẠI BBBG </t>
  </si>
  <si>
    <t>20201130040</t>
  </si>
  <si>
    <t>NMYA467073</t>
  </si>
  <si>
    <t>2201552001939</t>
  </si>
  <si>
    <t>22VN00110017</t>
  </si>
  <si>
    <t>VE04-ADMIN</t>
  </si>
  <si>
    <t>22VN00110026</t>
  </si>
  <si>
    <t>VI02
VR02</t>
  </si>
  <si>
    <t>SMIGGLE&amp; ROOKIE TAKASHIMAYA</t>
  </si>
  <si>
    <t>H4K0BG3</t>
  </si>
  <si>
    <t>TRƯỚC ĐÓ LÀ LAPTOP CHỨA PROFILE VN03-VR02, 21-02-24 IT ĐÃ CHUYỂN ĐỔI LẠI THÀNH STORE VI02-VR02</t>
  </si>
  <si>
    <t>VN03-VR02-ADMIN</t>
  </si>
  <si>
    <t>VN03
VR02</t>
  </si>
  <si>
    <t>CONVERSE &amp; ROOKIE TAKASHIMAYA</t>
  </si>
  <si>
    <t>X7BA003670</t>
  </si>
  <si>
    <t>CNBRP8380M</t>
  </si>
  <si>
    <t>22VN00110019</t>
  </si>
  <si>
    <t>8CG8052W2H</t>
  </si>
  <si>
    <t>VF02-ADMIN</t>
  </si>
  <si>
    <t>VN04</t>
  </si>
  <si>
    <t>CNBRP83386</t>
  </si>
  <si>
    <t>MK410210300431</t>
  </si>
  <si>
    <t>G21M82741</t>
  </si>
  <si>
    <t>G21E85959 HƯ ĐÃ THU HỒI VỀ IT , VÀ BÀN GIAO SCAN :G21M82741 CHO STORE VN04</t>
  </si>
  <si>
    <t>X7BA004091</t>
  </si>
  <si>
    <t>1CR82307CR</t>
  </si>
  <si>
    <t>22VN00110021</t>
  </si>
  <si>
    <t>VI03</t>
  </si>
  <si>
    <t>Hp Prodesk 400 G3 DM i5 7500T</t>
  </si>
  <si>
    <t>8CG8105MTB</t>
  </si>
  <si>
    <t>VI03-ADMIN</t>
  </si>
  <si>
    <t>22VN00110029</t>
  </si>
  <si>
    <t>VN06</t>
  </si>
  <si>
    <t>THINKPAD X280</t>
  </si>
  <si>
    <t>PC0VT5R6</t>
  </si>
  <si>
    <t>1800 MHz Core i5-8250U</t>
  </si>
  <si>
    <t>VN06-ADMIN</t>
  </si>
  <si>
    <t>G21EB1603</t>
  </si>
  <si>
    <t>Xprinter</t>
  </si>
  <si>
    <t>Xp-k300L</t>
  </si>
  <si>
    <t>BM2105270032</t>
  </si>
  <si>
    <t>USB to LAN</t>
  </si>
  <si>
    <t>Ugreen</t>
  </si>
  <si>
    <t>Cần check với store và update số S/N</t>
  </si>
  <si>
    <t>22VN00110025</t>
  </si>
  <si>
    <t>VN02</t>
  </si>
  <si>
    <t>Hp Prodesk 400 G7</t>
  </si>
  <si>
    <t>1CZ04303Y7</t>
  </si>
  <si>
    <t>2900 MHz Core i5-10400</t>
  </si>
  <si>
    <t>VN02-ADMIN</t>
  </si>
  <si>
    <t>22VN00110027</t>
  </si>
  <si>
    <t xml:space="preserve"> Prodesk 400G3 DM</t>
  </si>
  <si>
    <t>8CG8105N2V</t>
  </si>
  <si>
    <t>VN04-ADMIN</t>
  </si>
  <si>
    <t>22VN00110028</t>
  </si>
  <si>
    <t>VN05</t>
  </si>
  <si>
    <t>8CG75234RC</t>
  </si>
  <si>
    <t>VN05-ADMIN</t>
  </si>
  <si>
    <t>VN09</t>
  </si>
  <si>
    <t>1CR82307DL-3CQ7490XG4</t>
  </si>
  <si>
    <t>Biên bản thiếu serial</t>
  </si>
  <si>
    <t>TCEY007561</t>
  </si>
  <si>
    <t>MK410211201237</t>
  </si>
  <si>
    <t>107w</t>
  </si>
  <si>
    <t>4ZB78A</t>
  </si>
  <si>
    <t>22VN00110030</t>
  </si>
  <si>
    <t>VN07</t>
  </si>
  <si>
    <t>8CG75234Q3</t>
  </si>
  <si>
    <t>VN07-ADMIN</t>
  </si>
  <si>
    <t>22VN00110031</t>
  </si>
  <si>
    <t>VN08</t>
  </si>
  <si>
    <t>8CG8105N2P</t>
  </si>
  <si>
    <t>VN08-ADMIN</t>
  </si>
  <si>
    <t>VN13</t>
  </si>
  <si>
    <t xml:space="preserve"> Laser NEVERSTOP 1000W</t>
  </si>
  <si>
    <t>CNBRP8297B</t>
  </si>
  <si>
    <t>1CR8371GSK</t>
  </si>
  <si>
    <t>X7BA002787</t>
  </si>
  <si>
    <t>VFD</t>
  </si>
  <si>
    <t>211130000039</t>
  </si>
  <si>
    <t>MK 410</t>
  </si>
  <si>
    <t>20201130017</t>
  </si>
  <si>
    <t>G21M82792</t>
  </si>
  <si>
    <t>22VN00110035</t>
  </si>
  <si>
    <t>VN14</t>
  </si>
  <si>
    <t>Pavilion 550-170l</t>
  </si>
  <si>
    <t>4CE61005V3</t>
  </si>
  <si>
    <t>3700 MHz Core i3-6100</t>
  </si>
  <si>
    <t>VN14-ADMIN</t>
  </si>
  <si>
    <t>1CR82307C2</t>
  </si>
  <si>
    <t>X7BA002788</t>
  </si>
  <si>
    <t>G21M82814</t>
  </si>
  <si>
    <t>VFD220V</t>
  </si>
  <si>
    <t>211130000023</t>
  </si>
  <si>
    <t>MK410211201490</t>
  </si>
  <si>
    <t>NMYA744308</t>
  </si>
  <si>
    <t>22VN00110032</t>
  </si>
  <si>
    <t>8CG75234R6</t>
  </si>
  <si>
    <t>VN09-ADMIN</t>
  </si>
  <si>
    <t>22VN00110033</t>
  </si>
  <si>
    <t>VN10</t>
  </si>
  <si>
    <t>8CG8105N38</t>
  </si>
  <si>
    <t>VN10-ADMIN</t>
  </si>
  <si>
    <t>CONVERSE SMART CITY (Closed)</t>
  </si>
  <si>
    <t>1CR82307D2</t>
  </si>
  <si>
    <t>Đã thu hồi từ CONVERSE SMART CITY (VN17)</t>
  </si>
  <si>
    <t>X7BA002838</t>
  </si>
  <si>
    <t>Đã thu hồi từ CONVERSE SMART CITY (VN17)
Đã điều chuyển cho VR05</t>
  </si>
  <si>
    <t>NMYA585772</t>
  </si>
  <si>
    <t>VFD220V-I</t>
  </si>
  <si>
    <t>211130000024</t>
  </si>
  <si>
    <t>MK410211201000</t>
  </si>
  <si>
    <t>G21M82812</t>
  </si>
  <si>
    <t>22VN00110034</t>
  </si>
  <si>
    <t>8CG8052W2J</t>
  </si>
  <si>
    <t>VN13-ADMIN</t>
  </si>
  <si>
    <t>28VNT62</t>
  </si>
  <si>
    <t>X7BA002821</t>
  </si>
  <si>
    <t>G21EB1563</t>
  </si>
  <si>
    <t>211130000029</t>
  </si>
  <si>
    <t>MK410211200950</t>
  </si>
  <si>
    <t>NMYA746459</t>
  </si>
  <si>
    <t>O2O Printer</t>
  </si>
  <si>
    <t>Postek</t>
  </si>
  <si>
    <t>IQ200 Bluetooth</t>
  </si>
  <si>
    <t>11622C0003</t>
  </si>
  <si>
    <t>- Trước đó ở Converse Phạm Văn Thuận
- ĐIỂU CHUYỂN ĐẾN VN05 (CONVERSE CRESENTMALL) - O2O</t>
  </si>
  <si>
    <t>Tablet</t>
  </si>
  <si>
    <t>Samsung</t>
  </si>
  <si>
    <t>GALAXY S6 LITE 64GB LTE</t>
  </si>
  <si>
    <t>352294624029024</t>
  </si>
  <si>
    <t>Gồm NGUỒN +CỦ SẠC +DÂY+ BÚT CẢM ỨNG</t>
  </si>
  <si>
    <t>Sim 4G</t>
  </si>
  <si>
    <t>Mobifone</t>
  </si>
  <si>
    <t>8401230250176548</t>
  </si>
  <si>
    <t>Thermal Paper</t>
  </si>
  <si>
    <t>VA15</t>
  </si>
  <si>
    <t>New Balance Saigon Center</t>
  </si>
  <si>
    <t>22VN00110036</t>
  </si>
  <si>
    <t>VN16</t>
  </si>
  <si>
    <t>PRODESK 400 G3 MINI</t>
  </si>
  <si>
    <t>8CG8105N2C</t>
  </si>
  <si>
    <t>VN16-ADMIN</t>
  </si>
  <si>
    <t>VN24</t>
  </si>
  <si>
    <t>1CR82307CB</t>
  </si>
  <si>
    <t>X7BA007409</t>
  </si>
  <si>
    <t>G22EB4589</t>
  </si>
  <si>
    <t>VFD220V-IUSB</t>
  </si>
  <si>
    <t>221122000049</t>
  </si>
  <si>
    <t>MK410220300534</t>
  </si>
  <si>
    <t>NMYA786005</t>
  </si>
  <si>
    <t>4 Port</t>
  </si>
  <si>
    <t>22VN00110041</t>
  </si>
  <si>
    <t>EVENT</t>
  </si>
  <si>
    <t>Store Bazaar</t>
  </si>
  <si>
    <t xml:space="preserve"> LEGION</t>
  </si>
  <si>
    <t>PF1FV71U</t>
  </si>
  <si>
    <t>at now vi03</t>
  </si>
  <si>
    <t>Map!!234</t>
  </si>
  <si>
    <t>ZV07-ADMIN</t>
  </si>
  <si>
    <t>22VN00110037</t>
  </si>
  <si>
    <t>PRODESK 400 G3 MINI -DM</t>
  </si>
  <si>
    <t>8CG8052XG7</t>
  </si>
  <si>
    <t>790 MHz Core i5-10500T</t>
  </si>
  <si>
    <t>Đã thu hồi, IT BACKUP</t>
  </si>
  <si>
    <t>VN17-ADMIN</t>
  </si>
  <si>
    <t>22VN00110043</t>
  </si>
  <si>
    <t>ZV09-ZV12</t>
  </si>
  <si>
    <t>E490</t>
  </si>
  <si>
    <t>PF1JSUP7</t>
  </si>
  <si>
    <t>1800 MHz Core i5-8265U</t>
  </si>
  <si>
    <t>Chưa thu hồi</t>
  </si>
  <si>
    <t>ZV09-ZV12-ADMIN</t>
  </si>
  <si>
    <t>22VN00110044</t>
  </si>
  <si>
    <t>ZV10</t>
  </si>
  <si>
    <t>PROBOOK 440 G9</t>
  </si>
  <si>
    <t>5CD236BCT6</t>
  </si>
  <si>
    <t>CORE I5-1235U</t>
  </si>
  <si>
    <t>kho IT</t>
  </si>
  <si>
    <t>ZV10-ADMIN</t>
  </si>
  <si>
    <t>22VN00110045</t>
  </si>
  <si>
    <t>ZV11</t>
  </si>
  <si>
    <t>5CD236BCSY</t>
  </si>
  <si>
    <t>chưa thu hồi dang chạy event OMG Creation</t>
  </si>
  <si>
    <t>ZV11-ADMIN</t>
  </si>
  <si>
    <t>22VN00110046</t>
  </si>
  <si>
    <t>VA06</t>
  </si>
  <si>
    <t>G22F27193</t>
  </si>
  <si>
    <t>Core I5-1235U</t>
  </si>
  <si>
    <t>VA06-Admin</t>
  </si>
  <si>
    <t>22VN00110047</t>
  </si>
  <si>
    <t>VE05</t>
  </si>
  <si>
    <t>Thinkpad x280</t>
  </si>
  <si>
    <t>PC0VSNXT</t>
  </si>
  <si>
    <t>Intel(R) Core(TM) i5-8250U CPU @ 1.60GHz   1.80 GHz</t>
  </si>
  <si>
    <t>VE05-Admin</t>
  </si>
  <si>
    <t>22VN00110038</t>
  </si>
  <si>
    <t>zv13</t>
  </si>
  <si>
    <t>BGC4LQ3</t>
  </si>
  <si>
    <t xml:space="preserve">chưa add database </t>
  </si>
  <si>
    <t>VN18-PO03-ADMIN</t>
  </si>
  <si>
    <t>VN18-PO03-ZV13-ADMIN</t>
  </si>
  <si>
    <t>22VN00110039</t>
  </si>
  <si>
    <t>ZV14</t>
  </si>
  <si>
    <t>OptiPlex 3090</t>
  </si>
  <si>
    <t>DHC4LQ3</t>
  </si>
  <si>
    <t>2300 MHz Core i5-10500T</t>
  </si>
  <si>
    <t>VN20-PO04-ADMIN</t>
  </si>
  <si>
    <t>VN20-PO04-ZV14-ADMIN</t>
  </si>
  <si>
    <t>Desktop HP PRO MINI 400G6</t>
  </si>
  <si>
    <t>PRO MINI 400G6</t>
  </si>
  <si>
    <t>8CC2231D6Z</t>
  </si>
  <si>
    <t>22VN00110040</t>
  </si>
  <si>
    <t>2HC4LQ3</t>
  </si>
  <si>
    <t>VN24-ADMIN</t>
  </si>
  <si>
    <t>22VN00110052</t>
  </si>
  <si>
    <t>VA08</t>
  </si>
  <si>
    <t>5CD3094YZR</t>
  </si>
  <si>
    <t>VA08- ADMIN</t>
  </si>
  <si>
    <t>22VN00110042</t>
  </si>
  <si>
    <t>ZV08</t>
  </si>
  <si>
    <t>HP Prodesk 400 G3</t>
  </si>
  <si>
    <t>8CG8105N2J</t>
  </si>
  <si>
    <t>đã bàn giao  cho vn27</t>
  </si>
  <si>
    <t>ZV08-ADMIN</t>
  </si>
  <si>
    <t>22VN00110048</t>
  </si>
  <si>
    <t>VN27</t>
  </si>
  <si>
    <t>8CC22011GD</t>
  </si>
  <si>
    <t>Intel(R) Core(TM) i5-10500T CPU @ 2.30GHz   2.30 GHz</t>
  </si>
  <si>
    <t>VN27-POS1</t>
  </si>
  <si>
    <t>22VN00110049</t>
  </si>
  <si>
    <t>8CC2231CY7</t>
  </si>
  <si>
    <t>VN27-POS2</t>
  </si>
  <si>
    <t>22VN00110050</t>
  </si>
  <si>
    <t>8CC22011BC</t>
  </si>
  <si>
    <t>VN27-ADMIN</t>
  </si>
  <si>
    <t>VA12</t>
  </si>
  <si>
    <t>NMYA765067</t>
  </si>
  <si>
    <t>G23D05439</t>
  </si>
  <si>
    <t>X7B9025644</t>
  </si>
  <si>
    <t>Electric socket (LIOA 6 Slots 3m)</t>
  </si>
  <si>
    <t>HP V20 (with mount kit)</t>
  </si>
  <si>
    <t>Birch</t>
  </si>
  <si>
    <t>DSP-V9</t>
  </si>
  <si>
    <t>3CQ232065Y</t>
  </si>
  <si>
    <t>MK410221102387</t>
  </si>
  <si>
    <t>- Ban đầu mua cho VA12 (NEW BALANCE LOTTE MALL)</t>
  </si>
  <si>
    <t>Cisco</t>
  </si>
  <si>
    <t>CBS110-16T-EU</t>
  </si>
  <si>
    <t>PSZ27111BB9</t>
  </si>
  <si>
    <t>22VN00110051</t>
  </si>
  <si>
    <t>8CC22011BS</t>
  </si>
  <si>
    <t>VN27-SERVER</t>
  </si>
  <si>
    <t>22VN00110053</t>
  </si>
  <si>
    <t>KN09</t>
  </si>
  <si>
    <t xml:space="preserve"> PRO MINI 400 G9</t>
  </si>
  <si>
    <t>8CC3190ZYV</t>
  </si>
  <si>
    <t>ADMIN- KN09</t>
  </si>
  <si>
    <t>VR12</t>
  </si>
  <si>
    <t>NMYA922095</t>
  </si>
  <si>
    <t>G23D05251</t>
  </si>
  <si>
    <t>X7B9025198</t>
  </si>
  <si>
    <t>3CQ2320F08</t>
  </si>
  <si>
    <t>D190928010130\MK</t>
  </si>
  <si>
    <t>PSZ27111C7N</t>
  </si>
  <si>
    <t>22VN00110054</t>
  </si>
  <si>
    <t>VN12</t>
  </si>
  <si>
    <t>8CC22011CR</t>
  </si>
  <si>
    <t>VN12-ADMIN</t>
  </si>
  <si>
    <t>22VN00110055</t>
  </si>
  <si>
    <t>VE12</t>
  </si>
  <si>
    <t>8CC22011LP</t>
  </si>
  <si>
    <t>VE12-ADMIN</t>
  </si>
  <si>
    <t>22VN00110056</t>
  </si>
  <si>
    <t>8CC2231CV8</t>
  </si>
  <si>
    <t>VA12-ADMIN</t>
  </si>
  <si>
    <t>22VN00110057</t>
  </si>
  <si>
    <t>VA01</t>
  </si>
  <si>
    <t>PRO MINI 400 G9</t>
  </si>
  <si>
    <t>8CC3190ZZK</t>
  </si>
  <si>
    <t>VA01-ADMIN</t>
  </si>
  <si>
    <t>22VN00110058</t>
  </si>
  <si>
    <t>VR12-ADMIN</t>
  </si>
  <si>
    <t>22VN00110059</t>
  </si>
  <si>
    <t>VA09</t>
  </si>
  <si>
    <t>8CC3213L46</t>
  </si>
  <si>
    <t>VA09- ADMIN</t>
  </si>
  <si>
    <t>22VN00110060</t>
  </si>
  <si>
    <t>VA11</t>
  </si>
  <si>
    <t>8CC3213L26</t>
  </si>
  <si>
    <t>VA11-ADMIN</t>
  </si>
  <si>
    <t>22VN00110061</t>
  </si>
  <si>
    <t>KN12</t>
  </si>
  <si>
    <t>8CC3200R1V</t>
  </si>
  <si>
    <t>KN12-ADMIN</t>
  </si>
  <si>
    <t>22VN00110062</t>
  </si>
  <si>
    <t>VO02</t>
  </si>
  <si>
    <t>Elite Mini 600 G9</t>
  </si>
  <si>
    <t>8CC323166M</t>
  </si>
  <si>
    <t>Intel Core i7 12700</t>
  </si>
  <si>
    <t>VO02-ADMIN</t>
  </si>
  <si>
    <t>22VN00110063</t>
  </si>
  <si>
    <t>8CC3231667</t>
  </si>
  <si>
    <t>VO02-SERVER</t>
  </si>
  <si>
    <t>22VN00110064</t>
  </si>
  <si>
    <t>8CC323166K</t>
  </si>
  <si>
    <t>VO02-POS01</t>
  </si>
  <si>
    <t>22VN00110065</t>
  </si>
  <si>
    <t>8CC3231668</t>
  </si>
  <si>
    <t>VO02-POS02</t>
  </si>
  <si>
    <t>22VN00110066</t>
  </si>
  <si>
    <t>8CC323166B</t>
  </si>
  <si>
    <t>VO02-POS03</t>
  </si>
  <si>
    <t>22VN00110067</t>
  </si>
  <si>
    <t>H101-102</t>
  </si>
  <si>
    <t>BAZZAR</t>
  </si>
  <si>
    <t>8CG75234Q2</t>
  </si>
  <si>
    <t>H101-102- ADMIN</t>
  </si>
  <si>
    <t>PSZ26391WEW</t>
  </si>
  <si>
    <t>New</t>
  </si>
  <si>
    <t>Network cable</t>
  </si>
  <si>
    <t>Electric socket</t>
  </si>
  <si>
    <t>Unitek</t>
  </si>
  <si>
    <t>VGA to HDMI</t>
  </si>
  <si>
    <t>22VN00110068</t>
  </si>
  <si>
    <t>ZK04-ZV04-ZW04</t>
  </si>
  <si>
    <t>BAZZAR (TIKI VK &amp; TIKI VF)</t>
  </si>
  <si>
    <t>iNTEL</t>
  </si>
  <si>
    <t>PC DELUX</t>
  </si>
  <si>
    <t>none</t>
  </si>
  <si>
    <t>Intel Core i3 -2120</t>
  </si>
  <si>
    <t>ZK04-ZV04-ZW04-ADMIN</t>
  </si>
  <si>
    <t>22VN00110069</t>
  </si>
  <si>
    <t>ZK06-ZV06-ZW06</t>
  </si>
  <si>
    <t>280 G3 MT</t>
  </si>
  <si>
    <t>4CE7385WT0</t>
  </si>
  <si>
    <t>ZK06-ZV06-ZW06-ADMIN</t>
  </si>
  <si>
    <t>22VN00110075</t>
  </si>
  <si>
    <t>Trước đó của PLANET SPORTS LOTTE HN (VC04) đã bị hư</t>
  </si>
  <si>
    <t>G22F27150</t>
  </si>
  <si>
    <t>Máy cũ có S/N: G21E85723 đã bị hư nên đã đổi máy khác</t>
  </si>
  <si>
    <t>22VN00110070</t>
  </si>
  <si>
    <t>ZK05-ZV05-ZW5</t>
  </si>
  <si>
    <t>8CG7127F7Q</t>
  </si>
  <si>
    <t>ZK05-ZV05-ZW5-ADMIN</t>
  </si>
  <si>
    <t>VN17</t>
  </si>
  <si>
    <t>LPL 2900</t>
  </si>
  <si>
    <t>Neverstop laser 1000w</t>
  </si>
  <si>
    <t>CNBRP8339D</t>
  </si>
  <si>
    <t>TM-82III</t>
  </si>
  <si>
    <t>X7BA004094</t>
  </si>
  <si>
    <t>VDF</t>
  </si>
  <si>
    <t>Maxcode</t>
  </si>
  <si>
    <t>M330E</t>
  </si>
  <si>
    <t>G21E85761</t>
  </si>
  <si>
    <t>NMYA785124</t>
  </si>
  <si>
    <t>X7B9022769</t>
  </si>
  <si>
    <t>MK410221101761</t>
  </si>
  <si>
    <t>Qw2100</t>
  </si>
  <si>
    <t xml:space="preserve">Lioa </t>
  </si>
  <si>
    <t>Power Supply</t>
  </si>
  <si>
    <t>MERCUSYS</t>
  </si>
  <si>
    <t>22253D8008245</t>
  </si>
  <si>
    <t xml:space="preserve"> Lexar</t>
  </si>
  <si>
    <t>32Gb</t>
  </si>
  <si>
    <t xml:space="preserve">Epson </t>
  </si>
  <si>
    <t>TM-82II</t>
  </si>
  <si>
    <t>TCEY004684</t>
  </si>
  <si>
    <t>datalogic</t>
  </si>
  <si>
    <t>G18C39470</t>
  </si>
  <si>
    <t>XP-K300L</t>
  </si>
  <si>
    <t>22172W5002223</t>
  </si>
  <si>
    <t xml:space="preserve"> QW2100</t>
  </si>
  <si>
    <t>G21EB1582</t>
  </si>
  <si>
    <t>Customer</t>
  </si>
  <si>
    <t>211130000049</t>
  </si>
  <si>
    <t>M3302021060049</t>
  </si>
  <si>
    <t xml:space="preserve"> MERCUSYS</t>
  </si>
  <si>
    <t>4 port</t>
  </si>
  <si>
    <t>Xp-K300l</t>
  </si>
  <si>
    <t>BM2105270036</t>
  </si>
  <si>
    <t xml:space="preserve"> datalogic</t>
  </si>
  <si>
    <t>G21EB1552</t>
  </si>
  <si>
    <t>211130000048</t>
  </si>
  <si>
    <t>22172W5002275</t>
  </si>
  <si>
    <t xml:space="preserve"> Neverstop laser 1000w </t>
  </si>
  <si>
    <t>CNBRP8339N</t>
  </si>
  <si>
    <t xml:space="preserve">MAXCODE </t>
  </si>
  <si>
    <t>M3302021060571</t>
  </si>
  <si>
    <t>TM82III</t>
  </si>
  <si>
    <t>X7BA007402</t>
  </si>
  <si>
    <t>G22EB4216</t>
  </si>
  <si>
    <t>221122000050</t>
  </si>
  <si>
    <t>MK410211201036</t>
  </si>
  <si>
    <t xml:space="preserve">4 Port </t>
  </si>
  <si>
    <t xml:space="preserve">Xprinter </t>
  </si>
  <si>
    <t>XPK300L -BM2105270033</t>
  </si>
  <si>
    <t>G21E85804</t>
  </si>
  <si>
    <t xml:space="preserve"> VFD220V-I</t>
  </si>
  <si>
    <t>211130000042</t>
  </si>
  <si>
    <t>MAXCODE</t>
  </si>
  <si>
    <t>IQ200</t>
  </si>
  <si>
    <t>I1622F0003</t>
  </si>
  <si>
    <t>hàng O2O luẩn chuyển từ PO04</t>
  </si>
  <si>
    <t>PO04</t>
  </si>
  <si>
    <t>samsung</t>
  </si>
  <si>
    <t>GALAXY S6 LITE</t>
  </si>
  <si>
    <t>352294624027796</t>
  </si>
  <si>
    <t>64Gb</t>
  </si>
  <si>
    <t>8401230250176540</t>
  </si>
  <si>
    <t>1CR82307DH</t>
  </si>
  <si>
    <t>X7BA003082</t>
  </si>
  <si>
    <t>G21M82925</t>
  </si>
  <si>
    <t>TOPCASH</t>
  </si>
  <si>
    <t>ALCD20110007</t>
  </si>
  <si>
    <t>Neverstop 1000W</t>
  </si>
  <si>
    <t>4RY234</t>
  </si>
  <si>
    <t>MK-410</t>
  </si>
  <si>
    <t>MK410210300453</t>
  </si>
  <si>
    <t>v190</t>
  </si>
  <si>
    <t>220V</t>
  </si>
  <si>
    <t>LPB 2900</t>
  </si>
  <si>
    <t>Mk-410</t>
  </si>
  <si>
    <t>1CR82307K2</t>
  </si>
  <si>
    <t>BM2105270034</t>
  </si>
  <si>
    <t>211130000045</t>
  </si>
  <si>
    <t>CNBRP8434C</t>
  </si>
  <si>
    <t>M3302021060484</t>
  </si>
  <si>
    <t>22172W5002256</t>
  </si>
  <si>
    <t>X7BA002747</t>
  </si>
  <si>
    <t>G21M82790</t>
  </si>
  <si>
    <t>211130000038</t>
  </si>
  <si>
    <t xml:space="preserve"> NMYA585379</t>
  </si>
  <si>
    <t>MK410211201238</t>
  </si>
  <si>
    <t>LCD V20</t>
  </si>
  <si>
    <t>3CQ2320CRY</t>
  </si>
  <si>
    <t>3CQ2320CRN</t>
  </si>
  <si>
    <t>3CQ2320CRF</t>
  </si>
  <si>
    <t>X7B9022775</t>
  </si>
  <si>
    <t>X7B9023235</t>
  </si>
  <si>
    <t>G23C76662</t>
  </si>
  <si>
    <t>G23C76677</t>
  </si>
  <si>
    <t>NMYA804390</t>
  </si>
  <si>
    <t>MK410221102016</t>
  </si>
  <si>
    <t>BIRCH</t>
  </si>
  <si>
    <t>D190928010009</t>
  </si>
  <si>
    <t>D190928010004</t>
  </si>
  <si>
    <t>Vesa</t>
  </si>
  <si>
    <t>Mount Kit</t>
  </si>
  <si>
    <t>CBS110-16TEU</t>
  </si>
  <si>
    <t>PSZ26391WAB</t>
  </si>
  <si>
    <t>KVM</t>
  </si>
  <si>
    <t xml:space="preserve">SANTAK </t>
  </si>
  <si>
    <t>UPS 1500VA SANTAK 900W 10AH WITH USB PORT MORNITOR</t>
  </si>
  <si>
    <t>529101223400048</t>
  </si>
  <si>
    <t>Lioa</t>
  </si>
  <si>
    <t>Power supply (Square)</t>
  </si>
  <si>
    <t>M8</t>
  </si>
  <si>
    <t xml:space="preserve">IMEI :862854053049620 </t>
  </si>
  <si>
    <t>I1623H0002</t>
  </si>
  <si>
    <t>8401230250322103</t>
  </si>
  <si>
    <t>NMYA802545</t>
  </si>
  <si>
    <t>G23C76615</t>
  </si>
  <si>
    <t>X7B9025160</t>
  </si>
  <si>
    <t>NMYA921017</t>
  </si>
  <si>
    <t>G23D05195</t>
  </si>
  <si>
    <t>X7B9025195</t>
  </si>
  <si>
    <t>V20</t>
  </si>
  <si>
    <t>DSP</t>
  </si>
  <si>
    <t>V9</t>
  </si>
  <si>
    <t>D190928010128</t>
  </si>
  <si>
    <t>PSZ27111BN9</t>
  </si>
  <si>
    <t>TCCY014795</t>
  </si>
  <si>
    <t>PLaserJet pro m12w</t>
  </si>
  <si>
    <t>VNCW514219</t>
  </si>
  <si>
    <t>1CR82307CK</t>
  </si>
  <si>
    <t>G17NE9935</t>
  </si>
  <si>
    <t>B5AT100018</t>
  </si>
  <si>
    <t>Mitaco</t>
  </si>
  <si>
    <t>Finger printer</t>
  </si>
  <si>
    <t>6536180960001</t>
  </si>
  <si>
    <t>TP-Link</t>
  </si>
  <si>
    <t>2208101005958</t>
  </si>
  <si>
    <t>Firewall</t>
  </si>
  <si>
    <t>Fortinet</t>
  </si>
  <si>
    <t>60E</t>
  </si>
  <si>
    <t>FGT60ETK18050418</t>
  </si>
  <si>
    <t>G22F27346</t>
  </si>
  <si>
    <t>X7B9022777</t>
  </si>
  <si>
    <t>Lexar</t>
  </si>
  <si>
    <t>JUMPDRIVE S80 (32GB)</t>
  </si>
  <si>
    <t>Power socket</t>
  </si>
  <si>
    <t>G20E58609</t>
  </si>
  <si>
    <t>X7BA001290</t>
  </si>
  <si>
    <t xml:space="preserve">LD220 </t>
  </si>
  <si>
    <t>G23D05436</t>
  </si>
  <si>
    <t>X7B9028271</t>
  </si>
  <si>
    <t>Brich</t>
  </si>
  <si>
    <t>D190928010127</t>
  </si>
  <si>
    <t>MK410221101638</t>
  </si>
  <si>
    <t>NMYA765069</t>
  </si>
  <si>
    <t>3CQ23207GZ</t>
  </si>
  <si>
    <t>G23C76633</t>
  </si>
  <si>
    <t>X7B9027872</t>
  </si>
  <si>
    <t>D190928010059</t>
  </si>
  <si>
    <t>MK410221102375</t>
  </si>
  <si>
    <t>NMYA846446</t>
  </si>
  <si>
    <t>Power Socket</t>
  </si>
  <si>
    <t>G23D05705</t>
  </si>
  <si>
    <t>X7B9028159</t>
  </si>
  <si>
    <t>D190928010051</t>
  </si>
  <si>
    <t>MK410221102021</t>
  </si>
  <si>
    <t>NMYA834196</t>
  </si>
  <si>
    <t>PSZ27181BZN</t>
  </si>
  <si>
    <t>G23D05933</t>
  </si>
  <si>
    <t>X7B9028160</t>
  </si>
  <si>
    <t>D190928010060</t>
  </si>
  <si>
    <t>MK410221102370</t>
  </si>
  <si>
    <t>NMYA834048</t>
  </si>
  <si>
    <t>PSZ27181B30</t>
  </si>
  <si>
    <t>G23D05548</t>
  </si>
  <si>
    <t>X7B9028269</t>
  </si>
  <si>
    <t>NMYA867834</t>
  </si>
  <si>
    <t xml:space="preserve">Power Socket </t>
  </si>
  <si>
    <t>3CQ2320CRX</t>
  </si>
  <si>
    <t>CISCO-CBS110-16T-EU</t>
  </si>
  <si>
    <t>PSZ27181CR0</t>
  </si>
  <si>
    <t>V19</t>
  </si>
  <si>
    <t>3CQ3100DB8</t>
  </si>
  <si>
    <t xml:space="preserve">VO02-POS01 </t>
  </si>
  <si>
    <t>3CQ3100DBJ</t>
  </si>
  <si>
    <t>3CQ3100GSJ</t>
  </si>
  <si>
    <t>3CQ3100DBK</t>
  </si>
  <si>
    <t xml:space="preserve">3CQ3110GSB </t>
  </si>
  <si>
    <t>VO02-EVO</t>
  </si>
  <si>
    <t>MK410221102416</t>
  </si>
  <si>
    <t>MK410221102358</t>
  </si>
  <si>
    <t>MK410221102392</t>
  </si>
  <si>
    <t>Engage 2 x 20 Pole Display (5RD97AA)</t>
  </si>
  <si>
    <t>2TD216NAXV</t>
  </si>
  <si>
    <t>2TD216NATN</t>
  </si>
  <si>
    <t>2TD216NBAX</t>
  </si>
  <si>
    <t>Zebra</t>
  </si>
  <si>
    <t>Wireless DS2278</t>
  </si>
  <si>
    <t xml:space="preserve">22127523428423 </t>
  </si>
  <si>
    <t>22127523428227</t>
  </si>
  <si>
    <t>22127523428422</t>
  </si>
  <si>
    <t>Star</t>
  </si>
  <si>
    <t>Thermal Star printer MCP31L, USB</t>
  </si>
  <si>
    <t>2580022090600005</t>
  </si>
  <si>
    <t>2580022120601399</t>
  </si>
  <si>
    <t>2580022120601396</t>
  </si>
  <si>
    <t>22VN00000085</t>
  </si>
  <si>
    <t>ZV13</t>
  </si>
  <si>
    <t>6XSSKS3</t>
  </si>
  <si>
    <t>3000 MHz 11th Gen Intel Core i3-1115G4 @ 3.00GHz</t>
  </si>
  <si>
    <t>cấp tạm cho Syed ngày 27/02/24</t>
  </si>
  <si>
    <t>13/11/2023 Nguyen Vu Trung Hieu Resigned 
Cấp tạm cho anh NHân LOG dùng tạm trong thời gian sửa màn hình bị bể&gt;done</t>
  </si>
  <si>
    <t>22VN00000040</t>
  </si>
  <si>
    <t>zv15</t>
  </si>
  <si>
    <t>B65JGL3</t>
  </si>
  <si>
    <t>1400 MHz 11th Gen Intel Core i5-1135G7 @ 2.40GHz</t>
  </si>
  <si>
    <t>Tran Trung tiến resigned 19/04/2024</t>
  </si>
  <si>
    <t>MMA-LAP-0040</t>
  </si>
  <si>
    <t>22VN00110077</t>
  </si>
  <si>
    <t>KN10</t>
  </si>
  <si>
    <t>Ideapad</t>
  </si>
  <si>
    <t>5-15ITL05</t>
  </si>
  <si>
    <t xml:space="preserve"> </t>
  </si>
  <si>
    <t>1800 MHZ Core i5-8265U</t>
  </si>
  <si>
    <t xml:space="preserve">Datalogic </t>
  </si>
  <si>
    <t>QW21000</t>
  </si>
  <si>
    <t>X7B9022785</t>
  </si>
  <si>
    <t>8 port</t>
  </si>
  <si>
    <t>22253D800272</t>
  </si>
  <si>
    <t>VA04</t>
  </si>
  <si>
    <t>MiniPC</t>
  </si>
  <si>
    <t>Prodesk 400 G3</t>
  </si>
  <si>
    <t>1CR82307DG</t>
  </si>
  <si>
    <t>G18C39498</t>
  </si>
  <si>
    <t>X7B9022768</t>
  </si>
  <si>
    <t>22172W5002241</t>
  </si>
  <si>
    <t>22VN00110079</t>
  </si>
  <si>
    <t>VA20</t>
  </si>
  <si>
    <t>New Balacne Lotte Distric 7</t>
  </si>
  <si>
    <t>OptiPlex 3090 Micro</t>
  </si>
  <si>
    <t>Optiplex 3090</t>
  </si>
  <si>
    <t>8CC2231D5C</t>
  </si>
  <si>
    <t>22VN00110078</t>
  </si>
  <si>
    <t>8CC2231D4N</t>
  </si>
  <si>
    <t>VN11</t>
  </si>
  <si>
    <t>22VN00110071</t>
  </si>
  <si>
    <t>ZV01-H103-H104</t>
  </si>
  <si>
    <t>8CG8105MSK</t>
  </si>
  <si>
    <t>ZV01-H103-H104-ADMIN</t>
  </si>
  <si>
    <t>HP 185E</t>
  </si>
  <si>
    <t>V185E</t>
  </si>
  <si>
    <t>CNT930534Q</t>
  </si>
  <si>
    <t>HP V20</t>
  </si>
  <si>
    <t>3CQ2320CR6</t>
  </si>
  <si>
    <t>Angustos</t>
  </si>
  <si>
    <t>2312178BADH21L0200002</t>
  </si>
  <si>
    <t>MK410211201512</t>
  </si>
  <si>
    <t>Hub Usb Unitek - 4 Port</t>
  </si>
  <si>
    <t>HP-Display port to VGA</t>
  </si>
  <si>
    <t>Fortigate-40F</t>
  </si>
  <si>
    <t>Fortigate</t>
  </si>
  <si>
    <t>40F</t>
  </si>
  <si>
    <t>FGT40FTK2309D2HW</t>
  </si>
  <si>
    <t>22VN00110072</t>
  </si>
  <si>
    <t>8CC2452WZJ</t>
  </si>
  <si>
    <t>28/02/23</t>
  </si>
  <si>
    <t>SONGNAM</t>
  </si>
  <si>
    <t>PC TEST FOOTLOOKER</t>
  </si>
  <si>
    <t>VA03-ADMIN</t>
  </si>
  <si>
    <t>HP 190V</t>
  </si>
  <si>
    <t>493345-002</t>
  </si>
  <si>
    <t>22253D9009871</t>
  </si>
  <si>
    <t>G21M82786</t>
  </si>
  <si>
    <t>X7B9022758</t>
  </si>
  <si>
    <t>HP Laser NEVERSTOP 1000W</t>
  </si>
  <si>
    <t>Laser NEVERSTOP 1000W</t>
  </si>
  <si>
    <t>Mouse &amp; keyboard</t>
  </si>
  <si>
    <t>Mouse &amp; Keyboard</t>
  </si>
  <si>
    <t>FGT40FTK24012854</t>
  </si>
  <si>
    <t>VA13</t>
  </si>
  <si>
    <t>New Balance Parc Mall</t>
  </si>
  <si>
    <t xml:space="preserve">HP 194V  </t>
  </si>
  <si>
    <t>194V</t>
  </si>
  <si>
    <t>3CQ633116Z</t>
  </si>
  <si>
    <t>X7BA011302</t>
  </si>
  <si>
    <t>22VN00110073</t>
  </si>
  <si>
    <t>DELL</t>
  </si>
  <si>
    <t>DELL OPTILEX 3090</t>
  </si>
  <si>
    <t>1CH4LQ3</t>
  </si>
  <si>
    <t>Intel® core I5-10500T</t>
  </si>
  <si>
    <t>PC TEST FOOTLOOKER, ĐIỀU CHUYỂN CHO VR05</t>
  </si>
  <si>
    <t>NONE</t>
  </si>
  <si>
    <t>VR05-ADMIN</t>
  </si>
  <si>
    <t xml:space="preserve">Hub usb orico  </t>
  </si>
  <si>
    <t xml:space="preserve">Mouse&amp; Keyboard  </t>
  </si>
  <si>
    <t>MK410220300197</t>
  </si>
  <si>
    <t xml:space="preserve">Fortigate-40F  </t>
  </si>
  <si>
    <t>X7B90227772</t>
  </si>
  <si>
    <t>Dell E1916</t>
  </si>
  <si>
    <t>CN-OMMK39-72872-5CO-G47U-A00</t>
  </si>
  <si>
    <t>22VN00110074</t>
  </si>
  <si>
    <t>8CG8105N1V</t>
  </si>
  <si>
    <t>ĐIỀU CHUYỂN CHO VI05</t>
  </si>
  <si>
    <t>VI05-ADMIN</t>
  </si>
  <si>
    <t>FGT40FTK2309D2CM    Key: 9LCZPTQ3</t>
  </si>
  <si>
    <t>mouse</t>
  </si>
  <si>
    <t>keyboard</t>
  </si>
  <si>
    <t>Keyboard</t>
  </si>
  <si>
    <t xml:space="preserve">HP ProDesk 400 G6 DM  </t>
  </si>
  <si>
    <t>ProDesk 400 G6</t>
  </si>
  <si>
    <t>22VN00000090</t>
  </si>
  <si>
    <t>CHC4LQ3</t>
  </si>
  <si>
    <t>22VN00110076</t>
  </si>
  <si>
    <t xml:space="preserve">2700 MHz Core i5-7500T
</t>
  </si>
  <si>
    <t xml:space="preserve">1CR82307CH </t>
  </si>
  <si>
    <t>KVM Switch</t>
  </si>
  <si>
    <t>F3H40430496</t>
  </si>
  <si>
    <t>MK410220300326</t>
  </si>
  <si>
    <t>D-Link DES-1016D</t>
  </si>
  <si>
    <t>d-link</t>
  </si>
  <si>
    <t>DES-1016D</t>
  </si>
  <si>
    <t>16 port</t>
  </si>
  <si>
    <t>S31U4I3002273</t>
  </si>
  <si>
    <t>211130000039, 211130000034</t>
  </si>
  <si>
    <t>NMYA585779</t>
  </si>
  <si>
    <t>UPS SMC 1500</t>
  </si>
  <si>
    <t>CNK3380795</t>
  </si>
  <si>
    <t>FGT40FTK24006198</t>
  </si>
  <si>
    <t>AD User
(formula)</t>
  </si>
  <si>
    <t>Asset Name
(formula)</t>
  </si>
  <si>
    <t>USB TOKEN</t>
  </si>
  <si>
    <t>PASTE ASSET ID</t>
  </si>
  <si>
    <t xml:space="preserve">STATUS JOIN DOMAIN </t>
  </si>
  <si>
    <t>22VN00000001</t>
  </si>
  <si>
    <t>AMMAVNAMC000001</t>
  </si>
  <si>
    <t>Office</t>
  </si>
  <si>
    <t>Latitude 7420</t>
  </si>
  <si>
    <t>DVV62J3</t>
  </si>
  <si>
    <t>1700 MHz 11th Gen Intel Core i7-1165G7 @ 2.80GHz</t>
  </si>
  <si>
    <t>MMA-LAP-0001</t>
  </si>
  <si>
    <t>Created it.active local account</t>
  </si>
  <si>
    <t>22VN00000002</t>
  </si>
  <si>
    <t>AMMAVNACC000002</t>
  </si>
  <si>
    <t>124N1J3</t>
  </si>
  <si>
    <t>DANG BH LAPTOP KO LÊN NGUỒN</t>
  </si>
  <si>
    <t>MMA-LAP-0002</t>
  </si>
  <si>
    <t>Need to do both</t>
  </si>
  <si>
    <t>22VN00000003</t>
  </si>
  <si>
    <t>AMMAVNACC000003</t>
  </si>
  <si>
    <t>Latitude 5420</t>
  </si>
  <si>
    <t>1Z8DZH3</t>
  </si>
  <si>
    <t xml:space="preserve">UPDATE NEW SSD 500GB SAMSUNG </t>
  </si>
  <si>
    <t>đã  bh ssd vs CMCSG samsung 500GB lưu kho IT
Lấy ổ cứng SSD đã bảo hành của chị Mai (M.2 SSD - Model A60 - 512GB - S/N: 23027592-050170B) để thay vào laptop Dell Latitude 7420 của chị Uyên
Máy cũ chị Maya  đã thu hồi 22/01/2024 , Hiếu IT đang giữ</t>
  </si>
  <si>
    <t>use USB token</t>
  </si>
  <si>
    <t>MMA-LAP-0003</t>
  </si>
  <si>
    <t>22VN00000004</t>
  </si>
  <si>
    <t>AMMAVNACC000004</t>
  </si>
  <si>
    <t>Latitude 5430</t>
  </si>
  <si>
    <t>42X2SQ3</t>
  </si>
  <si>
    <t>Máy của Danh thỉnh thoảng không lên màn hình</t>
  </si>
  <si>
    <t>MMA-LAP-0004</t>
  </si>
  <si>
    <t>22VN00000006</t>
  </si>
  <si>
    <t>AMMAVNACC000006</t>
  </si>
  <si>
    <t>5R4JGL3</t>
  </si>
  <si>
    <t>old laptop Nguyen Hoang Anh Thy Accounting, IT thu hồi 21-02-2024</t>
  </si>
  <si>
    <t>22VN00000007</t>
  </si>
  <si>
    <t>AMMAVNACCC000007</t>
  </si>
  <si>
    <t>Latitude 3420</t>
  </si>
  <si>
    <t>65G48S3</t>
  </si>
  <si>
    <t>MMA-LAP-0007</t>
  </si>
  <si>
    <t>22VN00000008</t>
  </si>
  <si>
    <t>AMMAVNACC000008</t>
  </si>
  <si>
    <t>2P8VKG3</t>
  </si>
  <si>
    <t>1400 MHz 11th Gen Intel Core i3-1135G7 @ 2.40GHz</t>
  </si>
  <si>
    <t>MMA-LAP-0008</t>
  </si>
  <si>
    <t>22VN00000009</t>
  </si>
  <si>
    <t>AMMAVNLOC000009</t>
  </si>
  <si>
    <t>1583SQ3</t>
  </si>
  <si>
    <t>MMA-LAP-0009</t>
  </si>
  <si>
    <t>22VN00000010</t>
  </si>
  <si>
    <t>AMMAVNROC000010</t>
  </si>
  <si>
    <t>4Q9VKG3</t>
  </si>
  <si>
    <t>Máy Mỹ TRang cũ</t>
  </si>
  <si>
    <t>MMA-LAP-0010</t>
  </si>
  <si>
    <t>22VN00000011</t>
  </si>
  <si>
    <t>AMMAVNMDC000011</t>
  </si>
  <si>
    <t>F083SQ3</t>
  </si>
  <si>
    <t>SỬ DỤNG MÁY 5430 CỦA LƯU GIANG CẨM VÂN(VICKY) ĐÃ THAY SSD BỊ HƯ TỪ CMC (LẦN 1)
CHỜ CỨU DATA TỪ SÓNG NAM SAU ĐÓ BH SSD VS CMC(SAU TẾT)
CMC ĐÃ GỬI LẠI SSD MỚI NGÀY 08/03/2024</t>
  </si>
  <si>
    <t>MMA-LAP-0011</t>
  </si>
  <si>
    <t>22VN00000012</t>
  </si>
  <si>
    <t>BR9VKG3</t>
  </si>
  <si>
    <t>Máy lỗi loa user binh.ngotieu 16/05/24, Cấp tạm cho Lan Vy
Cấp ZV16 26/08/2024</t>
  </si>
  <si>
    <t>MMA-LAP-0012</t>
  </si>
  <si>
    <t>22VN00000013</t>
  </si>
  <si>
    <t>AMMAVNHRC000013</t>
  </si>
  <si>
    <t>Pavilion 15-eg0xxx</t>
  </si>
  <si>
    <t>5CD1294NHX</t>
  </si>
  <si>
    <t>2400 MHz 11th Gen Intel Core i5-1135G7 @ 2.40GHz</t>
  </si>
  <si>
    <t>MMA-LAP-0013</t>
  </si>
  <si>
    <t>22VN00000014</t>
  </si>
  <si>
    <t>AMMAVNPUC000014</t>
  </si>
  <si>
    <t>BKY5FX3</t>
  </si>
  <si>
    <r>
      <t>11</t>
    </r>
    <r>
      <rPr>
        <vertAlign val="superscript"/>
        <sz val="11"/>
        <color theme="1"/>
        <rFont val="Times New Roman"/>
      </rPr>
      <t>TH</t>
    </r>
    <r>
      <rPr>
        <sz val="11"/>
        <color theme="1"/>
        <rFont val="Times New Roman"/>
      </rPr>
      <t xml:space="preserve"> Gen Intel ® Core™ i5-1135G7 @2.40Ghz</t>
    </r>
  </si>
  <si>
    <t>MMA-LAP-0014</t>
  </si>
  <si>
    <t>22VN00000015</t>
  </si>
  <si>
    <t>AMMAVNLOC000015</t>
  </si>
  <si>
    <t>13D4SQ3</t>
  </si>
  <si>
    <t>MMA-LAP-0015</t>
  </si>
  <si>
    <t>22VN00000016</t>
  </si>
  <si>
    <t>AMMAVNLOC000016</t>
  </si>
  <si>
    <t>99C2LG3</t>
  </si>
  <si>
    <t>Nâng 4gb Ram và 256GB SSD</t>
  </si>
  <si>
    <t>MMA-LAP-0016</t>
  </si>
  <si>
    <t>22VN00000017</t>
  </si>
  <si>
    <t>AMMAVNWHC000017</t>
  </si>
  <si>
    <t>JP8VKG3</t>
  </si>
  <si>
    <t>MMA-LAP-0017</t>
  </si>
  <si>
    <t>22VN00000018</t>
  </si>
  <si>
    <t>AMMAVNWHC000018</t>
  </si>
  <si>
    <t>JR9VKG3</t>
  </si>
  <si>
    <t>MMA-LAP-0018</t>
  </si>
  <si>
    <t>22VN00000019</t>
  </si>
  <si>
    <t>AMMAVNLOC000019</t>
  </si>
  <si>
    <t>FQ8VKG3</t>
  </si>
  <si>
    <t>MMA-LAP-0019</t>
  </si>
  <si>
    <t>22VN00000020</t>
  </si>
  <si>
    <t>Quan Thanh Them</t>
  </si>
  <si>
    <t>AMMAVNCEC000020</t>
  </si>
  <si>
    <t>5BD4SQ3</t>
  </si>
  <si>
    <t>MMA-LAP-0020</t>
  </si>
  <si>
    <t>22VN00000021</t>
  </si>
  <si>
    <t>AMMAVNCEC000021</t>
  </si>
  <si>
    <t>BTN0BG3</t>
  </si>
  <si>
    <t>MMA-LAP-0021</t>
  </si>
  <si>
    <t>22VN00000022</t>
  </si>
  <si>
    <t>AMMAVNCEC000022</t>
  </si>
  <si>
    <t>DP8VKG3</t>
  </si>
  <si>
    <t>LE MINH KHANG OLD LAPTOP (COE Officer) resigned 29-01-2024 
- 25/03/2024 handover for Tạ Quỳnh Trang
-16/07/2024 handover for Trần Hồ Duy Tân</t>
  </si>
  <si>
    <t>MMA-LAP-0022</t>
  </si>
  <si>
    <t>22VN00000023</t>
  </si>
  <si>
    <t>AMMAVNCEC000023</t>
  </si>
  <si>
    <t>6S4JGL3</t>
  </si>
  <si>
    <t xml:space="preserve">
</t>
  </si>
  <si>
    <t>- Tran Dang Anh Khoa (COE Officer) resigned
- Cấp tạm cho DƯƠNG QUANG MINH TUẤN THAY cho HỒ HẢI ĐĂNG AM
IT ĐÃ THU HỒI 30-01-24</t>
  </si>
  <si>
    <t>DISABLE</t>
  </si>
  <si>
    <t>MMA-LAP-0023</t>
  </si>
  <si>
    <t>22VN00000024</t>
  </si>
  <si>
    <t>AMMAVNICC000024</t>
  </si>
  <si>
    <t>4R9VKG3</t>
  </si>
  <si>
    <t>MMA-LAP-0024</t>
  </si>
  <si>
    <t>22VN00000025</t>
  </si>
  <si>
    <t>AMMAVNITC000025</t>
  </si>
  <si>
    <t>FGF3SQ3</t>
  </si>
  <si>
    <t>MMA-LAP-0025</t>
  </si>
  <si>
    <t>22VN00000026</t>
  </si>
  <si>
    <t>AMMAVNITC000026</t>
  </si>
  <si>
    <t>ProBook 440 G4</t>
  </si>
  <si>
    <t>5CD73626Y5</t>
  </si>
  <si>
    <t>2700 MHz Core i5-7200U</t>
  </si>
  <si>
    <t>anh.nguyenphamduy resigned 20/05/2024</t>
  </si>
  <si>
    <t>-Dat.tranquoc (IT Officer) resigned 11/3/2024</t>
  </si>
  <si>
    <t>MMA-LAP-0026</t>
  </si>
  <si>
    <t>22VN00000027</t>
  </si>
  <si>
    <t>AMMAVNMRC000027</t>
  </si>
  <si>
    <t>HRQCZH3</t>
  </si>
  <si>
    <t>MMA-LAP-0027</t>
  </si>
  <si>
    <t>22VN00000028</t>
  </si>
  <si>
    <t>AMMAVNMDCC000028</t>
  </si>
  <si>
    <t>GN8VKG3</t>
  </si>
  <si>
    <t>BÀN GIAO CHO Nghiêm Thị Hồng Vân – Senior Merchandise – Brand Department – On board 15/10/2023 (nâng 4gb Ram)</t>
  </si>
  <si>
    <t>MÁY CŨ LÊ TRẦN THIÊN MINH</t>
  </si>
  <si>
    <t>MMA-LAP-0028</t>
  </si>
  <si>
    <t>22VN00000029</t>
  </si>
  <si>
    <t>VA04-ADMIN</t>
  </si>
  <si>
    <t>1P8VKG3</t>
  </si>
  <si>
    <t>Máy cũ Minh (sracecrow)</t>
  </si>
  <si>
    <t>Pham Thi Bao Tram (MKT) handover Feb-29-2024
Old hostname: AMMAVNMRC000029</t>
  </si>
  <si>
    <t>MMA-LAP-0029</t>
  </si>
  <si>
    <t>22VN00000030</t>
  </si>
  <si>
    <t>AMMAVNMRC000030</t>
  </si>
  <si>
    <t>Thinkpad X280</t>
  </si>
  <si>
    <t>PC133K78</t>
  </si>
  <si>
    <t>- Replaced keyboard on 20-Aug-2023 
cấp cho :Nguyen Thao My 27/11/2023 (replace Phan Thi Thuy Tien)</t>
  </si>
  <si>
    <t>- Phan Thị Thủy Tiên đã thôi việc ngày 06/10/23
- Huỳnh Thị Bích Ngân – thôi việc ngày 13/10/2023</t>
  </si>
  <si>
    <t>MMA-LAP-0030</t>
  </si>
  <si>
    <t>22VN00000031</t>
  </si>
  <si>
    <t>AMMAVNMDC000031</t>
  </si>
  <si>
    <t>4DBCZH3</t>
  </si>
  <si>
    <t>SSD\</t>
  </si>
  <si>
    <t>MMA-LAP-0031</t>
  </si>
  <si>
    <t>22VN00000032</t>
  </si>
  <si>
    <t>AMMAVNLEC000032</t>
  </si>
  <si>
    <t>6GV7R93</t>
  </si>
  <si>
    <t>HDD (512 GB)
SSD (128 GB)</t>
  </si>
  <si>
    <t>Quỳnh MD Bàn giao trả máy ngày 24/08/2023 &gt; Chuyển sang cho Le Thi Kim Hồng (Legal) sử dụng ngày 11/09/2023</t>
  </si>
  <si>
    <t>MMA-LAP-0032</t>
  </si>
  <si>
    <t>22VN00000033</t>
  </si>
  <si>
    <t>AMMAVNMDC000033</t>
  </si>
  <si>
    <t>9P8VKG3</t>
  </si>
  <si>
    <t>MMA-LAP-0033</t>
  </si>
  <si>
    <t>22VN00000034</t>
  </si>
  <si>
    <t>AMMAVNMDC000034</t>
  </si>
  <si>
    <t>DGBJGL3</t>
  </si>
  <si>
    <t>MMA-LAP-0034</t>
  </si>
  <si>
    <t>22VN00000035</t>
  </si>
  <si>
    <t>AMMAVNMDC000035</t>
  </si>
  <si>
    <t>4CBCZH3</t>
  </si>
  <si>
    <t>MMA-LAP-0035</t>
  </si>
  <si>
    <t>22VN00000036</t>
  </si>
  <si>
    <t>Reserved</t>
  </si>
  <si>
    <t>KN10 bán cho Maison</t>
  </si>
  <si>
    <t>AMMAVNMDC000036</t>
  </si>
  <si>
    <t>Ideapad 5-15ITL05(82FG00M5VN)</t>
  </si>
  <si>
    <t>PF2Q30RQ</t>
  </si>
  <si>
    <t>- Old laptop of Pham My Tu
- Cần cài lại Windows</t>
  </si>
  <si>
    <t>- Old laptop of Pham My Tu</t>
  </si>
  <si>
    <t>MMA-LAP-0036</t>
  </si>
  <si>
    <t>22VN00000037</t>
  </si>
  <si>
    <t>AMMAVNMDC000037</t>
  </si>
  <si>
    <t>6Q7JGL3</t>
  </si>
  <si>
    <t>MMA-LAP-0037</t>
  </si>
  <si>
    <t>22VN00000038</t>
  </si>
  <si>
    <t>AMMAVNMDC000038</t>
  </si>
  <si>
    <t>4TS3SQ3</t>
  </si>
  <si>
    <t xml:space="preserve">Máy của TRƯƠNG HỒNG HƯƠNG BÀN GIAO (HIếu IT giữ) </t>
  </si>
  <si>
    <t>MMA-LAP-0038</t>
  </si>
  <si>
    <t>ost</t>
  </si>
  <si>
    <t>22VN00000039</t>
  </si>
  <si>
    <t>AMMAVNIT000039</t>
  </si>
  <si>
    <t>HGBJGL3</t>
  </si>
  <si>
    <t>256+512</t>
  </si>
  <si>
    <t>linh.thainhat resigned 24/04/2024</t>
  </si>
  <si>
    <t>MMA-LAP-0039</t>
  </si>
  <si>
    <t>22VN00000041</t>
  </si>
  <si>
    <t>AMMAVNBPC000041</t>
  </si>
  <si>
    <t>GB23SQ3</t>
  </si>
  <si>
    <t>User giang.nguyenthiquynh bàn giao ngày 18/08/2023</t>
  </si>
  <si>
    <t>IT nhận máy bh ssd lỗi ngày 06/02/24(cmc)&gt; BH SAU TẾT
đã bh xong bàn giao user ngày 29/02/24</t>
  </si>
  <si>
    <t>MMA-LAP-0041</t>
  </si>
  <si>
    <t>22VN00000042</t>
  </si>
  <si>
    <t>AMMAVNICC000042</t>
  </si>
  <si>
    <t>J94JGL3</t>
  </si>
  <si>
    <t>MMA-LAP-0042</t>
  </si>
  <si>
    <t>22VN00000043</t>
  </si>
  <si>
    <t>Nguyen Thi Minh Thu</t>
  </si>
  <si>
    <t>AMMAVNITC000043</t>
  </si>
  <si>
    <t>8F6JGL3</t>
  </si>
  <si>
    <t>Hiếu IT giữ</t>
  </si>
  <si>
    <t>.TRẦN QUỐC THIÊN HƯƠNG (May) left on 26 Sep 2023
.Anh Hiếu đang giữ</t>
  </si>
  <si>
    <t>MMA-LAP-0043</t>
  </si>
  <si>
    <t>22VN00000044</t>
  </si>
  <si>
    <t>AMMAVNMPC000044</t>
  </si>
  <si>
    <t>BGBJGL3</t>
  </si>
  <si>
    <t>MMA-LAP-0044</t>
  </si>
  <si>
    <t>22VN00000045</t>
  </si>
  <si>
    <t>AMMAVNOPC000045</t>
  </si>
  <si>
    <t>Latitude 7490</t>
  </si>
  <si>
    <t>8DBRMV2</t>
  </si>
  <si>
    <t>1900 MHz Core i5-8350U</t>
  </si>
  <si>
    <t>30/08/2023 Anh Trí OP bàn giao máy  ,setup cho nhân viên mới 1.	Võ Thị Hoàng Ánh Xuân – Operations Executive – Operations Department – On board 19/10/2023</t>
  </si>
  <si>
    <t>- Trí OM (bàn giao cho IT ngày 30/08/2023</t>
  </si>
  <si>
    <t>MMA-LAP-0045</t>
  </si>
  <si>
    <t>22VN00000046</t>
  </si>
  <si>
    <t>AMMAVNMDC000046</t>
  </si>
  <si>
    <t>5CD108K0PN</t>
  </si>
  <si>
    <t>máy cũ Đăng</t>
  </si>
  <si>
    <t>MMA-LAP-0046</t>
  </si>
  <si>
    <t>22VN00000047</t>
  </si>
  <si>
    <t>AMMAVNOPC000047</t>
  </si>
  <si>
    <t>1BXCZH3</t>
  </si>
  <si>
    <t>Máy HỒ HẢI ĐĂNG BÀN GIAO NGÀY 14/11/23</t>
  </si>
  <si>
    <t>MMA-LAP-0047</t>
  </si>
  <si>
    <t>22VN00000048</t>
  </si>
  <si>
    <t>AMMAVNITC000048 change to ZV37-ADMIN</t>
  </si>
  <si>
    <t>ThinkPad E490</t>
  </si>
  <si>
    <t>PF1JT4Q6</t>
  </si>
  <si>
    <t>- Máy cũ của Quỳnh AM HN,  IT ĐÃ THAY SSD 500GB
- 13-Nov-2023: gửi đi sửa USB, bản lề, phím change hostname to zv35</t>
  </si>
  <si>
    <t>Máy của Quỳnh Am bị hư ổ cứng nên trả máy về cho IT, CHO TUYỀN MD MƯỢN SỬ DỤNG TẠM</t>
  </si>
  <si>
    <t>MMA-LAP-0048</t>
  </si>
  <si>
    <t>22VN00000049</t>
  </si>
  <si>
    <t>AMMAVNMDC000049</t>
  </si>
  <si>
    <t>6R4JGL3</t>
  </si>
  <si>
    <t>MMA-LAP-0049</t>
  </si>
  <si>
    <t>22VN00000050</t>
  </si>
  <si>
    <t>AMMAVNITC000050</t>
  </si>
  <si>
    <t>9NN2SQ3</t>
  </si>
  <si>
    <t>Đã bảo hành, thay SSD và cài Win 11 &amp; update driver full</t>
  </si>
  <si>
    <t>THOI HUU NGHIA (PnD) OLD LAPTOP
Thu hồi  laptop 3520 và bàn giao laptop 5430 của Nghĩa PJ cho Dương Quang Minh Tuấn Op</t>
  </si>
  <si>
    <t>MMA-LAP-0050</t>
  </si>
  <si>
    <t>22VN00000051</t>
  </si>
  <si>
    <t>AMMAVNACC000051</t>
  </si>
  <si>
    <t>66XN2F3</t>
  </si>
  <si>
    <t>Đã cài lại win 10 và  bàn giao cho chị Maya</t>
  </si>
  <si>
    <t>Huynh Ngoc Son old laptop (reserved for Ms. Maya)</t>
  </si>
  <si>
    <t>MMA-LAP-0051</t>
  </si>
  <si>
    <t>22VN00000052</t>
  </si>
  <si>
    <t>Laptop Quynh AM (resigned)</t>
  </si>
  <si>
    <t>AMMAVNOPC000075</t>
  </si>
  <si>
    <t>2NS0HW3</t>
  </si>
  <si>
    <t>Quynh.nguyennhu resigned</t>
  </si>
  <si>
    <t>MMA-LAP-0075</t>
  </si>
  <si>
    <t>22VN00000053</t>
  </si>
  <si>
    <t>AMMAVNWSC000053</t>
  </si>
  <si>
    <t>4BH2SQ3</t>
  </si>
  <si>
    <t>MMA-LAP-0053</t>
  </si>
  <si>
    <t>22VN00000054</t>
  </si>
  <si>
    <t>AMMAVNWSC000054</t>
  </si>
  <si>
    <t>DQ9VKG3</t>
  </si>
  <si>
    <t>MMA-LAP-0054</t>
  </si>
  <si>
    <t>22VN00000055</t>
  </si>
  <si>
    <t>AMMAVNWSC000055</t>
  </si>
  <si>
    <t>FR8VKG3</t>
  </si>
  <si>
    <t>MMA-LAP-0055</t>
  </si>
  <si>
    <t>22VN00000056</t>
  </si>
  <si>
    <t>AMMAVNWSC000056</t>
  </si>
  <si>
    <t>CR8VKG3</t>
  </si>
  <si>
    <t>MMA-LAP-0056</t>
  </si>
  <si>
    <t>22VN00000057</t>
  </si>
  <si>
    <t>AMMAVNWSC000057</t>
  </si>
  <si>
    <t>2R9VKG3</t>
  </si>
  <si>
    <t>MMA-LAP-0057</t>
  </si>
  <si>
    <t>22VN00000058</t>
  </si>
  <si>
    <t>AMMAVNECC000058</t>
  </si>
  <si>
    <t>C3KCZH3</t>
  </si>
  <si>
    <t>MMA-LAP-0058</t>
  </si>
  <si>
    <t>22VN00000059</t>
  </si>
  <si>
    <t>Digital Commercial Manager</t>
  </si>
  <si>
    <t>AMMAVNECC000115</t>
  </si>
  <si>
    <t>DGGDZH3</t>
  </si>
  <si>
    <t xml:space="preserve">Anh hieu.trantrung bàn giao máy ngày 31/08/2023
ngoc.nguyenduyen Máy lỗi xuất hdmi 23/4/2024 </t>
  </si>
  <si>
    <t>MMA-LAP-0059</t>
  </si>
  <si>
    <t>22VN00000060</t>
  </si>
  <si>
    <t>Foot Locker Suppervisior(NGuyen Si Anh)</t>
  </si>
  <si>
    <t>Foot Locker Suppervisior</t>
  </si>
  <si>
    <t>AMMAVNOPC000060</t>
  </si>
  <si>
    <t>PC0UQCVY</t>
  </si>
  <si>
    <t>MMA-LAP-0060</t>
  </si>
  <si>
    <t>22VN00000061</t>
  </si>
  <si>
    <t>AMMAVNMDC000061</t>
  </si>
  <si>
    <t>3KZCKG3</t>
  </si>
  <si>
    <t>MMA-LAP-0061</t>
  </si>
  <si>
    <t>22VN00000062</t>
  </si>
  <si>
    <t>AMMAVNPDC000062</t>
  </si>
  <si>
    <t>71GCGG3</t>
  </si>
  <si>
    <t>loan.nguyenhoang@mapactive.vn resigned 10/5/24</t>
  </si>
  <si>
    <t>MMA-LAP-0062</t>
  </si>
  <si>
    <t>22VN00000063</t>
  </si>
  <si>
    <t>AMMAVNCEC000063</t>
  </si>
  <si>
    <t>9JYF7S3</t>
  </si>
  <si>
    <t>MMA-LAP-0063</t>
  </si>
  <si>
    <t>22VN00000064</t>
  </si>
  <si>
    <t>AMMAVNOPC000064</t>
  </si>
  <si>
    <t>B8972T3</t>
  </si>
  <si>
    <t>Hiếu IT giữ, hư touchpad</t>
  </si>
  <si>
    <t>Nguyễn Thị Hải Đường off 23/06/2023 , Trần Thị Kim Tuyết off 14/06/2024</t>
  </si>
  <si>
    <t>MMA-LAP-0064</t>
  </si>
  <si>
    <t>22VN00000065</t>
  </si>
  <si>
    <t>AMMAVNLEC000065</t>
  </si>
  <si>
    <t>42V72T3</t>
  </si>
  <si>
    <t>MMA-LAP-0065</t>
  </si>
  <si>
    <t>22VN00000066</t>
  </si>
  <si>
    <t>AMMAVNLOC000066</t>
  </si>
  <si>
    <t>JWZF7S3</t>
  </si>
  <si>
    <t>MMA-LAP-0066</t>
  </si>
  <si>
    <t>22VN00000067</t>
  </si>
  <si>
    <t>AMMAVNMDC000067</t>
  </si>
  <si>
    <t>5CD250F9YL</t>
  </si>
  <si>
    <t>MMA-LAP-0067</t>
  </si>
  <si>
    <t>22VN00000068</t>
  </si>
  <si>
    <t>AMMAVNMPC000068</t>
  </si>
  <si>
    <t>6SYF7S3</t>
  </si>
  <si>
    <t>- 13/5/24 Vo Thi Hoang Anh Xuan OPSCCTV - Cấp cho Vân sale(máy chị ấy bị hở bản lề)</t>
  </si>
  <si>
    <t>- Tran Thi Toan My reassigned
- 13/5/24 Vo Thi Hoang Anh Xuan OPSCCTV</t>
  </si>
  <si>
    <t>MMA-LAP-0068</t>
  </si>
  <si>
    <t>22VN00000069</t>
  </si>
  <si>
    <t>AMMAVNITC000069</t>
  </si>
  <si>
    <t>3DYF7S3</t>
  </si>
  <si>
    <t>MMA-LAP-0069</t>
  </si>
  <si>
    <t>22VN00000070</t>
  </si>
  <si>
    <t>AMMAVNACC000070</t>
  </si>
  <si>
    <t>H3NVHW3</t>
  </si>
  <si>
    <t>MMA-LAP-0070</t>
  </si>
  <si>
    <t>22VN00000071</t>
  </si>
  <si>
    <t>AMMAVNITC000071</t>
  </si>
  <si>
    <t>BJ972T3</t>
  </si>
  <si>
    <t>Máy của a AN(IT) 
Đổi ổ cứng vs XX81 (Máy A huy)</t>
  </si>
  <si>
    <t>MMA-LAP-0071</t>
  </si>
  <si>
    <t>22VN00000072</t>
  </si>
  <si>
    <t>AMMAVNTAC000072</t>
  </si>
  <si>
    <t>1KHVHW3</t>
  </si>
  <si>
    <t>MMA-LAP-0072</t>
  </si>
  <si>
    <t>22VN00000073</t>
  </si>
  <si>
    <t>AMMAVNMDC000073</t>
  </si>
  <si>
    <t>7X82HW3</t>
  </si>
  <si>
    <t>MMA-LAP-0073</t>
  </si>
  <si>
    <t>22VN00000074</t>
  </si>
  <si>
    <t>AMMAVNMRC000074</t>
  </si>
  <si>
    <t>PC0VT5R5</t>
  </si>
  <si>
    <t xml:space="preserve">INTEL (R) CORE (TM) I5-8250U 1.60GHZ (8CPUS) </t>
  </si>
  <si>
    <t xml:space="preserve"> Sóng Nam nhận máy về kiểm tra và báo giá chi phí sửa màn hình bị giật 29-01-2024</t>
  </si>
  <si>
    <t>- Pham Thi My Dung quit job 02/10/2023
-Lê Ngọc Bích Trâm – Marketing Supervisor – Marketing Department (Foot Locker) – On board 20/10/2023 
&gt; Gửi sóng nam sửa màn hình bị giật khung hình 29-01-24&gt; done</t>
  </si>
  <si>
    <t>MMA-LAP-0074</t>
  </si>
  <si>
    <t>22VN00000075</t>
  </si>
  <si>
    <t>AMMAVNPDC000052</t>
  </si>
  <si>
    <t>61N8RQ3</t>
  </si>
  <si>
    <t>19/04/2024 tra.truongvantin resigned</t>
  </si>
  <si>
    <t>tra.truongvantin</t>
  </si>
  <si>
    <t>MMA-LAP-0052</t>
  </si>
  <si>
    <t>22VN00000076</t>
  </si>
  <si>
    <t>AMMAVNECC000076</t>
  </si>
  <si>
    <t>CXJ8VV3</t>
  </si>
  <si>
    <t>MMA-LAP-0076</t>
  </si>
  <si>
    <t>22VN00000077</t>
  </si>
  <si>
    <t>Tran Vu Kim Chi</t>
  </si>
  <si>
    <t>AMMAVNMDC000077</t>
  </si>
  <si>
    <t>6MS0HW3</t>
  </si>
  <si>
    <t>laptop cũ Nguyễn Đỗ Hiền đã bàn giaocho IT ngay7/02/14 
Cho Trần Vũ Kim Chi Mượn máy ngày 07/02/2024</t>
  </si>
  <si>
    <t>MMA-LAP-0077</t>
  </si>
  <si>
    <t>22VN00000079</t>
  </si>
  <si>
    <t>AMMAVNGDD000079</t>
  </si>
  <si>
    <t>Pavilion 590-p0xxx</t>
  </si>
  <si>
    <t>8CG824CV0T</t>
  </si>
  <si>
    <t>HDD (1 TB)
SSD (512 GB)</t>
  </si>
  <si>
    <t>2800 MHz Core i5-8400 HDD 1TB-SSD 240GB</t>
  </si>
  <si>
    <t>- NGUYỄN NGỌC LAN ANH (Sophie)
- Lê Thanh Duyên</t>
  </si>
  <si>
    <t>MMA-DES-0001</t>
  </si>
  <si>
    <t>22VN00000078</t>
  </si>
  <si>
    <t>AMMAVNGDC000078</t>
  </si>
  <si>
    <t>G15 5520</t>
  </si>
  <si>
    <t>9R2B9T3</t>
  </si>
  <si>
    <t>12TH GEN INTEL CORE I7-12700H(20CPU)2.3GHZ SSD512GB-GEFORCE GTX 3060</t>
  </si>
  <si>
    <t>MMA-LAP-0078</t>
  </si>
  <si>
    <t>22VN00000080</t>
  </si>
  <si>
    <t>AMMAVNMDC000080</t>
  </si>
  <si>
    <t>FLQ85R3</t>
  </si>
  <si>
    <t>12TH GEN INTEL CORE I7-12700H(20CPU)2.3GHZ SSD512GB-GEFORCE GTX 2050TI</t>
  </si>
  <si>
    <t>MMA-LAP-0079</t>
  </si>
  <si>
    <t>22VN00000081</t>
  </si>
  <si>
    <t>AMMAVNOPC000081</t>
  </si>
  <si>
    <t>F598VV3</t>
  </si>
  <si>
    <t>Hư swap với máy a an(71)</t>
  </si>
  <si>
    <t>MMA-LAP-0080</t>
  </si>
  <si>
    <t>22VN00000082</t>
  </si>
  <si>
    <t>AMMAVNMDC000082</t>
  </si>
  <si>
    <t>DL0G7S3</t>
  </si>
  <si>
    <t>MMA-LAP-0081</t>
  </si>
  <si>
    <t>Plan as the last resort for NB Diamond (faulty HDD)</t>
  </si>
  <si>
    <t>22VN00000083</t>
  </si>
  <si>
    <t>AMMAVNMPC000083</t>
  </si>
  <si>
    <t>5YSSKS3</t>
  </si>
  <si>
    <t>nhung.nguyenthituyet resigned</t>
  </si>
  <si>
    <t>MMA-LAP-0082</t>
  </si>
  <si>
    <t>22VN00000084</t>
  </si>
  <si>
    <t>AMMAVNTAC000084</t>
  </si>
  <si>
    <t>BXSSKS3</t>
  </si>
  <si>
    <t>Luong resigned</t>
  </si>
  <si>
    <t>MMA-LAP-0083</t>
  </si>
  <si>
    <t>22VN00000086</t>
  </si>
  <si>
    <t>Nguyen Ha Phuong Uyen</t>
  </si>
  <si>
    <t xml:space="preserve">Nguyen Nhu Quynh (Brand Manager Bata) old laptop </t>
  </si>
  <si>
    <t>AMMAVNMDC000086</t>
  </si>
  <si>
    <t>4084RV3</t>
  </si>
  <si>
    <t>12th Gen Intel(R) Core(TM) i5-1235U[Cores 12</t>
  </si>
  <si>
    <t>Đang cấp tạm cho chị Uyên ngày 18/03/2024</t>
  </si>
  <si>
    <t>31/01/2024 Nguyen Nhu Quynh (Brand Manager Bata) resigned</t>
  </si>
  <si>
    <t>MMA-LAP-0085</t>
  </si>
  <si>
    <t>22VN00000087</t>
  </si>
  <si>
    <t>Tran Thanh Nguyen</t>
  </si>
  <si>
    <t>AMMAVNMDC000087</t>
  </si>
  <si>
    <t>tran.nguyen</t>
  </si>
  <si>
    <t>2XSSKS3</t>
  </si>
  <si>
    <t>MMA-LAP-0086</t>
  </si>
  <si>
    <t>AMMAVNHRD000088</t>
  </si>
  <si>
    <t>ProDesk 400 G3 Mini</t>
  </si>
  <si>
    <t xml:space="preserve">Intel (R) CORE (TM) I5-7500T.2.7GHZ (4CPUS) </t>
  </si>
  <si>
    <t>22VN00000089</t>
  </si>
  <si>
    <t xml:space="preserve"> Accounting Intern</t>
  </si>
  <si>
    <t xml:space="preserve"> Accounting Intern (Le Nhi)</t>
  </si>
  <si>
    <t>AMMAVNACD000089</t>
  </si>
  <si>
    <t>8CG75234Q1</t>
  </si>
  <si>
    <t>25/02/2024 bàn giao intern accounting</t>
  </si>
  <si>
    <t>- Trước đó cấp cho Accounting Intern</t>
  </si>
  <si>
    <t>22VN00000091</t>
  </si>
  <si>
    <t>Marketing intern</t>
  </si>
  <si>
    <t>AMMAVNITC000091</t>
  </si>
  <si>
    <t>PC0VT5RC</t>
  </si>
  <si>
    <t>- Ni HR old laptop, CẤP TẠM CHO NGHIÊM THỊ HỒNG VÂN NGÀY 07/02/24 
đã trả IT lưu kho</t>
  </si>
  <si>
    <t>22VN00000092</t>
  </si>
  <si>
    <t>AMMAVNMDC000092</t>
  </si>
  <si>
    <t>1GHVHW3</t>
  </si>
  <si>
    <t>22VN00000093</t>
  </si>
  <si>
    <t>IT (PC-PRINTER)</t>
  </si>
  <si>
    <t>PC for color printing</t>
  </si>
  <si>
    <t>AMMAVNITD000093</t>
  </si>
  <si>
    <t>DeLUX</t>
  </si>
  <si>
    <t>DH67VR</t>
  </si>
  <si>
    <t xml:space="preserve">INTEL (R) CORE (TM) I5-2400.3.1GHZ (8CPUS) </t>
  </si>
  <si>
    <t>22VN00000094</t>
  </si>
  <si>
    <t>AMMAVNOPC000094</t>
  </si>
  <si>
    <t>9ZHQRV3</t>
  </si>
  <si>
    <t>Máy cũ của Thy.nguyenhoanganh
05/Dec/2024 bàn giao cho Intern Accounting\</t>
  </si>
  <si>
    <t>minh.letranthien@mapactive.vn  resigned thy.nguyenhoanganh resigned chi Mai giữ máy</t>
  </si>
  <si>
    <t>22VN00000095</t>
  </si>
  <si>
    <t>IT Backup</t>
  </si>
  <si>
    <t>Inter MKT Nguyễn Hồng Thị Minh Bình</t>
  </si>
  <si>
    <t>AMMAVNITC000095</t>
  </si>
  <si>
    <t>PC0VSNY2</t>
  </si>
  <si>
    <t>INTEL® CORE ™I5-8250u CPU 1.60 GhZ</t>
  </si>
  <si>
    <t xml:space="preserve">- 13-Nov-2023: gửi đi sửa USB, bản lề, phím
- Đã sửa xong
</t>
  </si>
  <si>
    <t>Laptop Tran Thu Huyen (AM Hai Phong) - dùng cho Supervisor Store VC03 &amp; VE01 CHAMPION &amp; NewEra AEON MALL HẢI PHÒNG</t>
  </si>
  <si>
    <t>22VN00000096</t>
  </si>
  <si>
    <t xml:space="preserve">LAPTOP OLD  VANHUYNHTU TRINH </t>
  </si>
  <si>
    <t>PC12PNNM</t>
  </si>
  <si>
    <t>CẦN NÂNG CẤP RAM ,laptop cũ VANHUYNHTU TRINH  , bàn giao cho Nguyen Thi Phuong Dung ngày 23/11/2023, thu hồi lại ngày 01/03/2024&gt;ITbackup</t>
  </si>
  <si>
    <t>LAPTOP CŨ TÚ TRINH ACC
Cấp cho Dung Marketing</t>
  </si>
  <si>
    <t>22VN00000097</t>
  </si>
  <si>
    <t>New 5430 Laptop provide Tran Vu Kim Chi – Brand Division Manager (Foot Locker)</t>
  </si>
  <si>
    <t>AMMAVNHRC000097</t>
  </si>
  <si>
    <t>B1K8VV3</t>
  </si>
  <si>
    <t>THAY  CHO VICKY (HR), TRƯỚC ĐÓ MUA CHO TRẦN VŨ KIM CHI (BRND MANAGER )</t>
  </si>
  <si>
    <t>22VN00000098</t>
  </si>
  <si>
    <t>Mai Nguyen Diem Quynh</t>
  </si>
  <si>
    <t>AMMAVNACC000098</t>
  </si>
  <si>
    <t>F650FX3</t>
  </si>
  <si>
    <t>Lô 6 Laptop swap mua hàng với Cambodia</t>
  </si>
  <si>
    <t>Replace the old laptop of Quynh.mainguyendiem</t>
  </si>
  <si>
    <t>22VN00000099</t>
  </si>
  <si>
    <t>new laptop 3420 provide Thoi Huu Nghia( Project team)</t>
  </si>
  <si>
    <t>AMMAVNPDC000099</t>
  </si>
  <si>
    <t>2R20FX3</t>
  </si>
  <si>
    <t>Swap old laptop of NGHIA.THOIHUU</t>
  </si>
  <si>
    <t>22VN00000100</t>
  </si>
  <si>
    <t>Huynh Ngoc Son (Project Supervisor)</t>
  </si>
  <si>
    <t>AMMAVNPDC000100</t>
  </si>
  <si>
    <t>JJNZDX3</t>
  </si>
  <si>
    <t>SWAP OLD LAPTOP  OF SON.HUYNHNGOC</t>
  </si>
  <si>
    <t>22VN00000101</t>
  </si>
  <si>
    <t>AMMAVNMDC000101</t>
  </si>
  <si>
    <t>2Q20FX3</t>
  </si>
  <si>
    <t xml:space="preserve">Swap old laptop of Pham My Tu </t>
  </si>
  <si>
    <t>22VN00000102</t>
  </si>
  <si>
    <t>AMMAVNITC000102</t>
  </si>
  <si>
    <t>CY40FX3</t>
  </si>
  <si>
    <t>22VN00000103</t>
  </si>
  <si>
    <t>AMMAVNLOC000103</t>
  </si>
  <si>
    <t>69LXDX3</t>
  </si>
  <si>
    <t>Lô 6 Laptop swap mua hàng với Cambodia
swap laptop of  Nguyen Hoang Anh Thy</t>
  </si>
  <si>
    <t>22VN00000104</t>
  </si>
  <si>
    <t>AMMAVNAMC000104</t>
  </si>
  <si>
    <t>29XCZH3</t>
  </si>
  <si>
    <t>11th GEN Intel(R) i5 -1135g7@ 2.40Ghz</t>
  </si>
  <si>
    <t>LAPTOP CŨ CỦA JEETAN 
 thêm Ram 8Gb lấy từ máy Converse Takashimaya lắp cho Mr.Darryl (07-Feb-2024)</t>
  </si>
  <si>
    <t>22VN00000105</t>
  </si>
  <si>
    <t>Head of Finance</t>
  </si>
  <si>
    <t>AMMAVNACC000105</t>
  </si>
  <si>
    <t>Elite x360 1040</t>
  </si>
  <si>
    <t>5CG3401CPM</t>
  </si>
  <si>
    <t>1TB</t>
  </si>
  <si>
    <t>13th GEN Intel(R) i7 -1355U 1.70Ghz</t>
  </si>
  <si>
    <t>Uyen</t>
  </si>
  <si>
    <t>22VN00000106</t>
  </si>
  <si>
    <t>AMMAVNAMC000106</t>
  </si>
  <si>
    <t>5CG3404MX5</t>
  </si>
  <si>
    <t>Darryl</t>
  </si>
  <si>
    <t>22VN00110009</t>
  </si>
  <si>
    <t>AMMAVNITC000107</t>
  </si>
  <si>
    <t>Event AEON Bình Tân</t>
  </si>
  <si>
    <t>14s-cf2xxx</t>
  </si>
  <si>
    <t>5CG11088PT</t>
  </si>
  <si>
    <t xml:space="preserve">1100 MHz Pentium Silver N5030 </t>
  </si>
  <si>
    <t>Trước đó dùng cho store VI02- SMIGGLE TAKASHIMAYA , IT THU HỒI NGÀY 21-02-24, cài lại win 10 dùng làm IT backup</t>
  </si>
  <si>
    <t>`</t>
  </si>
  <si>
    <t>Assigned Asset</t>
  </si>
  <si>
    <t>Email Address</t>
  </si>
  <si>
    <t>Full Name</t>
  </si>
  <si>
    <t>Display Name</t>
  </si>
  <si>
    <t>English Name</t>
  </si>
  <si>
    <t>Department</t>
  </si>
  <si>
    <t>JOB TITLE</t>
  </si>
  <si>
    <t>O365 license</t>
  </si>
  <si>
    <t>Country</t>
  </si>
  <si>
    <t>Type</t>
  </si>
  <si>
    <t>Onboarding Date</t>
  </si>
  <si>
    <t>Request email</t>
  </si>
  <si>
    <t>Purchasing Request</t>
  </si>
  <si>
    <t>Laptop model</t>
  </si>
  <si>
    <t>Laptop delivery</t>
  </si>
  <si>
    <t>Handover to user</t>
  </si>
  <si>
    <t>MAP Level</t>
  </si>
  <si>
    <t>uyen.nguyenhaphuong@mapactive.vn</t>
  </si>
  <si>
    <t>Nguyễn Hà Phượng Uyên</t>
  </si>
  <si>
    <t>Dory</t>
  </si>
  <si>
    <t>BOD (Finance)</t>
  </si>
  <si>
    <t>General Manager &amp; Finance Controller</t>
  </si>
  <si>
    <t>E3</t>
  </si>
  <si>
    <t>VN</t>
  </si>
  <si>
    <t>Senior General Manager</t>
  </si>
  <si>
    <t>phung.tietnha@mapactive.vn</t>
  </si>
  <si>
    <t>Tiết Nhã Phụng</t>
  </si>
  <si>
    <t>Tiet Nha Phung</t>
  </si>
  <si>
    <t>Brand Manager (Converse)</t>
  </si>
  <si>
    <t>Senior Manager</t>
  </si>
  <si>
    <t>tam.dangthithanh@mapactive.vn</t>
  </si>
  <si>
    <t>Đặng Thị Thanh Tâm</t>
  </si>
  <si>
    <t>Dang Thi Thanh Tam</t>
  </si>
  <si>
    <t>Tansy</t>
  </si>
  <si>
    <t>Brand Manager (NB, Crocs)</t>
  </si>
  <si>
    <t>van.luugiangcam@mapactive.vn</t>
  </si>
  <si>
    <t>Lưu Giang Cẩm Vân</t>
  </si>
  <si>
    <t>Luu Giang Cam Van</t>
  </si>
  <si>
    <t>Vicky</t>
  </si>
  <si>
    <t>HR &amp; Admin Manager</t>
  </si>
  <si>
    <t>Manager</t>
  </si>
  <si>
    <t>them.quanthanh@mapactive.vn</t>
  </si>
  <si>
    <t>Quan Thanh Thềm</t>
  </si>
  <si>
    <t>COE Manager</t>
  </si>
  <si>
    <t>nghia.thoihuu@mapactive.vn</t>
  </si>
  <si>
    <t>Thới Hũu Nghĩa</t>
  </si>
  <si>
    <t>Thoi Huu Nghia</t>
  </si>
  <si>
    <t>Senior Project Manager</t>
  </si>
  <si>
    <t>tuyen.vothuyminh@mapactive.vn</t>
  </si>
  <si>
    <t>Võ Thụy Minh Tuyền</t>
  </si>
  <si>
    <t>Vo Thuy Minh Tuyen</t>
  </si>
  <si>
    <t>Senior Merchandise</t>
  </si>
  <si>
    <t>Associate Manager</t>
  </si>
  <si>
    <t>tu.phammy@mapactive.vn</t>
  </si>
  <si>
    <t>Phạm Mỹ Tú</t>
  </si>
  <si>
    <t>Pham My Tu</t>
  </si>
  <si>
    <t>thanh.nguyenphuoc@mapactive.vn</t>
  </si>
  <si>
    <t>Nguyễn Phước Thạnh</t>
  </si>
  <si>
    <t>Nguyen Phuoc Thanh</t>
  </si>
  <si>
    <t>Merchandiser</t>
  </si>
  <si>
    <t>Senior Executive</t>
  </si>
  <si>
    <t>linh.lecam@mapactive.vn</t>
  </si>
  <si>
    <t xml:space="preserve">Lê Cẩm Linh </t>
  </si>
  <si>
    <t>Le Cam Linh</t>
  </si>
  <si>
    <t>Shipping Supervisor</t>
  </si>
  <si>
    <t>tram.ngothibich@mapactive.vn</t>
  </si>
  <si>
    <t>Ngô Thị Bích Trâm</t>
  </si>
  <si>
    <t>Ngo Thi Bich Tram</t>
  </si>
  <si>
    <t>Shipping Officer</t>
  </si>
  <si>
    <t>Senior Associate</t>
  </si>
  <si>
    <t>tuyet.lethianh@mapactive.vn</t>
  </si>
  <si>
    <t>Lê Thị Ánh Tuyết</t>
  </si>
  <si>
    <t>Le Thi Anh Tuyet</t>
  </si>
  <si>
    <t>Tax &amp; Accounting Assistant Manager</t>
  </si>
  <si>
    <t>tuan.ngoanh@mapactive.vn</t>
  </si>
  <si>
    <t>Ngô Anh Tuấn</t>
  </si>
  <si>
    <t>Ngo Anh Tuan</t>
  </si>
  <si>
    <t>Senior Wholesaler</t>
  </si>
  <si>
    <t>Executive</t>
  </si>
  <si>
    <t>thang.nguyennam@mapactive.vn</t>
  </si>
  <si>
    <t>Nguyễn Nam Thắng</t>
  </si>
  <si>
    <t>Nguyen Nam Thang</t>
  </si>
  <si>
    <t>nam.dangthanh@mapactive.vn</t>
  </si>
  <si>
    <t>Đặng Thành Nam</t>
  </si>
  <si>
    <t>Dang Thanh Nam</t>
  </si>
  <si>
    <t>Warehouse and Distribution Supervisor</t>
  </si>
  <si>
    <t>quynh.mainguyendiem@mapactive.vn</t>
  </si>
  <si>
    <t>Mai Nguyễn Diễm Quỳnh</t>
  </si>
  <si>
    <t>Payable Accountant</t>
  </si>
  <si>
    <t>danh.huynhmy@mapactive.vn</t>
  </si>
  <si>
    <t xml:space="preserve">Huỳnh Mỹ Danh </t>
  </si>
  <si>
    <t>Huynh My Danh</t>
  </si>
  <si>
    <t>FP&amp;A Supervisor</t>
  </si>
  <si>
    <t>thang.nguyenquyet@mapactive.vn</t>
  </si>
  <si>
    <t>Nguyễn Quyết Thắng</t>
  </si>
  <si>
    <t>Nguyen Quyet Thang</t>
  </si>
  <si>
    <t>COE Officer</t>
  </si>
  <si>
    <t>Associate</t>
  </si>
  <si>
    <t>binh.ngotieu@mapactive.vn</t>
  </si>
  <si>
    <t>Ngô Tiểu Bình</t>
  </si>
  <si>
    <t>Ngo Tieu Binh</t>
  </si>
  <si>
    <t>HR Executive</t>
  </si>
  <si>
    <t>son.huynhngoc@mapactive.vn</t>
  </si>
  <si>
    <t>Huỳnh Ngọc Sơn</t>
  </si>
  <si>
    <t>Huynh Ngoc Son</t>
  </si>
  <si>
    <t>Project Supervisor</t>
  </si>
  <si>
    <t>huy.nguyenquoc@mapactive.vn</t>
  </si>
  <si>
    <t>Nguyễn Quốc Huy</t>
  </si>
  <si>
    <t>Nguyen Quoc Huy</t>
  </si>
  <si>
    <t>Visual Merchandise Supervisor</t>
  </si>
  <si>
    <t>duyen.nguyenngocxuan@mapactive.vn</t>
  </si>
  <si>
    <t>Nguyễn Ngọc Xuân Duyên</t>
  </si>
  <si>
    <t>Nguyen Ngoc Xuan Duyen</t>
  </si>
  <si>
    <t>tram.duongthibao@mapactive.vn</t>
  </si>
  <si>
    <t>Dương Thị Bảo Trâm</t>
  </si>
  <si>
    <t>Duong Thi Bao Tram</t>
  </si>
  <si>
    <t>Wholesale Admin</t>
  </si>
  <si>
    <t>anh.nguyenngoclan@mapactive.vn</t>
  </si>
  <si>
    <t>Nguyễn Ngọc Lan Anh</t>
  </si>
  <si>
    <t>Nguyen Ngoc Lan Anh</t>
  </si>
  <si>
    <t>Sophie</t>
  </si>
  <si>
    <t>Graphic Designer</t>
  </si>
  <si>
    <t>trinh.tranngocdoan@mapactive.vn</t>
  </si>
  <si>
    <t>Trần Ngọc Đoan Trinh</t>
  </si>
  <si>
    <t>Tran Ngoc Doan Trinh</t>
  </si>
  <si>
    <t>linh.lengocmy@mapactive.vn</t>
  </si>
  <si>
    <t xml:space="preserve">Lê Ngoc Mỹ Linh </t>
  </si>
  <si>
    <t>Le Ngoc My Linh</t>
  </si>
  <si>
    <t>nhi.tranthiyen@mapactive.vn</t>
  </si>
  <si>
    <t>Trần Thị Yến Nhi</t>
  </si>
  <si>
    <t>Tran Thi Yen Nhi</t>
  </si>
  <si>
    <t>Payroll &amp; Em. Servieces Executive</t>
  </si>
  <si>
    <t>ni.ksormahhko@mapactive.vn</t>
  </si>
  <si>
    <t>Ksormahhko NI</t>
  </si>
  <si>
    <t>Ni Ksormahhko</t>
  </si>
  <si>
    <t>Procurement Executive</t>
  </si>
  <si>
    <t>lan.nguyenphuong@mapactive.vn</t>
  </si>
  <si>
    <t>Nguyễn Phương Lan</t>
  </si>
  <si>
    <t>Nguyen Phuong Lan</t>
  </si>
  <si>
    <t>Legal</t>
  </si>
  <si>
    <t>Legal Manager</t>
  </si>
  <si>
    <t>Done</t>
  </si>
  <si>
    <t>syed.umairhassan@mapactive.vn</t>
  </si>
  <si>
    <t>Syed Umair Hassan</t>
  </si>
  <si>
    <t>BOD (Merchandise)</t>
  </si>
  <si>
    <t>GM Merchandise</t>
  </si>
  <si>
    <t>Using the HP Laptop of Birkenstock Diamond Plaza</t>
  </si>
  <si>
    <t>quan.luonghuu@mapactive.vn</t>
  </si>
  <si>
    <t>Lương Hữu Quân</t>
  </si>
  <si>
    <t>Luong Huu Quan</t>
  </si>
  <si>
    <t>IT Infrastructure &amp; Operations Supervisor</t>
  </si>
  <si>
    <t>nhan.huynhtuan@mapactive.vn</t>
  </si>
  <si>
    <t>Huỳnh Tuấn Nhân</t>
  </si>
  <si>
    <t>Huynh Tuan Nhan</t>
  </si>
  <si>
    <t>SCM</t>
  </si>
  <si>
    <t>SCM Manager</t>
  </si>
  <si>
    <t>No need</t>
  </si>
  <si>
    <t>Re-use the laptop of ngoc.voleminh</t>
  </si>
  <si>
    <t>mong.nguyenthithuy@mapactive.vn</t>
  </si>
  <si>
    <t>Nguyễn Thị Thúy Mộng</t>
  </si>
  <si>
    <t>Nguyen Thi Thuy Mong</t>
  </si>
  <si>
    <t>Merchandise</t>
  </si>
  <si>
    <t>Senior Brand Marketing Manager</t>
  </si>
  <si>
    <t>Foot Locker</t>
  </si>
  <si>
    <t>qui.nguyenthi@mapactive.vn</t>
  </si>
  <si>
    <t>Nguyễn Thị Quí</t>
  </si>
  <si>
    <t>Nguyen Thi Qui</t>
  </si>
  <si>
    <t>Accounting</t>
  </si>
  <si>
    <t>General Accountant UFO</t>
  </si>
  <si>
    <t>Re-use Nguyễn Trí Độ' Laptop</t>
  </si>
  <si>
    <t>le.daothihong@mapactive.vn</t>
  </si>
  <si>
    <t>Đào Thị Hồng Lê</t>
  </si>
  <si>
    <t>Dao Thi Hong Le</t>
  </si>
  <si>
    <t>Training</t>
  </si>
  <si>
    <t xml:space="preserve">Training Assistant Manager </t>
  </si>
  <si>
    <t xml:space="preserve">Done </t>
  </si>
  <si>
    <t>done</t>
  </si>
  <si>
    <t>dien.tranduy@mapactive.vn</t>
  </si>
  <si>
    <t xml:space="preserve">Trần Duy Điền </t>
  </si>
  <si>
    <t>Tran Duy Dien</t>
  </si>
  <si>
    <t xml:space="preserve">COE Department </t>
  </si>
  <si>
    <t xml:space="preserve">Inventory Control </t>
  </si>
  <si>
    <t>thu.nguyenthanhanh@mapactive.vn</t>
  </si>
  <si>
    <t>Nguyễn Thanh Anh Thư</t>
  </si>
  <si>
    <t>Nguyen Thanh Anh Thu</t>
  </si>
  <si>
    <t xml:space="preserve">Marketing Department </t>
  </si>
  <si>
    <t>Visual Merchandise Manager</t>
  </si>
  <si>
    <t>Huy.daoduc@mapactive.vn</t>
  </si>
  <si>
    <t>Đào Đức Huy</t>
  </si>
  <si>
    <t xml:space="preserve">Dao Duc Huy </t>
  </si>
  <si>
    <t xml:space="preserve">Operations Department </t>
  </si>
  <si>
    <t>Area Manager (South)</t>
  </si>
  <si>
    <t>du.nguyenbao@mapactive.vn</t>
  </si>
  <si>
    <t>Nguyễn Bảo Du</t>
  </si>
  <si>
    <t>Nguyen Bao Du</t>
  </si>
  <si>
    <t>HR Department</t>
  </si>
  <si>
    <t>HR Internship</t>
  </si>
  <si>
    <t>None</t>
  </si>
  <si>
    <t>Mini PC</t>
  </si>
  <si>
    <t>duyen.lethanh@mapactive.vn</t>
  </si>
  <si>
    <t>Lê Thanh Duyên</t>
  </si>
  <si>
    <t>Le Thanh Duyen</t>
  </si>
  <si>
    <t xml:space="preserve">Graphic Designer (Foot Locker) </t>
  </si>
  <si>
    <t>Re-use Vũ Xuân Sơn</t>
  </si>
  <si>
    <t>ngoc.nguyenduyen@mapactive.vn</t>
  </si>
  <si>
    <t xml:space="preserve">Nguyễn Duyên Ngọc </t>
  </si>
  <si>
    <t>Nguyen Duyen Ngoc</t>
  </si>
  <si>
    <t>Business Development</t>
  </si>
  <si>
    <t xml:space="preserve">Business Development Manager </t>
  </si>
  <si>
    <t xml:space="preserve">Thay anh Hiếu BD (hieu.trantrung)last day ngày 31/08 dùng lại laptop  </t>
  </si>
  <si>
    <t>van.nghiemthihong@mapactive.vn</t>
  </si>
  <si>
    <t>Nghiêm Thị Hồng Vân</t>
  </si>
  <si>
    <t>Nghiem Thi Hong Van</t>
  </si>
  <si>
    <t>Brand Department</t>
  </si>
  <si>
    <t>xuan.vothihoanganh@mapactive.vn</t>
  </si>
  <si>
    <t>Võ Thị Hoàng Ánh Xuân</t>
  </si>
  <si>
    <t>Vo Thi Hoang Anh Xuan</t>
  </si>
  <si>
    <t>Operations Executive</t>
  </si>
  <si>
    <t>Dùng lại máy ĐẶNG QUỐC TRÍ (OP)</t>
  </si>
  <si>
    <t>tram.lengocbich@mapactive.vn</t>
  </si>
  <si>
    <t>Lê Ngọc BÍch Trâm</t>
  </si>
  <si>
    <t>Le Ngoc Bich Tram</t>
  </si>
  <si>
    <t>Marketing Department (Foot Locker)</t>
  </si>
  <si>
    <t>Marketing Supervisor (Foot Locker)</t>
  </si>
  <si>
    <t>x280</t>
  </si>
  <si>
    <t>Replace Phạm Thị Mỹ Dung</t>
  </si>
  <si>
    <t>mai.nguyenthihuynh@mapactive.vn</t>
  </si>
  <si>
    <t>Nguyễn Thị Huỳnh Mai</t>
  </si>
  <si>
    <t>Nguyen Thi Huynh Mai</t>
  </si>
  <si>
    <t>Maya</t>
  </si>
  <si>
    <t>Finance, Tax &amp; Accounting Manager</t>
  </si>
  <si>
    <t>laptop cũ của Huỳnh Ngọc Sơn (team Project)</t>
  </si>
  <si>
    <t>tuan.duongquangminh@mapactive.vn</t>
  </si>
  <si>
    <t>Dương Quang Minh Tuấn</t>
  </si>
  <si>
    <t>Duong Quang Minh Tuan</t>
  </si>
  <si>
    <t>Retail Operations Department</t>
  </si>
  <si>
    <t>dat.volamminh@mapactive.vn</t>
  </si>
  <si>
    <t>Võ Lâm Minh Đạt</t>
  </si>
  <si>
    <t>Vo Lam Minh Dat</t>
  </si>
  <si>
    <t xml:space="preserve">Retail Operations Department </t>
  </si>
  <si>
    <t xml:space="preserve">Area Manager (South) </t>
  </si>
  <si>
    <t>HR requested</t>
  </si>
  <si>
    <t>no need</t>
  </si>
  <si>
    <t>(Re-use Dang's Laptop)</t>
  </si>
  <si>
    <t>minh.lengocbao@mapactive.vn</t>
  </si>
  <si>
    <t>Lê Ngọc Bảo Minh</t>
  </si>
  <si>
    <t>Le Ngoc Bao Minh</t>
  </si>
  <si>
    <t xml:space="preserve">Internal Audit &amp; Business Process Assistant Manager </t>
  </si>
  <si>
    <t xml:space="preserve">Risk Management &amp; Business Process </t>
  </si>
  <si>
    <t>anh.nguyensi@mapactive.vn</t>
  </si>
  <si>
    <t>Nguyễn Sĩ Anh</t>
  </si>
  <si>
    <t>Nguyen Si Anh</t>
  </si>
  <si>
    <t>Operation</t>
  </si>
  <si>
    <t>Acting Area Manager (North Side)</t>
  </si>
  <si>
    <t>Re-use Phùng Như Quỳnh's Laptop</t>
  </si>
  <si>
    <t>chi.tranvukim@mapactive.vn</t>
  </si>
  <si>
    <t>Trần Vũ Kim Chi</t>
  </si>
  <si>
    <t>Christine</t>
  </si>
  <si>
    <t xml:space="preserve">Brand Division Manager (Foot Locker) </t>
  </si>
  <si>
    <t xml:space="preserve">Will re-used Vicky's laptop </t>
  </si>
  <si>
    <t>trang.taquynh@mapactive.vn</t>
  </si>
  <si>
    <t>Tạ Quỳnh Trang</t>
  </si>
  <si>
    <t>Ta Quynh Trang</t>
  </si>
  <si>
    <t>Re-use laptop Le Minh Khang</t>
  </si>
  <si>
    <t>uyen.vuxuan@mapactive.vn</t>
  </si>
  <si>
    <t>Vũ Xuân Uyên</t>
  </si>
  <si>
    <t>Vu Xuan Uyen</t>
  </si>
  <si>
    <t>Marketing</t>
  </si>
  <si>
    <t>Marketing officer</t>
  </si>
  <si>
    <t>F3</t>
  </si>
  <si>
    <t>minh.vanduc@mapactive.vn</t>
  </si>
  <si>
    <t>Văn Đức Minh</t>
  </si>
  <si>
    <t xml:space="preserve">Van Duc Minh </t>
  </si>
  <si>
    <t>Quavo</t>
  </si>
  <si>
    <t>nhung.nguyenthihong01@mapactive.vn</t>
  </si>
  <si>
    <t>Nguyễn Thị Hồng Nhung</t>
  </si>
  <si>
    <t>Nguyen Thi Hong Nhung</t>
  </si>
  <si>
    <t>Area Manager (North)</t>
  </si>
  <si>
    <t>chau.lehongbao@mapactive.vn</t>
  </si>
  <si>
    <t>Lê Hồng Bảo Châu</t>
  </si>
  <si>
    <t>Le Hong Bao Chau</t>
  </si>
  <si>
    <t xml:space="preserve">Marketing </t>
  </si>
  <si>
    <t>Marketing Admin</t>
  </si>
  <si>
    <t>binh.nguyenmy@mapactive.vn</t>
  </si>
  <si>
    <t>Nguyễn Mỹ Bình</t>
  </si>
  <si>
    <t>Nguyen My Binh</t>
  </si>
  <si>
    <t>E-COMMERCE</t>
  </si>
  <si>
    <t xml:space="preserve">Re-use laptop </t>
  </si>
  <si>
    <t>ngan.vongocthanh@mapactive.vn</t>
  </si>
  <si>
    <t>Vo Ngoc Thanh Ngan</t>
  </si>
  <si>
    <t>Intern</t>
  </si>
  <si>
    <t>nhung.nguyenthituyet@mapactive.vn</t>
  </si>
  <si>
    <t xml:space="preserve">Nguyễn Thị Tyết Nhung </t>
  </si>
  <si>
    <t xml:space="preserve">Nguyen Thi Tuyet Nhung </t>
  </si>
  <si>
    <t>giang.trana@mapactive.vn</t>
  </si>
  <si>
    <t>Trần A Giang</t>
  </si>
  <si>
    <t>Tran A giang</t>
  </si>
  <si>
    <t xml:space="preserve">Intern </t>
  </si>
  <si>
    <t>Doan.An@mapactive.vn</t>
  </si>
  <si>
    <t>Đoàn Thiên Hồ An</t>
  </si>
  <si>
    <t>Doan Thien Ho An</t>
  </si>
  <si>
    <t>Digital Marketing Manager</t>
  </si>
  <si>
    <t>Tuan.Coanh@mapactive.vn</t>
  </si>
  <si>
    <t>Co Anh Tuấn</t>
  </si>
  <si>
    <t xml:space="preserve">Co Anh Tuan </t>
  </si>
  <si>
    <t>thu.pham@mapactive.vn</t>
  </si>
  <si>
    <t>Phạm Nguyễn Minh Thư</t>
  </si>
  <si>
    <t>Pham Nguyen Minh Thu</t>
  </si>
  <si>
    <t>DSV</t>
  </si>
  <si>
    <t>Logs Coordinator DSV VN</t>
  </si>
  <si>
    <t>Warehouse</t>
  </si>
  <si>
    <t>quan.vu@mapactive.vn</t>
  </si>
  <si>
    <t>Vũ Thái Quân</t>
  </si>
  <si>
    <t>Vu Thai Quan</t>
  </si>
  <si>
    <t>OPS Manager DSV VN</t>
  </si>
  <si>
    <t>ngoc.ngo@mapactive.vn</t>
  </si>
  <si>
    <t>Ngô Lê Bảo Ngọc</t>
  </si>
  <si>
    <t>Ngo Leo Bao Ngoc</t>
  </si>
  <si>
    <t>nguyen.thieu@mapactive.vn</t>
  </si>
  <si>
    <t>Nguyễn Gia Thiều</t>
  </si>
  <si>
    <t>Thieu Gia Nguyen</t>
  </si>
  <si>
    <t>mma.it@mapactive.vn</t>
  </si>
  <si>
    <t>MMA IT Vietnam</t>
  </si>
  <si>
    <t>E1</t>
  </si>
  <si>
    <t>Shared</t>
  </si>
  <si>
    <t>IT shared email account for licensing (Owner: IT)</t>
  </si>
  <si>
    <t>footlocker.vietnam@mapactive.vn</t>
  </si>
  <si>
    <t>Foot Locker Vietnam</t>
  </si>
  <si>
    <t>Foot Locker email for register with Ecom platforms (Owner: Brand - FL)</t>
  </si>
  <si>
    <t>HR.Recruitment@mapactive.vn</t>
  </si>
  <si>
    <t>HR Recruitment</t>
  </si>
  <si>
    <t>HR</t>
  </si>
  <si>
    <t>HR shared email account for recruitment, receive CV from candidates (Owner: HR)</t>
  </si>
  <si>
    <t>dung.nguyenthiphuong@mapactive.vn</t>
  </si>
  <si>
    <t>Nguyễn Thị Phương Dung</t>
  </si>
  <si>
    <t>Nguyen Thị Phuong Dung</t>
  </si>
  <si>
    <t xml:space="preserve">Marketing Supervisor </t>
  </si>
  <si>
    <t>mma.hotline@mapactive.vn</t>
  </si>
  <si>
    <t>MMA HOTLINE</t>
  </si>
  <si>
    <t>mac.hotline@mapactive.kh</t>
  </si>
  <si>
    <t xml:space="preserve">MAC HOTLINE </t>
  </si>
  <si>
    <t>KH</t>
  </si>
  <si>
    <t>TO HO</t>
  </si>
  <si>
    <t>Disable Email</t>
  </si>
  <si>
    <t>Onboarding Date
(dd/mm/yy)</t>
  </si>
  <si>
    <t>Request ITSD, IT Server Operation on 23 Feb 2023 (Ticket : WO0000000107284)</t>
  </si>
  <si>
    <t>alun.hughes@mapactive.vn</t>
  </si>
  <si>
    <t>Alun Hughes</t>
  </si>
  <si>
    <t>Exchange Online Kiosk</t>
  </si>
  <si>
    <t xml:space="preserve">Need to check with anh Nhân Log </t>
  </si>
  <si>
    <t>loan.lethikim@mapactive.vn</t>
  </si>
  <si>
    <t>Shipping Executive</t>
  </si>
  <si>
    <t>15/02/2023</t>
  </si>
  <si>
    <t>đã nghỉ việc</t>
  </si>
  <si>
    <t>ngoc.voleminh@mapactive.vn</t>
  </si>
  <si>
    <t>Logistics Manager</t>
  </si>
  <si>
    <t>trung.lehominh@mapactive.vn</t>
  </si>
  <si>
    <t>Lê Hồ Minh Trung</t>
  </si>
  <si>
    <t>Le Ho Minh Trung</t>
  </si>
  <si>
    <t>Digital</t>
  </si>
  <si>
    <t>Digital Commercial Senior Manager</t>
  </si>
  <si>
    <t>03/04/2023</t>
  </si>
  <si>
    <t>tram.nguyhuynhmai@mapactive.vn</t>
  </si>
  <si>
    <t>Ngụy Huỳnh Mai Trâm</t>
  </si>
  <si>
    <t>Nguy Huynh Mai Tram</t>
  </si>
  <si>
    <t>Logistic</t>
  </si>
  <si>
    <t xml:space="preserve">Logistic Admin </t>
  </si>
  <si>
    <t>14/04/2023</t>
  </si>
  <si>
    <t>nhung.nguyenhong@mapactive.vn</t>
  </si>
  <si>
    <t>Nguyễn Hồng Nhung</t>
  </si>
  <si>
    <t>Nguyen Hong Nhung</t>
  </si>
  <si>
    <t>Training Assistant Manager</t>
  </si>
  <si>
    <t>ha.dangthivan@mapactive.vn</t>
  </si>
  <si>
    <t>Đặng Thị Vân Hà</t>
  </si>
  <si>
    <t>Dang Thi Van Ha</t>
  </si>
  <si>
    <t>hau.lenguyentrung@mapactive.vn</t>
  </si>
  <si>
    <t>Lê Nguyễn Trung Hậu</t>
  </si>
  <si>
    <t>Le Nguyen Trung Hau</t>
  </si>
  <si>
    <t>17/04/2023</t>
  </si>
  <si>
    <t>5430 (swap for Henry)</t>
  </si>
  <si>
    <t>do.nguyentri@mapactive.vn</t>
  </si>
  <si>
    <t xml:space="preserve">Nguyễn Trí Độ </t>
  </si>
  <si>
    <t>Nguyen Tri Do</t>
  </si>
  <si>
    <t xml:space="preserve">General Accounting </t>
  </si>
  <si>
    <t>nghia.letrong@mapactive.vn</t>
  </si>
  <si>
    <t>Lê Trọng Nghĩa</t>
  </si>
  <si>
    <t>Le Trong Nghia</t>
  </si>
  <si>
    <t>24/04/2023</t>
  </si>
  <si>
    <t>Re use Laptop Chị Nhung</t>
  </si>
  <si>
    <t>duong.nguyenthihai@mapactive.vn</t>
  </si>
  <si>
    <t>Internal Audit &amp; Business Process Assistant Manager</t>
  </si>
  <si>
    <t>01/03/2023</t>
  </si>
  <si>
    <t>thuy.dangtranthu@mapactive.vn</t>
  </si>
  <si>
    <t>Marketing Executive</t>
  </si>
  <si>
    <t>14/07/2023</t>
  </si>
  <si>
    <t>Disable email after 09/2023</t>
  </si>
  <si>
    <t xml:space="preserve">son.vuxuan@mapactive.vn </t>
  </si>
  <si>
    <t>Vũ Xuân Sơn</t>
  </si>
  <si>
    <t>Vu Xuan Son</t>
  </si>
  <si>
    <t>vn</t>
  </si>
  <si>
    <t>15/06/2023</t>
  </si>
  <si>
    <t>Need to keep until end of Oct-2023</t>
  </si>
  <si>
    <t>giang.nguyenthiquynh@map.co.id</t>
  </si>
  <si>
    <t>hieu.trantrung@mapactive.vn</t>
  </si>
  <si>
    <t>Business Development Manager</t>
  </si>
  <si>
    <t>Need to keep until Ms Uyên Confirm</t>
  </si>
  <si>
    <t>tri.dangquoc@mapactive.vn</t>
  </si>
  <si>
    <t>Retail Operations Manager</t>
  </si>
  <si>
    <t>Can revoke license</t>
  </si>
  <si>
    <t>hoang.phanbao@mapactive.vn</t>
  </si>
  <si>
    <t>Phan Bảo Hoàng</t>
  </si>
  <si>
    <t>Phan Bao Hoang</t>
  </si>
  <si>
    <t>quynh.tranthilam@mapactive.vn  </t>
  </si>
  <si>
    <t>Tran Thi Lâm Quỳnh</t>
  </si>
  <si>
    <t>Tran Thi lam Quynh</t>
  </si>
  <si>
    <t>huong.tranquocthien@mapactive.vn</t>
  </si>
  <si>
    <t>Tran Quoc Thien Huong</t>
  </si>
  <si>
    <t>Senior Merchandise Planning Manager</t>
  </si>
  <si>
    <t>Need to keep until Kelvin confirm (Oct-2023)</t>
  </si>
  <si>
    <t>tien.phanthithuy@mapactive.vn</t>
  </si>
  <si>
    <t>Phan Thị Thủy Tiên</t>
  </si>
  <si>
    <t>Phan Thi Thuy Tiên</t>
  </si>
  <si>
    <t>8/5/2023</t>
  </si>
  <si>
    <t>re-use Le Nguyen Trung Hau's Laptop</t>
  </si>
  <si>
    <t>vothea.iem@map.co.id</t>
  </si>
  <si>
    <t>Iem Vothea</t>
  </si>
  <si>
    <t>Assistant Accountant Manager</t>
  </si>
  <si>
    <t>khoa.trandanganh@mapactive.vn</t>
  </si>
  <si>
    <t>Tran Dang Anh Khoa</t>
  </si>
  <si>
    <t>dung.phamthimy@mapactive.vn</t>
  </si>
  <si>
    <t xml:space="preserve">Phạm Thị Mỹ Dung </t>
  </si>
  <si>
    <t>Pham Thi My Dung</t>
  </si>
  <si>
    <t>``</t>
  </si>
  <si>
    <t>23/06/2023</t>
  </si>
  <si>
    <t>ngan.huynhthibich@mpactive.vn</t>
  </si>
  <si>
    <t>Huỳnh Thị Bích Ngân</t>
  </si>
  <si>
    <t xml:space="preserve">Huynh Thi Bich Ngan </t>
  </si>
  <si>
    <t>đã nghỉ việc 13/10/2023</t>
  </si>
  <si>
    <t>Waiting when HR Complete proccess resign</t>
  </si>
  <si>
    <t>hieu.nguyenvutrung@mapactive.vn</t>
  </si>
  <si>
    <t>Nguyễn Vũ Trung Hiếu</t>
  </si>
  <si>
    <t>Nguyen Vu Trung Hieu</t>
  </si>
  <si>
    <t>dang.hohai@mapactive.vn</t>
  </si>
  <si>
    <t>Hồ Hải Đăng</t>
  </si>
  <si>
    <t>Ho Hai Dang</t>
  </si>
  <si>
    <t>quynh.phungnhu@mapactive.vn</t>
  </si>
  <si>
    <t>Phùng Như Quỳnh</t>
  </si>
  <si>
    <t>Phung Nhu Quynh</t>
  </si>
  <si>
    <t>Need to keep until we have replacement</t>
  </si>
  <si>
    <t>Trương Hồng Hương</t>
  </si>
  <si>
    <t>Truong Hong Huong</t>
  </si>
  <si>
    <t>Jolie</t>
  </si>
  <si>
    <t>Brand Manager (Birkenstock)</t>
  </si>
  <si>
    <t>quynh.nguyennhu@mapactive.vn</t>
  </si>
  <si>
    <t>Nguyễn Như Quỳnh</t>
  </si>
  <si>
    <t>Nguyen Nhu Quynh</t>
  </si>
  <si>
    <t>Brand Manager (Bata)</t>
  </si>
  <si>
    <t>BM for Bata, New Era</t>
  </si>
  <si>
    <t>Tram.phamthibao@mapactive.vn</t>
  </si>
  <si>
    <t>Phạm Thị Bảo Trâm</t>
  </si>
  <si>
    <t>Pham Thi Bao Tram</t>
  </si>
  <si>
    <t>dat.tranquoc@mapactive.vn</t>
  </si>
  <si>
    <t>Trần Quốc Đạt</t>
  </si>
  <si>
    <t>Tran Quoc Dat</t>
  </si>
  <si>
    <t>IT Officer</t>
  </si>
  <si>
    <t>phong.phanhoai@mapactive.vn</t>
  </si>
  <si>
    <t xml:space="preserve">Phan Hoài Phong </t>
  </si>
  <si>
    <t>Phan Hoai Phong</t>
  </si>
  <si>
    <t xml:space="preserve">Visual Merchandise Executive </t>
  </si>
  <si>
    <t>my.tranthitoan@mapactive.vn</t>
  </si>
  <si>
    <t>Trần Thị Toàn Mỹ</t>
  </si>
  <si>
    <t>Tran Thi Toan My</t>
  </si>
  <si>
    <t>Senior Planning Merchandise</t>
  </si>
  <si>
    <t>tra.truongvantin@mapactive.vn</t>
  </si>
  <si>
    <t>Trương Văn tín Trà</t>
  </si>
  <si>
    <t>Truong Van Tin Tra</t>
  </si>
  <si>
    <t>tien.trantrung@mapactive.vn</t>
  </si>
  <si>
    <t>Trần Trung Tiến</t>
  </si>
  <si>
    <t>Tran Trung Tien</t>
  </si>
  <si>
    <t>Replace Diệp team Ms. Jolie will resign on 10/04. Provide temporary MiniPC to use</t>
  </si>
  <si>
    <t>hoa.mailecam@mapactive.vn</t>
  </si>
  <si>
    <t>Mai Lê Cẩm Hòa</t>
  </si>
  <si>
    <t>Mai Le Cam Hoa</t>
  </si>
  <si>
    <t>Mia</t>
  </si>
  <si>
    <t>Retail Admin Executive</t>
  </si>
  <si>
    <t>minh.letranthien@mapactive.vn</t>
  </si>
  <si>
    <t>Lê Trần Thiên Minh</t>
  </si>
  <si>
    <t>Le Tran Thien Minh</t>
  </si>
  <si>
    <t>Operations Department</t>
  </si>
  <si>
    <t>Retail Operations Division Manager</t>
  </si>
  <si>
    <t>linh.thainhat@mapactive.vn</t>
  </si>
  <si>
    <t xml:space="preserve">Thái Nhật Linh </t>
  </si>
  <si>
    <t>Thai Nhat Linh</t>
  </si>
  <si>
    <t>loan.nguyenhoang@mapactive.vn</t>
  </si>
  <si>
    <t>Nguyễn Hoàng Loan</t>
  </si>
  <si>
    <t>Nguyen Hoang Loan</t>
  </si>
  <si>
    <t>it.vn@mapactive.vn</t>
  </si>
  <si>
    <t>Nguyễn Phạm Duy Anh</t>
  </si>
  <si>
    <t>Nguyen Pham Duy Anh</t>
  </si>
  <si>
    <t>hien.nguyendo@mapactive.vn</t>
  </si>
  <si>
    <t>Nguyễn Đỗ Hiền</t>
  </si>
  <si>
    <t>Nguyen Do Hien</t>
  </si>
  <si>
    <t xml:space="preserve">Brand </t>
  </si>
  <si>
    <t>Merchandise Manager (Foot Locker)</t>
  </si>
  <si>
    <t>Already disable email account and revoke lic</t>
  </si>
  <si>
    <t>huan.lenam@mapactive.vn</t>
  </si>
  <si>
    <t>Lê Nam Huân</t>
  </si>
  <si>
    <t>Le Nam Huan</t>
  </si>
  <si>
    <t xml:space="preserve">Training Department </t>
  </si>
  <si>
    <t>Training Executive</t>
  </si>
  <si>
    <t>Nguyễn Thị Tuyết Nhung</t>
  </si>
  <si>
    <t>Nguyen Thi Tuyet Nhung</t>
  </si>
  <si>
    <t xml:space="preserve">Planning Department </t>
  </si>
  <si>
    <t xml:space="preserve">Senior Merchandise Planning </t>
  </si>
  <si>
    <t>Tuyet.tranthikim@mapactive.vn</t>
  </si>
  <si>
    <t>Trần Thị Kim Tuyết</t>
  </si>
  <si>
    <t>Tran Thi kim Tuyet</t>
  </si>
  <si>
    <t>Retail Operations Division Manager (Foot Locker)</t>
  </si>
  <si>
    <t xml:space="preserve">Hoàng Thân Bảo Phúc </t>
  </si>
  <si>
    <t>Hoang Than Bao Phuc</t>
  </si>
  <si>
    <t>uyen.vuthuy@mapactive.vn</t>
  </si>
  <si>
    <t>Vũ Thùy Uyên</t>
  </si>
  <si>
    <t>Vu Thuy Uyen</t>
  </si>
  <si>
    <t>trang.huynhthimy@mapactive.vn</t>
  </si>
  <si>
    <t>Huỳnh Thị Mỹ Trang</t>
  </si>
  <si>
    <t>Huynh Thi My Trang</t>
  </si>
  <si>
    <t>Retail Admin</t>
  </si>
  <si>
    <t>an.nguyenhuu@mapactive.vn</t>
  </si>
  <si>
    <t>Nguyễn Hữu An</t>
  </si>
  <si>
    <t>Nguyen Huu An</t>
  </si>
  <si>
    <t>IT Application &amp; Analytic Associate Manager</t>
  </si>
  <si>
    <t>hieu.phamtrung@mapactive.vn</t>
  </si>
  <si>
    <t>Phạm Trung Hiếu</t>
  </si>
  <si>
    <t>Pham Trung Hieu</t>
  </si>
  <si>
    <t>IT Infrastructure &amp; Operations Manager</t>
  </si>
  <si>
    <t>dung.huynhkim@mapactive.vn</t>
  </si>
  <si>
    <t>Huỳnh Kim Dung</t>
  </si>
  <si>
    <t>Huynh Kim Dung</t>
  </si>
  <si>
    <t>Zoe</t>
  </si>
  <si>
    <t>luong.lactuan@mapactive.vn</t>
  </si>
  <si>
    <t>Lạc Tuấn Lương</t>
  </si>
  <si>
    <t>Lac Tuan Luong</t>
  </si>
  <si>
    <t xml:space="preserve">Training Assistant </t>
  </si>
  <si>
    <t>tram.nguyenthibich@mapactive.vn</t>
  </si>
  <si>
    <t>Nguyễn Thị Bích Trâm</t>
  </si>
  <si>
    <t>Nguyen Thi Bich Tram</t>
  </si>
  <si>
    <t>Re-use the laptop of Lê Thị Kim Loan – Shipping Executive – On board 15/02/2023 but resigned about 2 days later</t>
  </si>
  <si>
    <t>vy.huynhnguyenlan@mapactive.vn</t>
  </si>
  <si>
    <t>Huỳnh Nguyễn Lan Vy</t>
  </si>
  <si>
    <t>Huynh Nguyen Lan Vy</t>
  </si>
  <si>
    <t>Finance</t>
  </si>
  <si>
    <t>Accountant</t>
  </si>
  <si>
    <t>van.phungboi@mapactive.vn</t>
  </si>
  <si>
    <t>Phùng Bội Vân</t>
  </si>
  <si>
    <t>Phung Boi Van</t>
  </si>
  <si>
    <t>Sales Online</t>
  </si>
  <si>
    <t>thy.nguyenhoanganh@mapactive.vn</t>
  </si>
  <si>
    <t>Nguyễn Hoàng Anh Thy</t>
  </si>
  <si>
    <t>Nguyen Hoang Anh Thy</t>
  </si>
  <si>
    <t>binh.nguyenthihongminh</t>
  </si>
  <si>
    <t>Nguyen Thi Hong Minh Binh</t>
  </si>
  <si>
    <t>MKT</t>
  </si>
  <si>
    <t>darryl.peacock@mapactive.vn</t>
  </si>
  <si>
    <t>Peacock Darryl James</t>
  </si>
  <si>
    <t xml:space="preserve">Darryl </t>
  </si>
  <si>
    <t>BOD</t>
  </si>
  <si>
    <t>Country Manager</t>
  </si>
  <si>
    <t>Vice President</t>
  </si>
  <si>
    <t>my.nguyenthao@mapactive.vn</t>
  </si>
  <si>
    <t>Nguyễn Thảo My</t>
  </si>
  <si>
    <t>Nguyen Thao My</t>
  </si>
  <si>
    <t>re-use laptop Phan Thi Thuy Tien (AMMAVNITC000030)</t>
  </si>
  <si>
    <t>duy.lehuynh@mapactive.vn</t>
  </si>
  <si>
    <t>Lê Huỳnh Duy</t>
  </si>
  <si>
    <t xml:space="preserve"> Merchandise Department </t>
  </si>
  <si>
    <t>Senior Merchandiser (Foot Locker)</t>
  </si>
  <si>
    <t>tam.minh@mapactive.vn</t>
  </si>
  <si>
    <t>Võ Minh Tâm</t>
  </si>
  <si>
    <t>Vo Minh Tam</t>
  </si>
  <si>
    <t>Graphic Design Freelance</t>
  </si>
  <si>
    <t>trang.khongthithuy@mapactive.vn</t>
  </si>
  <si>
    <t>Khổng Thị Thùy Trang</t>
  </si>
  <si>
    <t>Khong Thi Thuy Trang</t>
  </si>
  <si>
    <t>Brand  Department</t>
  </si>
  <si>
    <t>nam.vonguyenhoang@mapactive.vn</t>
  </si>
  <si>
    <t>Võ Nguyễn Hoàng Nam</t>
  </si>
  <si>
    <t>Vo Nguyen Hoang Nam</t>
  </si>
  <si>
    <t>Wholesale Associate Manager</t>
  </si>
  <si>
    <t>khen.hoanghong@mapactive.vn</t>
  </si>
  <si>
    <t>Hoàng Hồng Khen</t>
  </si>
  <si>
    <t>Hoang Hong Khen</t>
  </si>
  <si>
    <t>Kevin</t>
  </si>
  <si>
    <t>Marketing Communications Manager</t>
  </si>
  <si>
    <t>Hong.lethikim@mapactive.vn</t>
  </si>
  <si>
    <t>Lê Thị Kim Hồng</t>
  </si>
  <si>
    <t>Le Thi Kim Hong</t>
  </si>
  <si>
    <t>Legal Department</t>
  </si>
  <si>
    <t>Legal Officer</t>
  </si>
  <si>
    <t>Dùng lại máy Trần Thị Lâm Quỳnh (MD)</t>
  </si>
  <si>
    <t>coe.vn@mapactive.vn</t>
  </si>
  <si>
    <t>Trần Hồ Duy Tân</t>
  </si>
  <si>
    <t>Tran Ho Duy Tan</t>
  </si>
  <si>
    <t>COE</t>
  </si>
  <si>
    <t>COE Collaborator</t>
  </si>
  <si>
    <t>minh.vuba@mapactive.vn</t>
  </si>
  <si>
    <t>Vũ Bá Minh</t>
  </si>
  <si>
    <t>Vu Ba Minh</t>
  </si>
  <si>
    <t xml:space="preserve">Digital Department </t>
  </si>
  <si>
    <t xml:space="preserve">Digital Commercial Manager </t>
  </si>
  <si>
    <t>dai.lamhoangphuoc@mapactive.vn</t>
  </si>
  <si>
    <t>Lâm Hoàng Phước Đại</t>
  </si>
  <si>
    <t>Lam Hoang Phuoc Dai</t>
  </si>
  <si>
    <t>hien.lethithu@mapactive.vn</t>
  </si>
  <si>
    <t>Lê Thị Thu Hiền</t>
  </si>
  <si>
    <t>Le Thi Thu Hien</t>
  </si>
  <si>
    <t>linh.hoangdieu@mapactive.vn</t>
  </si>
  <si>
    <t>Hoàng Diệu Linh</t>
  </si>
  <si>
    <t>Hoang Dieu Linh</t>
  </si>
  <si>
    <t>Need to check</t>
  </si>
  <si>
    <t>my.nguyenthituyet@mapactive.vn</t>
  </si>
  <si>
    <t>Nguyễn Thị Tuyết My</t>
  </si>
  <si>
    <t>Nguyen Thi Tuyet My</t>
  </si>
  <si>
    <t>bao.nguyenthanh@mapactive.vn</t>
  </si>
  <si>
    <t>Nguyễn Thanh Bảo</t>
  </si>
  <si>
    <t>Nguyen Thanh Bao</t>
  </si>
  <si>
    <t xml:space="preserve">Warehouse &amp; Distribution Officer </t>
  </si>
  <si>
    <t>Replace Ngụy Huỳnh Mai Trâm will resign on 14/04/2023. Provide temporary MiniPC to use</t>
  </si>
  <si>
    <t>thai.huynhquang@map.co.id</t>
  </si>
  <si>
    <t>Huynh Quang Thai</t>
  </si>
  <si>
    <t>Ngoc.nguyenbao@mapactive.vn</t>
  </si>
  <si>
    <t>Nguyễn Bảo Ngọc</t>
  </si>
  <si>
    <t>Nguyen Bao Ngoc</t>
  </si>
  <si>
    <t>Kelly</t>
  </si>
  <si>
    <t>Division Operation Manager</t>
  </si>
  <si>
    <t>trinh.vanhuynhtu@mapactive.vn</t>
  </si>
  <si>
    <t>Văn Huỳnh Tú Trinh</t>
  </si>
  <si>
    <t>Van Huynh Tu Trinh</t>
  </si>
  <si>
    <t>Receivable Accountant</t>
  </si>
  <si>
    <t xml:space="preserve">thu.nguyenthiminh@mapactive.vn  </t>
  </si>
  <si>
    <t>Nguyễn Thị Minh Thư</t>
  </si>
  <si>
    <t>Planning</t>
  </si>
  <si>
    <t>hai.nguyenthanh@mapactive.vn</t>
  </si>
  <si>
    <t>Nguyễn Thanh Hải</t>
  </si>
  <si>
    <t>Nguyen Thanh Hai</t>
  </si>
  <si>
    <t>Brand Name</t>
  </si>
  <si>
    <t>Brand Code</t>
  </si>
  <si>
    <t>Birkenstock</t>
  </si>
  <si>
    <t>BCK</t>
  </si>
  <si>
    <t>Converse</t>
  </si>
  <si>
    <t>CON</t>
  </si>
  <si>
    <t>Champion</t>
  </si>
  <si>
    <t>CMP</t>
  </si>
  <si>
    <t>VO</t>
  </si>
  <si>
    <t>New Balance</t>
  </si>
  <si>
    <t>NB</t>
  </si>
  <si>
    <t>New Era</t>
  </si>
  <si>
    <t>NRA</t>
  </si>
  <si>
    <t>Rookie</t>
  </si>
  <si>
    <t>HAD</t>
  </si>
  <si>
    <t>Smiggle</t>
  </si>
  <si>
    <t>IGL</t>
  </si>
  <si>
    <t>Planet Sports</t>
  </si>
  <si>
    <t>PS</t>
  </si>
  <si>
    <t>No</t>
  </si>
  <si>
    <t>vnwh.admininbound1@mapactive.vn</t>
  </si>
  <si>
    <t>vnwh.admininbound1</t>
  </si>
  <si>
    <t>DSV - Admin (Inbound) 1</t>
  </si>
  <si>
    <t>AMMAVNWHD000001</t>
  </si>
  <si>
    <t>Geodis.cs1@mapactive.vn</t>
  </si>
  <si>
    <t>Geodis.cs1</t>
  </si>
  <si>
    <t>Geodis cs1</t>
  </si>
  <si>
    <t>vnwh.adminoutbound1@mapactive.vn</t>
  </si>
  <si>
    <t>vnwh.adminoutbound1</t>
  </si>
  <si>
    <t>DSV - Admin (Outbound) 1</t>
  </si>
  <si>
    <t>Geodis.cs2@mapactive.vn</t>
  </si>
  <si>
    <t>Geodis.cs2</t>
  </si>
  <si>
    <t>Geodis cs2</t>
  </si>
  <si>
    <t>vnwh.inventory1@mapactive.vn</t>
  </si>
  <si>
    <t>vnwh.inventory1</t>
  </si>
  <si>
    <t>DSV - Admin (Inventory) 1</t>
  </si>
  <si>
    <t>Geodis.cs3@mapactive.vn</t>
  </si>
  <si>
    <t>Geodis.cs3</t>
  </si>
  <si>
    <t>Geodis cs3</t>
  </si>
  <si>
    <t>vnwh.management1@mapactive.vn</t>
  </si>
  <si>
    <t>vnwh.management1</t>
  </si>
  <si>
    <t>DSV - Management 1</t>
  </si>
  <si>
    <t>AMMAVNWHC000008</t>
  </si>
  <si>
    <t>Geodis.inbound1@mapactive.vn</t>
  </si>
  <si>
    <t>Geodis.inbound1</t>
  </si>
  <si>
    <t>Geodis inbound1</t>
  </si>
  <si>
    <t>vnwh.operation1@mapactive.vn</t>
  </si>
  <si>
    <t>vnwh.operation1</t>
  </si>
  <si>
    <t>DSV - Operation 1</t>
  </si>
  <si>
    <t>Geodis.inbound2@mapactive.vn</t>
  </si>
  <si>
    <t>Geodis.inbound2</t>
  </si>
  <si>
    <t>Geodis inbound2</t>
  </si>
  <si>
    <t>vnwh.operation2@mapactive.vn</t>
  </si>
  <si>
    <t>vnwh.operation2</t>
  </si>
  <si>
    <t>DSV - Operation 2</t>
  </si>
  <si>
    <t>Geodis.outobund1@mapactive.vn</t>
  </si>
  <si>
    <t>Geodis.outobund1</t>
  </si>
  <si>
    <t>Geodis outbound1</t>
  </si>
  <si>
    <t>vnwh.operation3@mapactive.vn</t>
  </si>
  <si>
    <t>vnwh.operation3</t>
  </si>
  <si>
    <t>DSV - Operation 3</t>
  </si>
  <si>
    <t>Geodis.outbound2@mapactive.vn</t>
  </si>
  <si>
    <t>Geodis.outbound2</t>
  </si>
  <si>
    <t>Geodis outbound2</t>
  </si>
  <si>
    <t>vnwh.operation4@mapactive.vn</t>
  </si>
  <si>
    <t>vnwh.operation4</t>
  </si>
  <si>
    <t>DSV - Operation 4</t>
  </si>
  <si>
    <t>vnwh.operation5@mapactive.vn</t>
  </si>
  <si>
    <t>vnwh.operation5</t>
  </si>
  <si>
    <t>DSV - Operation 5</t>
  </si>
  <si>
    <t>Store code</t>
  </si>
  <si>
    <t>Store Name</t>
  </si>
  <si>
    <t>Status</t>
  </si>
  <si>
    <t>City</t>
  </si>
  <si>
    <t>Region</t>
  </si>
  <si>
    <t>Address</t>
  </si>
  <si>
    <t>PC Type</t>
  </si>
  <si>
    <t>Store Type</t>
  </si>
  <si>
    <t>FW status</t>
  </si>
  <si>
    <t>Internet Line</t>
  </si>
  <si>
    <t>ISP</t>
  </si>
  <si>
    <t>Shared PC detail</t>
  </si>
  <si>
    <t>O2O</t>
  </si>
  <si>
    <t>O2O Multi Warehouse</t>
  </si>
  <si>
    <t>Traffic Counter</t>
  </si>
  <si>
    <t>Email</t>
  </si>
  <si>
    <t>Open date</t>
  </si>
  <si>
    <t>Total Area
(sqm)</t>
  </si>
  <si>
    <t>Sell Area
(sqm)</t>
  </si>
  <si>
    <t>Notes - O2O</t>
  </si>
  <si>
    <t>Ops Active Stores</t>
  </si>
  <si>
    <t>PO02</t>
  </si>
  <si>
    <t>PLANET SPORTS VINCOM DONG KHOI</t>
  </si>
  <si>
    <t>Close</t>
  </si>
  <si>
    <t>VINCOM DONG KHOI</t>
  </si>
  <si>
    <t>Ho Chi Minh City</t>
  </si>
  <si>
    <t>South</t>
  </si>
  <si>
    <t>B1 Vincom Dong Khoi , 72 Le Thanh Ton, Ben Nghe Ward , District 1 , Ho Chi Minh City</t>
  </si>
  <si>
    <t>MultiPC</t>
  </si>
  <si>
    <t>Stand Alone</t>
  </si>
  <si>
    <t>No Need</t>
  </si>
  <si>
    <t>Yes</t>
  </si>
  <si>
    <t>hcmpo02@mapactive.vn</t>
  </si>
  <si>
    <t>CHAMPION VINCOM DONG KHOI</t>
  </si>
  <si>
    <t>Share (PO02)</t>
  </si>
  <si>
    <t>hcmvc01@mapactive.vn</t>
  </si>
  <si>
    <t>BIRKENSTOCK VINCOM DONG KHOI</t>
  </si>
  <si>
    <t>hcmvf02@mapactive.vn</t>
  </si>
  <si>
    <t>VC02</t>
  </si>
  <si>
    <t>CHAMPION TAKASHIMAYA</t>
  </si>
  <si>
    <t>TAKASHIMAYA</t>
  </si>
  <si>
    <t>L3 No 92-94 Nam Ky Khoi Nghia, Ben Nghe Ward, District 1, Ho Chi Minh City</t>
  </si>
  <si>
    <t>SharedPC</t>
  </si>
  <si>
    <t>Store In Store</t>
  </si>
  <si>
    <t>Share (VI02)</t>
  </si>
  <si>
    <t>VC02-VI02-KN05</t>
  </si>
  <si>
    <t>hcmvc02@mapactive.vn</t>
  </si>
  <si>
    <t>CONVERSE TAKASHIMAYA</t>
  </si>
  <si>
    <t>Open</t>
  </si>
  <si>
    <t>VN03-VR02</t>
  </si>
  <si>
    <t>hcmvn03@mapactive.vn</t>
  </si>
  <si>
    <t>VR02</t>
  </si>
  <si>
    <t>ROOKIE TAKASHIMAYA</t>
  </si>
  <si>
    <t>hcmvr02@mapactive.vn</t>
  </si>
  <si>
    <t>SMIGGLE TAKASHIMAYA</t>
  </si>
  <si>
    <t>Need to deploy (FG-40F)</t>
  </si>
  <si>
    <t>hcmvi02@mapactive.vn</t>
  </si>
  <si>
    <t>KN05</t>
  </si>
  <si>
    <t>BIRKENSTOCK TAKASHIMAYA</t>
  </si>
  <si>
    <t>hcmkn05@mapactive.vn</t>
  </si>
  <si>
    <t>SMIGGLE ROBINS CRESCENT MALL</t>
  </si>
  <si>
    <t>CRESCENT MALL</t>
  </si>
  <si>
    <t>L4 (4F-11) 101 Ton Dat Tien, Tan Phu Ward, District 7, Ho Chi Minh City</t>
  </si>
  <si>
    <t>hcmvi01@mapactive.vn</t>
  </si>
  <si>
    <t>CONVERSE CRESCENT MALL</t>
  </si>
  <si>
    <t>L3 101 Ton Dat Tien, Tan Phu Ward, District 7, Ho Chi Minh City</t>
  </si>
  <si>
    <t>Active</t>
  </si>
  <si>
    <t>hcmvn05@mapactive.vn</t>
  </si>
  <si>
    <t>Change O2O from BIEN HOA (VN18 old) to CRESENT MALL (VN05)</t>
  </si>
  <si>
    <t>CHAMPION CRESCENT MALL</t>
  </si>
  <si>
    <t>L2 101 Ton Dat Tien, Tan Phu Ward, District 7, Ho Chi Minh City</t>
  </si>
  <si>
    <t>Need to deploy (FG-40F) (missed budget)</t>
  </si>
  <si>
    <t>hcmvc05@mapactive.vn</t>
  </si>
  <si>
    <t>NEW ERA CRESCENT MALL</t>
  </si>
  <si>
    <t>Hcmve05@mapactive.vn</t>
  </si>
  <si>
    <t>PO01</t>
  </si>
  <si>
    <t>PLANET SPORTS VINCOM THAO DIEN</t>
  </si>
  <si>
    <t>VINCOM THAO DIEN</t>
  </si>
  <si>
    <t>L1 161 Ha Noi Highway, Thao Dien Ward, District 2, Ho Chi Minh City</t>
  </si>
  <si>
    <t>hcmpo01@mapactive.vn</t>
  </si>
  <si>
    <t>BIRKENSTOCK ESTELLA</t>
  </si>
  <si>
    <t>ESTELLA</t>
  </si>
  <si>
    <t>Floor 2-13B , 88 Song Hanh,An Phu Ward, Estella Place, District 2, Ho Chi Minh City</t>
  </si>
  <si>
    <t>Preparing</t>
  </si>
  <si>
    <t>Lazada Planetsports Asia VN</t>
  </si>
  <si>
    <t>hcmkn01@mapactive.vn</t>
  </si>
  <si>
    <t>SMIGGLE ESTELLA</t>
  </si>
  <si>
    <t>Floor 1 , 88 Song Hanh,An Phu Ward, Estella Place, District 2, Ho Chi Minh City</t>
  </si>
  <si>
    <t>hcmvi03@mapactive.vn</t>
  </si>
  <si>
    <t>PLANET SPORTS GOLDCOAST NHA TRANG</t>
  </si>
  <si>
    <t>GOLDCOAST NHA TRANG</t>
  </si>
  <si>
    <t>NHA TRANG</t>
  </si>
  <si>
    <t>Floor G, GoldCoast Mall, 01 Tran Hung Dao, Loc Tho, Nha Trang, Khanh Hoa</t>
  </si>
  <si>
    <t>ntvc06@mapactive.vn</t>
  </si>
  <si>
    <t>VN19</t>
  </si>
  <si>
    <t>CONVERSE GOLDCOAST NHA TRANG</t>
  </si>
  <si>
    <t>Floor 2, GoldCoast Mall, 01 Tran Hung Dao, Loc Tho, Nha Trang, Khanh Hoa</t>
  </si>
  <si>
    <t>VI04-VN19</t>
  </si>
  <si>
    <t>ntvn19@mapactive.vn</t>
  </si>
  <si>
    <t>VI04</t>
  </si>
  <si>
    <t>SMIGGLE GOLDCOAST NHA TRANG</t>
  </si>
  <si>
    <t>Share (VA04)</t>
  </si>
  <si>
    <t>ntvi04@mapactive.vn</t>
  </si>
  <si>
    <t>CONVERSE NGUYEN TRAI</t>
  </si>
  <si>
    <t>NGUYEN TRAI</t>
  </si>
  <si>
    <t>124 Nguyen Trai, Ben Thanh Ward, District 1, Ho Chi Minh City</t>
  </si>
  <si>
    <t>hcmvn07@mapactive.vn</t>
  </si>
  <si>
    <t>CONVERSE LE VAN SY</t>
  </si>
  <si>
    <t>LE VAN SY</t>
  </si>
  <si>
    <t>485 Le Van Sy ,Ward 12 , District 3, Ho Chi Minh City</t>
  </si>
  <si>
    <t>hcmvn02@mapactive.vn</t>
  </si>
  <si>
    <t>CONVERSE BA THANG HAI</t>
  </si>
  <si>
    <t>BA THANG HAI</t>
  </si>
  <si>
    <t>152 Ba Thang Hai ,Ward 12, District 10, Ho Chi Minh City</t>
  </si>
  <si>
    <t>hcmvn16@mapactive.vn</t>
  </si>
  <si>
    <t>Change O2O from PHAN VAN TRI (VN20 old) to BA THANG HAI (VN16)</t>
  </si>
  <si>
    <t>CONVERSE AEON BINH DUONG</t>
  </si>
  <si>
    <t>AEON BINH DUONG</t>
  </si>
  <si>
    <t>Binh Duong</t>
  </si>
  <si>
    <t>Aeon Canary 01 Binh Duong Boulevard, Thuan An Town, Binh Duong</t>
  </si>
  <si>
    <t>hcmvn09@mapactive.vn</t>
  </si>
  <si>
    <t>CONVERSE AEON BINH TAN</t>
  </si>
  <si>
    <t>AEON BINH TAN</t>
  </si>
  <si>
    <t>F26 , 1 Floor , Aeon Mall Binh Tan (01, 17A Street, Binh Tri Dong B Ward, Binh Tan District, Ho Chi Minh City)</t>
  </si>
  <si>
    <t>hcmvn10@mapactive.vn</t>
  </si>
  <si>
    <t>CONVERSE VINCOM MY THO</t>
  </si>
  <si>
    <t>VINCOM MY THO TIEN GIANG</t>
  </si>
  <si>
    <t>My Tho City</t>
  </si>
  <si>
    <t>1A Hung Vuong, Ward 1, My Tho City - Tien Giang</t>
  </si>
  <si>
    <t>Canceled</t>
  </si>
  <si>
    <t>tgvn13@mapactive.vn</t>
  </si>
  <si>
    <t>CONVERSE HAI BA TRUNG</t>
  </si>
  <si>
    <t>HAI BA TRUNG</t>
  </si>
  <si>
    <t>243 Hai Ba Trung, Vo Thi Sau Ward, District 3, Ho Chi Minh City</t>
  </si>
  <si>
    <t>hcmvn08@mapactive.vn</t>
  </si>
  <si>
    <t>CHAMPION AEON HAI PHONG</t>
  </si>
  <si>
    <t>AEON HAI PHONG</t>
  </si>
  <si>
    <t>Hai Phong</t>
  </si>
  <si>
    <t>North</t>
  </si>
  <si>
    <t>Floor 2 Aeon Mall Le Chan, 10 Vo Nguyen Giap, Du Hang Kenh, Le Chan, Hai Phong</t>
  </si>
  <si>
    <t>hpvc03@mapactive.vn</t>
  </si>
  <si>
    <t>VE01</t>
  </si>
  <si>
    <t>NEW ERA AEON HAI PHONG</t>
  </si>
  <si>
    <t>Share (VC03)</t>
  </si>
  <si>
    <t>hpve01@mapactive.vn</t>
  </si>
  <si>
    <t>VC04</t>
  </si>
  <si>
    <t>PLANET SPORTS LOTTE HA NOI DEPARTMENT</t>
  </si>
  <si>
    <t>LOTTE HA NOI DEPARTMENT</t>
  </si>
  <si>
    <t>Ha Noi</t>
  </si>
  <si>
    <t>Floor 3 54 Lieu Giai Street, Ngoc Khanh Ward, Ba Dinh District, Ha Noi</t>
  </si>
  <si>
    <t>hnvc04@mapactive.vn</t>
  </si>
  <si>
    <t>CONVERSE LOTTE HA NOI DEPARTMENT</t>
  </si>
  <si>
    <t>Share (VC04)</t>
  </si>
  <si>
    <t>hnvn06@mapactive.vn</t>
  </si>
  <si>
    <t>CHAMPION AEON LONG BIEN</t>
  </si>
  <si>
    <t>AEON LONG BIEN</t>
  </si>
  <si>
    <t>T218 Aeon Mall Long Bien, No. 27 Co Linh Street, Long Bien Ward, Long Bien District, Ha Noi</t>
  </si>
  <si>
    <t>hnvc08@mapactive.vn</t>
  </si>
  <si>
    <t>NEW ERA AEON LONG BIEN</t>
  </si>
  <si>
    <t>Share (VC08)</t>
  </si>
  <si>
    <t>hnve04@mapactive.vn</t>
  </si>
  <si>
    <t>CONVERSE AEON LONG BIEN</t>
  </si>
  <si>
    <t>T217 Aeon Mall Long Bien, No. 27 Co Linh Street, Long Bien Ward, Long Bien District, Ha Noi</t>
  </si>
  <si>
    <t>hnvn01@mapactive.vn</t>
  </si>
  <si>
    <t>NEW ERA AEON HA DONG</t>
  </si>
  <si>
    <t>AEON HA DONG</t>
  </si>
  <si>
    <t>T228 Aeon Ha Dong, Hoang Van Thu Residential Area, Duong Noi Ward, Ha Dong District, Ha Noi</t>
  </si>
  <si>
    <t>hnve03@mapactive.vn</t>
  </si>
  <si>
    <t>CONVERSE AEON HA DONG</t>
  </si>
  <si>
    <t>Share (VE03)</t>
  </si>
  <si>
    <t>hnvn04@mapactive.vn</t>
  </si>
  <si>
    <t>CONVERSE SMART CITY</t>
  </si>
  <si>
    <t>VINCOM SMART CITY HN</t>
  </si>
  <si>
    <t>L1-24 Vincom Mega Mall Smart City, Tay Mo Ward,Nam Từ Liêm District, Ha Noi</t>
  </si>
  <si>
    <t>Inactive</t>
  </si>
  <si>
    <t>hnvn17@mapactive.vn</t>
  </si>
  <si>
    <t>CONVERSE VINCOM ROYAL CITY</t>
  </si>
  <si>
    <t>VINCOM ROYAL CITY</t>
  </si>
  <si>
    <t>B1-R6-40 72A Nguyen Trai, Thanh Xuan, Hanoi</t>
  </si>
  <si>
    <t>hnvn14@mapactive.vn</t>
  </si>
  <si>
    <t>PO03</t>
  </si>
  <si>
    <t>SPORT BAZAAR PHAM VAN THUAN DONG NAI</t>
  </si>
  <si>
    <t>BIEN HOA DONG NAI</t>
  </si>
  <si>
    <t xml:space="preserve">Vậy </t>
  </si>
  <si>
    <t>SPORT BAZAAR</t>
  </si>
  <si>
    <t>1324 Pham Van Thuan, Neighborhood 1, Tan Tien Ward, Bien Hoa, Dong Nai</t>
  </si>
  <si>
    <t>bhvn18@mapactive.vn</t>
  </si>
  <si>
    <t>At first (since 01 Sep 2023), changed from VN18 (CONVERSE PHAM VAN THUAN - bhvn18@mapactive.vn) to PO03 (PLANET SPORT PHAM VAN THUAN BH)
Now need to change from PO03 (PLANET SPORT PHAM VAN THUAN BH) to ZV13 (SPORT BAZAAR PHAM VAN THUAN DONG NAI - VTZVZV13)</t>
  </si>
  <si>
    <t>SPORT BAZAAR PHAN VAN TRI HO CHI MINH</t>
  </si>
  <si>
    <t>PHAN VAN TRI</t>
  </si>
  <si>
    <t>356B Phan Van Tri, Ward 11, Binh Thanh District, Ho Chi Minh City</t>
  </si>
  <si>
    <t>hcmvn20@mapactive.vn</t>
  </si>
  <si>
    <t>At first (since 01 Sep 2023), changed from VN20 (CONVERSE PHAN VAN TRI - hcmvn20@mapactive.vn) to PO04 (PLANET SPORT PHAN VAN TRI)
Now need to change from PO04 (PLANET SPORT PHAN VAN TRI) to ZV14 (SPORT BAZAAR PHAN VAN TRI HO CHI MINH - VTZVZV14)</t>
  </si>
  <si>
    <t>ZV07</t>
  </si>
  <si>
    <t>Planet Sport Aeon Long Bien</t>
  </si>
  <si>
    <t>Stand Alone (Laptop)</t>
  </si>
  <si>
    <t>hanzv07@mapactive.vn</t>
  </si>
  <si>
    <t>Changed from POPUP EVENT (Gold Coast Nha Trang)</t>
  </si>
  <si>
    <t>PRIVATE SALE (Aeon Mall Binh Tan)</t>
  </si>
  <si>
    <t>11-13 Quang Trung, Quận Gò Vấp, Thành Phố Hồ Chí Minh</t>
  </si>
  <si>
    <t>PRIVATE SALE</t>
  </si>
  <si>
    <t>4G</t>
  </si>
  <si>
    <t>ZV09</t>
  </si>
  <si>
    <t>POPUP EVENT (Crescent Mall)</t>
  </si>
  <si>
    <t>VN Head Office - 14th Floor, Lottery Tower, 77 Tran Nhan Ton, Ward 9, District 5, Ho Chi Minh City</t>
  </si>
  <si>
    <t>Event</t>
  </si>
  <si>
    <t>H101</t>
  </si>
  <si>
    <t>Head Office ARENA VN</t>
  </si>
  <si>
    <t>Bazaar</t>
  </si>
  <si>
    <t>SHARE OFFICE</t>
  </si>
  <si>
    <t>H101-H102</t>
  </si>
  <si>
    <t>H102</t>
  </si>
  <si>
    <t>ZW04</t>
  </si>
  <si>
    <t>TIKI VF</t>
  </si>
  <si>
    <t>ZW04-ZK04</t>
  </si>
  <si>
    <t>ZK04</t>
  </si>
  <si>
    <t>TIKI VK</t>
  </si>
  <si>
    <t>ZK06</t>
  </si>
  <si>
    <t>SHOPPEE VK</t>
  </si>
  <si>
    <t>ZV06</t>
  </si>
  <si>
    <t>SHOPPEE VT</t>
  </si>
  <si>
    <t>ZW06</t>
  </si>
  <si>
    <t>SHOPPEE VF</t>
  </si>
  <si>
    <t>ZV01</t>
  </si>
  <si>
    <t>Tiki Consignment</t>
  </si>
  <si>
    <t>H103</t>
  </si>
  <si>
    <t>MMA Head Office</t>
  </si>
  <si>
    <t>H104</t>
  </si>
  <si>
    <t>SCRAP</t>
  </si>
  <si>
    <t>ZV05</t>
  </si>
  <si>
    <t>LAZADA SPORT CONSIGNMENT VN</t>
  </si>
  <si>
    <t>ZV05-H105-ZW05-ZK05</t>
  </si>
  <si>
    <t>ZW05</t>
  </si>
  <si>
    <t>LAZADA FASHION CONSIGNMENT VN</t>
  </si>
  <si>
    <t>ZK05</t>
  </si>
  <si>
    <t>LAZADA VK</t>
  </si>
  <si>
    <t>H105</t>
  </si>
  <si>
    <t>GWP A&amp;P</t>
  </si>
  <si>
    <t>CONVERSE BA CU VUNG TAU</t>
  </si>
  <si>
    <t>BA CU</t>
  </si>
  <si>
    <t>Vung Tau</t>
  </si>
  <si>
    <t>179 Ba Cu, Ward 4, Vung Tau, Ba Ria - Vung Tau</t>
  </si>
  <si>
    <t>YES</t>
  </si>
  <si>
    <t>vtgvn24@mapactive.vn</t>
  </si>
  <si>
    <t>SMIGGLE VAN HANH MALL</t>
  </si>
  <si>
    <t>VAN HANH MALL</t>
  </si>
  <si>
    <t>11 Su Van Hanh, Ward 12, District 10, Ho Chi Minh City</t>
  </si>
  <si>
    <t>hcmvi06@mapactive.vn</t>
  </si>
  <si>
    <t>NEW BALANCE TAKASHIMAYA</t>
  </si>
  <si>
    <t>Unit #329-2 Level 3 - TAKASHIMAYA (No. 92-94 Nam Ky Khoi Nghia, Ben Nghe ward, district 1, Ho Chi Minh city)</t>
  </si>
  <si>
    <t>Hcmva02@mapactive.vn</t>
  </si>
  <si>
    <t>NEW BALANCE LOTTE HA NOI DEPARTMENT</t>
  </si>
  <si>
    <t>B14.4F - LOTTE DEPARTMENT STORE (No. 54 Lieu Giai, Cong Vi Ward, Ba Dinh district, Ha Noi city)</t>
  </si>
  <si>
    <t>Hanva10@mapactive.vn</t>
  </si>
  <si>
    <t>NEW ERA DIAMOND PLAZA</t>
  </si>
  <si>
    <t>DIAMOND PLAZA</t>
  </si>
  <si>
    <t>XA-32238 Level 3 - Diamond Plaza (No. 34 Le Duan street, Ben Nghe ward, district 1, Ho Chi Minh city)</t>
  </si>
  <si>
    <t>VNPT</t>
  </si>
  <si>
    <t>hcmve06@mapactive.vn</t>
  </si>
  <si>
    <t>NEW BALANCE CRESCENT MALL</t>
  </si>
  <si>
    <t>3F-33 - Crescent Mall, 101 Tôn Dật Tiên, Phường Tân Hưng, Quận 7, Thành Phố Hồ Chí Minh.</t>
  </si>
  <si>
    <t>New Balance Shopee MWH</t>
  </si>
  <si>
    <t>hcmva06@mapactive.vn</t>
  </si>
  <si>
    <t>CONVERSE CFS QUANG TRUNG</t>
  </si>
  <si>
    <t>11-13 QUANG TRUNG GV</t>
  </si>
  <si>
    <t>Multicashier</t>
  </si>
  <si>
    <t>sgnvn27@mapactive.vn</t>
  </si>
  <si>
    <t>VA22</t>
  </si>
  <si>
    <t>NEW BALANCE 78 NGUYEN TRAI CAN THO</t>
  </si>
  <si>
    <t>78 NGUYEN TRAI</t>
  </si>
  <si>
    <t>Can Tho</t>
  </si>
  <si>
    <t>78 Nguyen Trai Can Tho</t>
  </si>
  <si>
    <t>Shopee Planetsports Asia VN</t>
  </si>
  <si>
    <t>Vcava22@mapactive.vn</t>
  </si>
  <si>
    <t>VN22</t>
  </si>
  <si>
    <t>CONVERSE 78 NGUYEN TRAI CAN THO</t>
  </si>
  <si>
    <t>Share (VA22)</t>
  </si>
  <si>
    <t>Vtgvn22@mapactive.vn</t>
  </si>
  <si>
    <t>CONVERSE IPH HN MALL</t>
  </si>
  <si>
    <t>IPH MALL</t>
  </si>
  <si>
    <t>2-228 Indochina Plaza Hà Nội (IPH Mall)</t>
  </si>
  <si>
    <t>Yes (to be Canceled)</t>
  </si>
  <si>
    <t>Hanvn11@mapactive.vn</t>
  </si>
  <si>
    <t>NEW BALANCE DIAMOND PLAZA</t>
  </si>
  <si>
    <t>XA-32239 Diamond Plaza (No. 34 Le Duan street, Ben Nghe ward, district 1, Ho Chi Minh city)</t>
  </si>
  <si>
    <t>Hcmva08@mapactive.vn</t>
  </si>
  <si>
    <t>BIRKENSTOCK CRESCENT MALL</t>
  </si>
  <si>
    <t>2F-18B Crescent Mall (No. 101 Ton Dat Tien, Tan Phu Ward, District 7)</t>
  </si>
  <si>
    <t>Sgnkn09@mapactive.vn</t>
  </si>
  <si>
    <t>NEW BALANCE VAN HANH MALL</t>
  </si>
  <si>
    <t>2-07B Van Hanh Mall</t>
  </si>
  <si>
    <t>sgnva01@mapactive.vn</t>
  </si>
  <si>
    <t>NEW ERA LOTTE MALL</t>
  </si>
  <si>
    <t>LOTTE MALL</t>
  </si>
  <si>
    <t>2F-240,241 lot - Lotte Mall (No. 683 Lac Long Quan street, Phu Thuong ward, Tay Ho district)</t>
  </si>
  <si>
    <t>Hanve12@mapactive.vn</t>
  </si>
  <si>
    <t>ROOKIE LOTTE MALL</t>
  </si>
  <si>
    <t>3F-333 lot - Lotte Mall (No. 683 Lac Long Quan street, Phu Thuong ward, Tay Ho district)</t>
  </si>
  <si>
    <t>Hanvr12@mapactive.vn</t>
  </si>
  <si>
    <t>CONVERSE LOTTE MALL</t>
  </si>
  <si>
    <t>2F-228 lot - Lotte Mall (No. 683 Lac Long Quan street, Phu Thuong ward, Tay Ho district)</t>
  </si>
  <si>
    <t>Hanvn12@mapactive.vn</t>
  </si>
  <si>
    <t>NEW BALANCE LOTTE MALL</t>
  </si>
  <si>
    <t>2F-229 lot - Lotte Mall (No. 683 Lac Long Quan street, Phu Thuong ward, Tay Ho district)</t>
  </si>
  <si>
    <t>Hanva12@mapactive.vn</t>
  </si>
  <si>
    <t>NEW BALANCE IPH MALL</t>
  </si>
  <si>
    <t>Toà nhà IPH số 241 Xuân Thuỷ, phường Dịch Vọng Hậu, quận Cầu Giấy, Hà Nội</t>
  </si>
  <si>
    <t>HANVA09@mapactive.vn</t>
  </si>
  <si>
    <t>FOOTLOCKER LOTTE MALL</t>
  </si>
  <si>
    <t>2F-227 lot - Lotte Mall (No. 683 Lac Long Quan street, Phu Thuong ward, Tay Ho district)</t>
  </si>
  <si>
    <t>hanvo02@mapactive.vn</t>
  </si>
  <si>
    <t xml:space="preserve">BIRKENSTOCK LOTTE MALL </t>
  </si>
  <si>
    <t>2F-233 lot - Lotte Mall (No. 683 Lac Long Quan street, Phu Thuong ward, Tay Ho district)</t>
  </si>
  <si>
    <t>HANKN12@mapactive.vn</t>
  </si>
  <si>
    <t>NEW BALANCE 89 NGUYEN TRAI</t>
  </si>
  <si>
    <t>89 NGUYỄN TRÃI</t>
  </si>
  <si>
    <t>89 Nguyen Trai Street, Ben Thanh Ward, District 1</t>
  </si>
  <si>
    <t>New Balance Lazada MWH</t>
  </si>
  <si>
    <t>SGNVA11@mapactive.vn</t>
  </si>
  <si>
    <t>NEW BALANCE AEON HAI PHONG</t>
  </si>
  <si>
    <t>HPHVA03@mapactive.vn</t>
  </si>
  <si>
    <t>ROOKIE LOTTE HA NOI DEPARTMENT</t>
  </si>
  <si>
    <t>Floor 5, No 54 Lieu Giai Street, Ngoc Khanh Ward, Ba Dinh District, Ha Noi</t>
  </si>
  <si>
    <t>4G (Share with VI05)</t>
  </si>
  <si>
    <t>SMIGGLE LOTTE HA NOI DEPARTMENT</t>
  </si>
  <si>
    <t>4G (Share with VR05)</t>
  </si>
  <si>
    <t>BIRKEN DIAMOND PLAZA</t>
  </si>
  <si>
    <t>XA-32240 (34 Le Duan street, Ben Nghe ward, district 1, Ho Chi Minh city)</t>
  </si>
  <si>
    <t>sgnkn08@mapactive.vn</t>
  </si>
  <si>
    <t>ĐIỀU CHUYỂN TỪ PC VE01</t>
  </si>
  <si>
    <t>Go Vap UIH</t>
  </si>
  <si>
    <t>Ung Van Khiem</t>
  </si>
  <si>
    <t>BIRKEN STOCK GOLDCOAST NHA TRANG</t>
  </si>
  <si>
    <t>vfknkn10@mapactive.vn</t>
  </si>
  <si>
    <t>NEW BALANCE GOLDCOAST NHA TRANG</t>
  </si>
  <si>
    <t>vtvava04@mapactive.vn</t>
  </si>
  <si>
    <t>Floor 2, No. 161 Hanoi road, Thao Dien ward, Thu Duc city</t>
  </si>
  <si>
    <t>sgnva05@mapactive.vn</t>
  </si>
  <si>
    <t>ZV12</t>
  </si>
  <si>
    <t>Event Diamond Plaza</t>
  </si>
  <si>
    <t>Event Count down</t>
  </si>
  <si>
    <t xml:space="preserve">New Balance Sai Gon Center </t>
  </si>
  <si>
    <t>Saigon Center</t>
  </si>
  <si>
    <t>65 Le Loi, Ben Nghe Ward, District 1, HCMC, Viet Nam</t>
  </si>
  <si>
    <t>RVC</t>
  </si>
  <si>
    <t>sgnva15@mapactive.vn</t>
  </si>
  <si>
    <t>125</t>
  </si>
  <si>
    <t>New Balance Quang Trung</t>
  </si>
  <si>
    <t>Street shop</t>
  </si>
  <si>
    <t>159-161 Quang Trung, Ward 11, Go Vap District, HCMC, Viet Nam</t>
  </si>
  <si>
    <t>sgnva16@mapactive.vn</t>
  </si>
  <si>
    <t>296</t>
  </si>
  <si>
    <t>Parc Mall</t>
  </si>
  <si>
    <t>L2-09 Parc Mall  - 549 Ta Quang Buu, Ward 4, District 8, HCMC, Viet Nam</t>
  </si>
  <si>
    <t>sgnva13@mapactive.vn</t>
  </si>
  <si>
    <t>87</t>
  </si>
  <si>
    <t>New Balance Vincom Lotte Nam Sai Gon</t>
  </si>
  <si>
    <t>Lotte Mall Nam Sai Gon</t>
  </si>
  <si>
    <t>Lotte Mart, 469 Đ. Nguyễn Hữu Thọ, Tân Hưng, Quận 7, Hồ Chí Minh 700000</t>
  </si>
  <si>
    <t>sgnva20@mapactive.vn</t>
  </si>
  <si>
    <t>New Balance Vincom Vincom Dong Khoi</t>
  </si>
  <si>
    <t>Lotte Vincome Dong Khơi</t>
  </si>
  <si>
    <t>72 Le Thanh Ton, Ben Nghe Ward, District 1, HCMC, Viet Nam</t>
  </si>
  <si>
    <t>sgnva14mapactive.vn</t>
  </si>
  <si>
    <t>100</t>
  </si>
  <si>
    <t>New Balance Lotte Lieu Giai</t>
  </si>
  <si>
    <t>Lotte Lieu Giai</t>
  </si>
  <si>
    <t>SIS</t>
  </si>
  <si>
    <t>hanva23@mapactive.vn</t>
  </si>
  <si>
    <t>Guideline Category</t>
  </si>
  <si>
    <t>Naming Category</t>
  </si>
  <si>
    <t>Device Category</t>
  </si>
  <si>
    <t>Example</t>
  </si>
  <si>
    <t>Naming invention</t>
  </si>
  <si>
    <t>Vietnam (VN)</t>
  </si>
  <si>
    <t>IT Asset ID</t>
  </si>
  <si>
    <t>Computer (Laptop/Desktop)</t>
  </si>
  <si>
    <r>
      <rPr>
        <sz val="11"/>
        <color rgb="FF000000"/>
        <rFont val="Arial"/>
        <family val="2"/>
        <scheme val="minor"/>
      </rPr>
      <t>22VN0000</t>
    </r>
    <r>
      <rPr>
        <sz val="11"/>
        <color rgb="FFFF0000"/>
        <rFont val="Arial"/>
        <family val="2"/>
        <scheme val="minor"/>
      </rPr>
      <t>XXXX</t>
    </r>
  </si>
  <si>
    <t>Store devices</t>
  </si>
  <si>
    <r>
      <rPr>
        <sz val="11"/>
        <color rgb="FF000000"/>
        <rFont val="Arial"/>
        <family val="2"/>
        <scheme val="minor"/>
      </rPr>
      <t>22VN0011</t>
    </r>
    <r>
      <rPr>
        <sz val="11"/>
        <color rgb="FFFF0000"/>
        <rFont val="Arial"/>
        <family val="2"/>
        <scheme val="minor"/>
      </rPr>
      <t>XXXX</t>
    </r>
  </si>
  <si>
    <t>Laptop - Windows</t>
  </si>
  <si>
    <r>
      <rPr>
        <sz val="11"/>
        <color rgb="FF000000"/>
        <rFont val="Arial"/>
        <family val="2"/>
        <scheme val="minor"/>
      </rPr>
      <t>AMMAVN</t>
    </r>
    <r>
      <rPr>
        <sz val="11"/>
        <color rgb="FFFF0000"/>
        <rFont val="Arial"/>
        <family val="2"/>
        <scheme val="minor"/>
      </rPr>
      <t>ZZ</t>
    </r>
    <r>
      <rPr>
        <sz val="11"/>
        <color rgb="FF000000"/>
        <rFont val="Arial"/>
        <family val="2"/>
        <scheme val="minor"/>
      </rPr>
      <t>C</t>
    </r>
    <r>
      <rPr>
        <sz val="11"/>
        <color rgb="FFFF0000"/>
        <rFont val="Arial"/>
        <family val="2"/>
        <scheme val="minor"/>
      </rPr>
      <t>XXXXXX</t>
    </r>
  </si>
  <si>
    <t>ZZ: Department Code
XXXXXX: must match with last 6 digits of IT Asset ID</t>
  </si>
  <si>
    <t>Desktop - Windows</t>
  </si>
  <si>
    <r>
      <rPr>
        <sz val="11"/>
        <color rgb="FF000000"/>
        <rFont val="Arial"/>
        <family val="2"/>
        <scheme val="minor"/>
      </rPr>
      <t>AMMAVN</t>
    </r>
    <r>
      <rPr>
        <sz val="11"/>
        <color rgb="FFFF0000"/>
        <rFont val="Arial"/>
        <family val="2"/>
        <scheme val="minor"/>
      </rPr>
      <t>ZZ</t>
    </r>
    <r>
      <rPr>
        <sz val="11"/>
        <color rgb="FF000000"/>
        <rFont val="Arial"/>
        <family val="2"/>
        <scheme val="minor"/>
      </rPr>
      <t>D</t>
    </r>
    <r>
      <rPr>
        <sz val="11"/>
        <color rgb="FFFF0000"/>
        <rFont val="Arial"/>
        <family val="2"/>
        <scheme val="minor"/>
      </rPr>
      <t>XXXXXX</t>
    </r>
  </si>
  <si>
    <t>AMMAVNAMD000001</t>
  </si>
  <si>
    <r>
      <rPr>
        <sz val="11"/>
        <color rgb="FFFF0000"/>
        <rFont val="Arial"/>
        <family val="2"/>
        <scheme val="minor"/>
      </rPr>
      <t>VVVV</t>
    </r>
    <r>
      <rPr>
        <sz val="11"/>
        <color rgb="FF000000"/>
        <rFont val="Arial"/>
        <family val="2"/>
        <scheme val="minor"/>
      </rPr>
      <t>-</t>
    </r>
    <r>
      <rPr>
        <sz val="11"/>
        <color rgb="FFFF0000"/>
        <rFont val="Arial"/>
        <family val="2"/>
        <scheme val="minor"/>
      </rPr>
      <t>WWWWW</t>
    </r>
  </si>
  <si>
    <t>VVVV: Store Code
WWWWW: Device Code (SERVER, ADMIN, POS01, TABLET01, MPOS01, PDT01). Use ADMIN if the store only has 1 POS PC</t>
  </si>
  <si>
    <t>Cambodia (KH)</t>
  </si>
  <si>
    <t>Department Code</t>
  </si>
  <si>
    <t>AC</t>
  </si>
  <si>
    <t>Accounting, Licensing, Tax</t>
  </si>
  <si>
    <t>AL</t>
  </si>
  <si>
    <t>Allocation</t>
  </si>
  <si>
    <t>AM</t>
  </si>
  <si>
    <t>Active Management</t>
  </si>
  <si>
    <t>AP</t>
  </si>
  <si>
    <t xml:space="preserve">Advertising and Promotion </t>
  </si>
  <si>
    <t>BD</t>
  </si>
  <si>
    <t>BP</t>
  </si>
  <si>
    <t>Business Process</t>
  </si>
  <si>
    <t>CE</t>
  </si>
  <si>
    <t>CoE</t>
  </si>
  <si>
    <t>CH</t>
  </si>
  <si>
    <t>Children</t>
  </si>
  <si>
    <t>CO</t>
  </si>
  <si>
    <t>Compliance</t>
  </si>
  <si>
    <t>CS</t>
  </si>
  <si>
    <t>Corporate Secretary</t>
  </si>
  <si>
    <t>DI</t>
  </si>
  <si>
    <t>Digital Initiatives</t>
  </si>
  <si>
    <t>EC</t>
  </si>
  <si>
    <t>E-commerce</t>
  </si>
  <si>
    <t>EE</t>
  </si>
  <si>
    <t>Enterprise &amp; Education</t>
  </si>
  <si>
    <t>FI</t>
  </si>
  <si>
    <t xml:space="preserve">Finance: Account Payable, Account Receivable, Cash Management </t>
  </si>
  <si>
    <t>FT</t>
  </si>
  <si>
    <t>Factory</t>
  </si>
  <si>
    <t>GA</t>
  </si>
  <si>
    <t>General Affair</t>
  </si>
  <si>
    <t>GD</t>
  </si>
  <si>
    <t>GV</t>
  </si>
  <si>
    <t>Gift Voucher</t>
  </si>
  <si>
    <t>HC</t>
  </si>
  <si>
    <t>Human Capital</t>
  </si>
  <si>
    <t xml:space="preserve">Human Resource </t>
  </si>
  <si>
    <t>IC</t>
  </si>
  <si>
    <t>Inventory Control</t>
  </si>
  <si>
    <t>IR</t>
  </si>
  <si>
    <t>Investor Relation</t>
  </si>
  <si>
    <t>Information Technology</t>
  </si>
  <si>
    <t>LE</t>
  </si>
  <si>
    <t>LO</t>
  </si>
  <si>
    <t>Logistic/Supply Chain/Shipping</t>
  </si>
  <si>
    <t>MD</t>
  </si>
  <si>
    <t>Merchandising</t>
  </si>
  <si>
    <t>MP</t>
  </si>
  <si>
    <t>Merchandise Planning</t>
  </si>
  <si>
    <t>MR</t>
  </si>
  <si>
    <t>OP</t>
  </si>
  <si>
    <t>PD</t>
  </si>
  <si>
    <t>Projects Development</t>
  </si>
  <si>
    <t>PU</t>
  </si>
  <si>
    <t>Procurement/Purchasing</t>
  </si>
  <si>
    <t>RA</t>
  </si>
  <si>
    <t>Retail Academy</t>
  </si>
  <si>
    <t>RO</t>
  </si>
  <si>
    <t>Retail Operation</t>
  </si>
  <si>
    <t>SA</t>
  </si>
  <si>
    <t>Store Audit</t>
  </si>
  <si>
    <t>SE</t>
  </si>
  <si>
    <t>Secretary</t>
  </si>
  <si>
    <t>ST</t>
  </si>
  <si>
    <t>Store Training</t>
  </si>
  <si>
    <t>SU</t>
  </si>
  <si>
    <t>Sustainability</t>
  </si>
  <si>
    <t>TA</t>
  </si>
  <si>
    <t>TL</t>
  </si>
  <si>
    <t>Travelogue</t>
  </si>
  <si>
    <t>TR</t>
  </si>
  <si>
    <t>Treasury</t>
  </si>
  <si>
    <t>VM</t>
  </si>
  <si>
    <t>Visual Merchandisin</t>
  </si>
  <si>
    <t>WH</t>
  </si>
  <si>
    <t xml:space="preserve">Warehouse </t>
  </si>
  <si>
    <t>WS</t>
  </si>
  <si>
    <t>Wholesale</t>
  </si>
  <si>
    <t>ho.to@map.co.id</t>
  </si>
  <si>
    <t>To Ho</t>
  </si>
  <si>
    <t>Assistant HR Manager</t>
  </si>
  <si>
    <t>Deliver by SATATECH</t>
  </si>
  <si>
    <t>ratheany.seng@map.co.id</t>
  </si>
  <si>
    <t>Seng Ratheany</t>
  </si>
  <si>
    <t>General Operations Manager</t>
  </si>
  <si>
    <t>sokim.thav@map.co.id</t>
  </si>
  <si>
    <t>Thav Sokim</t>
  </si>
  <si>
    <t>IT Infrastructure Supervisor</t>
  </si>
  <si>
    <t>panha.nol@map.co.id</t>
  </si>
  <si>
    <t>Nol Panha</t>
  </si>
  <si>
    <t>Logistic Supervisor</t>
  </si>
  <si>
    <t>david.dy@map.co.id</t>
  </si>
  <si>
    <t>Dy David</t>
  </si>
  <si>
    <t xml:space="preserve">Project </t>
  </si>
  <si>
    <t>Assistant Project Manager</t>
  </si>
  <si>
    <t>Sreynoch.Sem@mapactive.kh</t>
  </si>
  <si>
    <t>Sem Sreynoch</t>
  </si>
  <si>
    <t>sin.kaknika@mapactive.kh</t>
  </si>
  <si>
    <t>Kaknika Sin</t>
  </si>
  <si>
    <t>Operation Manager</t>
  </si>
  <si>
    <t>JOB TITLE
(formula)</t>
  </si>
  <si>
    <t>DSV VN</t>
  </si>
  <si>
    <t>MMA-DSV-001</t>
  </si>
  <si>
    <t>Prodesk 400 G7</t>
  </si>
  <si>
    <t>4CE234DC94</t>
  </si>
  <si>
    <t>SSD INTEL</t>
  </si>
  <si>
    <t>Intel Core i5 10505 3.20ghz</t>
  </si>
  <si>
    <t>MMA-DSV-002</t>
  </si>
  <si>
    <t>4CE234DC8C</t>
  </si>
  <si>
    <t>MMA-DSV-003</t>
  </si>
  <si>
    <t>4CE234DC6P</t>
  </si>
  <si>
    <t>MMA-DSV-004</t>
  </si>
  <si>
    <t>4CE234DC92</t>
  </si>
  <si>
    <t>MMA-DSV-005</t>
  </si>
  <si>
    <t>4CE234DC5T</t>
  </si>
  <si>
    <t>MMA-DSV-006</t>
  </si>
  <si>
    <t>4CE234DC9C</t>
  </si>
  <si>
    <t>MMA-DSV-007</t>
  </si>
  <si>
    <t>4CE234DC69</t>
  </si>
  <si>
    <t>MMA-DSV-008</t>
  </si>
  <si>
    <t>DFHLRQ3</t>
  </si>
  <si>
    <t>SSDM2 PCLE</t>
  </si>
  <si>
    <t>Intel Core i5 1235U 3.20ghz</t>
  </si>
  <si>
    <t>MMA-DSV-009</t>
  </si>
  <si>
    <t>4CE234DC77</t>
  </si>
  <si>
    <t>SSD WDC PC SN530</t>
  </si>
  <si>
    <t>Room Email Account</t>
  </si>
  <si>
    <t>Presentation device</t>
  </si>
  <si>
    <t>Delegation</t>
  </si>
  <si>
    <t>Capacity</t>
  </si>
  <si>
    <t>Remarks</t>
  </si>
  <si>
    <t>14 Active VN 1 Meeting Room</t>
  </si>
  <si>
    <t>14.ActiveVN1.Room@mapactive.vn</t>
  </si>
  <si>
    <t>Using TV and webcam</t>
  </si>
  <si>
    <t>VN HR Manager:
• van.luugiangcam@mapactive.vn
VN HR Admins:
• binh.ngotieu@mapactive.vn
• ni.ksormahhko@mapactive.vn</t>
  </si>
  <si>
    <t>Large Meeting Room</t>
  </si>
  <si>
    <t>14 Active VN 2 Meeting Room</t>
  </si>
  <si>
    <t>14.ActiveVN2.Room@mapactive.vn</t>
  </si>
  <si>
    <t>Using Projector</t>
  </si>
  <si>
    <t>Small Meeting Room (Converse)</t>
  </si>
  <si>
    <t>14 Active VN 3 Meeting Room</t>
  </si>
  <si>
    <t>14.ActiveVN3.Room@mapactive.vn</t>
  </si>
  <si>
    <t>Using TV</t>
  </si>
  <si>
    <t>Small Meeting Room (NB)</t>
  </si>
  <si>
    <t>status new change host</t>
  </si>
  <si>
    <t>Device Hostname</t>
  </si>
  <si>
    <t>Device</t>
  </si>
  <si>
    <t>User</t>
  </si>
  <si>
    <t>Store name</t>
  </si>
  <si>
    <t>S/n</t>
  </si>
  <si>
    <t>Ram (MB)</t>
  </si>
  <si>
    <t>Hard Disk</t>
  </si>
  <si>
    <t>HP ProDesk 400 G4 DM</t>
  </si>
  <si>
    <t>PIC_KN01</t>
  </si>
  <si>
    <t>PO02-ADMIN</t>
  </si>
  <si>
    <t>PIC</t>
  </si>
  <si>
    <t>Planent Sport Vincom Đồng Khởi</t>
  </si>
  <si>
    <t>5/7/2023, 3:37:26 PM (need double check)</t>
  </si>
  <si>
    <t>HP ProBook 440 14 inch G9 Notebook PC</t>
  </si>
  <si>
    <t>New Balance Takashimaya</t>
  </si>
  <si>
    <t>New Balance Lotte HN</t>
  </si>
  <si>
    <t>check</t>
  </si>
  <si>
    <t>VC01-ADMIN</t>
  </si>
  <si>
    <t>VC02-VI02-ADMIN</t>
  </si>
  <si>
    <t>HP Laptop 14s-cf2xxx</t>
  </si>
  <si>
    <t>CHAMPION-SMIGGLE TAKASHIMAYA</t>
  </si>
  <si>
    <t>1100 MHz Pentium Silver N5030</t>
  </si>
  <si>
    <t>PLANET SPORTS LOTTE HN</t>
  </si>
  <si>
    <t>PLANET SPORTS GOLD COAST NHA TRANG</t>
  </si>
  <si>
    <t>CHAMPION AEON LONG BIEN HN</t>
  </si>
  <si>
    <t>NEWERA AEON HAI PHONG</t>
  </si>
  <si>
    <t>PIC_VE03</t>
  </si>
  <si>
    <t>NEWERA AEON HA DONG HN</t>
  </si>
  <si>
    <t>PIC-VE04</t>
  </si>
  <si>
    <t>NEWERA AEON LONG BIEN HN</t>
  </si>
  <si>
    <t>New Era Diamond Plaza</t>
  </si>
  <si>
    <t>VI01-Admin</t>
  </si>
  <si>
    <t>HP ProBook 440 G2</t>
  </si>
  <si>
    <t>CONVERSE-SMIGGLE  GOLD COAST NHA TRANG</t>
  </si>
  <si>
    <t>Smiggle Van Hanh Mall</t>
  </si>
  <si>
    <t>CONVERSE AEON LONG BIEN HN</t>
  </si>
  <si>
    <t>HP ProDesk 400 G7 Small Form Factor PC</t>
  </si>
  <si>
    <t>Converse - ROOKIE TAKASHIMAYA</t>
  </si>
  <si>
    <t>PIC-VN04</t>
  </si>
  <si>
    <t>CONVERSE AEON HA DONG HN</t>
  </si>
  <si>
    <t>Điều chuyển tài sản thay thế 1 mày G9 ra cho store với S/N: 8CG8105N2Q</t>
  </si>
  <si>
    <t>Lenovo 20KFS01900</t>
  </si>
  <si>
    <t>CONVERSE LOTTE HN</t>
  </si>
  <si>
    <t>CONVERSE VINCOM MY THO TIEN GIANG</t>
  </si>
  <si>
    <t>HP Pavilion 550-170l</t>
  </si>
  <si>
    <t>CONVERSE ROYAL CITY</t>
  </si>
  <si>
    <t>CONVERSE VINCOM SMART CITY HN</t>
  </si>
  <si>
    <t>VN18</t>
  </si>
  <si>
    <t>CONVERSE BIEN HOA DONG NAI</t>
  </si>
  <si>
    <t>VN20</t>
  </si>
  <si>
    <t>CONVERSE PHAN VAN TRI</t>
  </si>
  <si>
    <t>Converse Ba Cu Vung Tau</t>
  </si>
  <si>
    <t>L</t>
  </si>
  <si>
    <t>ZK04-ZW04-ADMIN</t>
  </si>
  <si>
    <t>unknown</t>
  </si>
  <si>
    <t>Lenovo - 20N8S0CJ00</t>
  </si>
  <si>
    <t>LAPTOP HP PROBOOK 440 G9</t>
  </si>
  <si>
    <t>New Balance Cresent Mall</t>
  </si>
  <si>
    <t>5CD250F9PY</t>
  </si>
  <si>
    <t>Laptop Thinkpad x280</t>
  </si>
  <si>
    <t>New Era Crensent Mall</t>
  </si>
  <si>
    <t>PC PRO MINI 400G6 HP</t>
  </si>
  <si>
    <t>POS 1</t>
  </si>
  <si>
    <t>Converse Quang Trung</t>
  </si>
  <si>
    <t>POS 2</t>
  </si>
  <si>
    <t>ADMIN</t>
  </si>
  <si>
    <t>SERVER</t>
  </si>
  <si>
    <t>Laptop HP PROBOOK 440 G9</t>
  </si>
  <si>
    <t>New Balance Diamond Plaza</t>
  </si>
  <si>
    <t>PC PRO MINI 400G9 HP</t>
  </si>
  <si>
    <t>Birkenstock Crescent Mall</t>
  </si>
  <si>
    <t>Converse Lotte Mall HN</t>
  </si>
  <si>
    <t>New Era Lotte Mall HN</t>
  </si>
  <si>
    <t xml:space="preserve">New Balance Lotte Mall HN  </t>
  </si>
  <si>
    <t>New Balance Van Hanh Mall</t>
  </si>
  <si>
    <t xml:space="preserve">Rookie Lotte Mall HN  </t>
  </si>
  <si>
    <t>IPH NEWBALNCE HN</t>
  </si>
  <si>
    <t>Birkenstock Lotte Mall HN</t>
  </si>
  <si>
    <t>HP Elite Mini 600 G9</t>
  </si>
  <si>
    <t xml:space="preserve">FL Lotte Mall HN </t>
  </si>
  <si>
    <t>POS 3</t>
  </si>
  <si>
    <t xml:space="preserve"> DASHBOARD BIGFIX &amp; Crowdstrike</t>
  </si>
  <si>
    <t>STORE-WAREHOUSER</t>
  </si>
  <si>
    <t> </t>
  </si>
  <si>
    <t>OFFICE-MMA STT</t>
  </si>
  <si>
    <t>STT</t>
  </si>
  <si>
    <t>Store code-hostname</t>
  </si>
  <si>
    <t>Bigfix</t>
  </si>
  <si>
    <t>Crowdstrike</t>
  </si>
  <si>
    <t>NEW -HOSTNAME</t>
  </si>
  <si>
    <t>BIGfix Office</t>
  </si>
  <si>
    <t>KN01-Admin</t>
  </si>
  <si>
    <t>AMMAVN_C000001</t>
  </si>
  <si>
    <t>PEACOCK DARRYL JAMES</t>
  </si>
  <si>
    <t>PO02-server</t>
  </si>
  <si>
    <t>AMMAVN_C000002</t>
  </si>
  <si>
    <t>PO02-Admin</t>
  </si>
  <si>
    <t>AMMAVNACCC000003</t>
  </si>
  <si>
    <t>AMMAVNACCC000004</t>
  </si>
  <si>
    <t>HUỲNH MỸ DANH</t>
  </si>
  <si>
    <t>AMMAVNACCC000005</t>
  </si>
  <si>
    <t>MAI NGUYỄN DIỄM QUỲNH</t>
  </si>
  <si>
    <t>VC01-Admin</t>
  </si>
  <si>
    <t>AMMAVNACCC000006</t>
  </si>
  <si>
    <t>NGUYỄN HOÀNG ANH THY</t>
  </si>
  <si>
    <t>VC02-VI02-Admin</t>
  </si>
  <si>
    <t>VĂN HUỲNH TÚ TRINH</t>
  </si>
  <si>
    <t>VC03-Admin</t>
  </si>
  <si>
    <t>AMMAVNBPCC000008</t>
  </si>
  <si>
    <t>LÊ THỊ ÁNH TUYẾT</t>
  </si>
  <si>
    <t>VC04-Admin</t>
  </si>
  <si>
    <t>AMMAVNACCC000009</t>
  </si>
  <si>
    <t>MAI LÊ CẨM HÒA</t>
  </si>
  <si>
    <t>VC05-Admin</t>
  </si>
  <si>
    <t>HUỲNH THỊ MỸ TRANG</t>
  </si>
  <si>
    <t>VC06-Admin</t>
  </si>
  <si>
    <t>AMMAVNHRC000011</t>
  </si>
  <si>
    <t>LƯU GIANG CẨM VÂN</t>
  </si>
  <si>
    <t>VC08-Admin</t>
  </si>
  <si>
    <t>AMMAVNHRC000012</t>
  </si>
  <si>
    <t>NGÔ TIỂU BÌNH</t>
  </si>
  <si>
    <t>VE01-Admin</t>
  </si>
  <si>
    <t>TRẦN THỊ YẾN NHI</t>
  </si>
  <si>
    <t>VE03-Admin</t>
  </si>
  <si>
    <t>KSOR MAH H'KO NI</t>
  </si>
  <si>
    <t>VE04-Admin</t>
  </si>
  <si>
    <t>LÊ CẨM LINH</t>
  </si>
  <si>
    <t>VF02-Admin</t>
  </si>
  <si>
    <t>Nguyễn Thành Bảo</t>
  </si>
  <si>
    <t>VI03-Admin</t>
  </si>
  <si>
    <t>VI04-VN19 Admin</t>
  </si>
  <si>
    <t>QUAN THANH THỀM</t>
  </si>
  <si>
    <t>VI06-Admin</t>
  </si>
  <si>
    <t>VN01-Admin</t>
  </si>
  <si>
    <t>Lê Minh Khang</t>
  </si>
  <si>
    <t>VN02-Admin</t>
  </si>
  <si>
    <t>TRẦN ĐẶNG ANH KHOA</t>
  </si>
  <si>
    <t>VN04-Admin</t>
  </si>
  <si>
    <t xml:space="preserve">Nguyễn Quyết Thắng </t>
  </si>
  <si>
    <t>VN05-Admin</t>
  </si>
  <si>
    <t>VN06-Admin</t>
  </si>
  <si>
    <t>VN07-Admin</t>
  </si>
  <si>
    <t>HOÀNG HỒNG KHEN</t>
  </si>
  <si>
    <t>VN08-Admin</t>
  </si>
  <si>
    <t>AMMAVNOPC000028</t>
  </si>
  <si>
    <t xml:space="preserve">LÊ TRẦN THIÊN MINH </t>
  </si>
  <si>
    <t>VN09-Admin</t>
  </si>
  <si>
    <t>AMMAVNMRC000029</t>
  </si>
  <si>
    <t>PHẠM THỊ BẢO TRÂM</t>
  </si>
  <si>
    <t>VN10-Admin</t>
  </si>
  <si>
    <t>VN13-Admin</t>
  </si>
  <si>
    <t>VN14-Admin</t>
  </si>
  <si>
    <t>VN16-Admin</t>
  </si>
  <si>
    <t>VÕ THỤY MINH TUYỀN</t>
  </si>
  <si>
    <t>VN17-Admin</t>
  </si>
  <si>
    <t>NGUYỄN THỊ TUYẾT MY</t>
  </si>
  <si>
    <t xml:space="preserve">VN24-Admin </t>
  </si>
  <si>
    <t>ĐẶNG THỊ THANH TÂM</t>
  </si>
  <si>
    <t>VR02-VN03-Admin</t>
  </si>
  <si>
    <t>PHẠM MỸ TÚ</t>
  </si>
  <si>
    <t>NGUYỄN PHƯỚC THẠNH</t>
  </si>
  <si>
    <t>TRƯƠNG HỒNG HƯƠNG (Jolie)</t>
  </si>
  <si>
    <t>AMMAVNMDC000039</t>
  </si>
  <si>
    <t>THÁI NHẬT LINH</t>
  </si>
  <si>
    <t xml:space="preserve">VA02-Admin </t>
  </si>
  <si>
    <t>AMMAVNMDC000040</t>
  </si>
  <si>
    <t>TRẦN TRUNG TIẾN</t>
  </si>
  <si>
    <t xml:space="preserve">VA06- Admin </t>
  </si>
  <si>
    <t>AMMAVNMDC000041</t>
  </si>
  <si>
    <t>NGUYỄN THỊ QUỲNH GIANG</t>
  </si>
  <si>
    <t>AMMAVN_000042</t>
  </si>
  <si>
    <t>AMMAVNMDC000043</t>
  </si>
  <si>
    <t>TRẦN QUỐC THIÊN HƯƠNG (May)</t>
  </si>
  <si>
    <t>TRẦN NGỌC ĐOAN TRINH</t>
  </si>
  <si>
    <t>ĐẶNG QUỐC TRÍ</t>
  </si>
  <si>
    <t>VN22-ADMIN</t>
  </si>
  <si>
    <t>VN11-ADMIN</t>
  </si>
  <si>
    <t>HỒ HẢI ĐĂNG</t>
  </si>
  <si>
    <t>VA22-ADMIN</t>
  </si>
  <si>
    <t>AMMAVNITC000048</t>
  </si>
  <si>
    <t xml:space="preserve">LAPTOP CŨ QUỲNH PÚP AM </t>
  </si>
  <si>
    <t>VA08-ADMIN</t>
  </si>
  <si>
    <t>Phan Hoài Phong</t>
  </si>
  <si>
    <t>KN09-ADMIN</t>
  </si>
  <si>
    <t>AMMAVNPDC000050</t>
  </si>
  <si>
    <t>Thôi Hữu Nghĩa</t>
  </si>
  <si>
    <t>AMMAVNPDC000051</t>
  </si>
  <si>
    <t>HUỲNH NGỌC SƠN</t>
  </si>
  <si>
    <t>TRƯƠNG VĂN TÍN TRÀ</t>
  </si>
  <si>
    <t>VÕ NGUYỄN HOÀNG NAM</t>
  </si>
  <si>
    <t>NGÔ ANH TUẤN</t>
  </si>
  <si>
    <t>NGUYỄN NAM THẮNG</t>
  </si>
  <si>
    <t>DƯƠNG THỊ BẢO TRÂM</t>
  </si>
  <si>
    <t>PHÙNG BỘI VÂN</t>
  </si>
  <si>
    <t>LÂM HOÀNG PHƯỚC ĐẠI</t>
  </si>
  <si>
    <t>AMMAVNBDC000059</t>
  </si>
  <si>
    <t>NGUYỄN DUYÊN NGỌC</t>
  </si>
  <si>
    <t>PHÙNG THỊ LAN PHƯƠNG</t>
  </si>
  <si>
    <t>VO02-POS1</t>
  </si>
  <si>
    <t>LÊ NGỌC MỸ LINH</t>
  </si>
  <si>
    <t>VO02-POS2</t>
  </si>
  <si>
    <t>NGUYỄN HOÀNG LOAN</t>
  </si>
  <si>
    <t>VO02-POS3</t>
  </si>
  <si>
    <t>VŨ THÙY UYÊN</t>
  </si>
  <si>
    <t>PO04-ADMIN</t>
  </si>
  <si>
    <t xml:space="preserve">Trần Thị Kim Tuyết </t>
  </si>
  <si>
    <t>PO03-ADMIN</t>
  </si>
  <si>
    <t>NGUYỄN PHƯƠNG LAN</t>
  </si>
  <si>
    <t>NGUYỄN THỊ BÍCH TRÂM</t>
  </si>
  <si>
    <t>Syed Umair</t>
  </si>
  <si>
    <t>STORE EVENT</t>
  </si>
  <si>
    <t>TRẦN THỊ TOÀN MỸ</t>
  </si>
  <si>
    <t>ZV07-ADMIN(NHA TRANG)</t>
  </si>
  <si>
    <t xml:space="preserve">Lương Hữu Quân </t>
  </si>
  <si>
    <t xml:space="preserve">Nguyễn Thị Quí </t>
  </si>
  <si>
    <t xml:space="preserve">Nguyễn Quốc Huy </t>
  </si>
  <si>
    <t>BAZZA STORE</t>
  </si>
  <si>
    <t>PHÙNG NHƯ QUỲNH</t>
  </si>
  <si>
    <t xml:space="preserve">NGUYỄN NGỌC LAN ANH </t>
  </si>
  <si>
    <t>LÊ NAM HUÂN</t>
  </si>
  <si>
    <t>AMMAVNMRC000085</t>
  </si>
  <si>
    <t>AMMAVN_C000086</t>
  </si>
  <si>
    <t>HUỲNH KIM DUNG</t>
  </si>
  <si>
    <t xml:space="preserve">Nguyễn Bảo Du </t>
  </si>
  <si>
    <t>Đinh Lê Gia Bảo</t>
  </si>
  <si>
    <t>AMMAVNMRD000090</t>
  </si>
  <si>
    <t>Hoàng Thân Bảo Phúc</t>
  </si>
  <si>
    <t>IT BACKUP(LAPTOP X280 CŨ NI(HR)</t>
  </si>
  <si>
    <t xml:space="preserve">Total </t>
  </si>
  <si>
    <t>AMMAVNICC000092</t>
  </si>
  <si>
    <t xml:space="preserve">TRẦN DUY ĐIỀN </t>
  </si>
  <si>
    <t>DEVICES</t>
  </si>
  <si>
    <t>TYPE</t>
  </si>
  <si>
    <t>QTY</t>
  </si>
  <si>
    <t>SERI NUMBER</t>
  </si>
  <si>
    <t>STOREAGE</t>
  </si>
  <si>
    <t>NOTE</t>
  </si>
  <si>
    <t xml:space="preserve">check list Store </t>
  </si>
  <si>
    <t xml:space="preserve">Lenovo TB 8505X
3G +32 GGR9-VN-GOV
</t>
  </si>
  <si>
    <t xml:space="preserve">TABLET </t>
  </si>
  <si>
    <t>HA1JYS7A-HA1K0KWK</t>
  </si>
  <si>
    <t>LOGISTIC</t>
  </si>
  <si>
    <t>ĐÃ BÀN GIAO</t>
  </si>
  <si>
    <t>QUAN TEST</t>
  </si>
  <si>
    <t>KHO IT</t>
  </si>
  <si>
    <t>PRINTER POSTEK -IQ200 203DPI-BLUETOOTH</t>
  </si>
  <si>
    <t>PRINTER</t>
  </si>
  <si>
    <t>I1622C001(VN13)-002(VO02)-003(I1622C0003-VN18)</t>
  </si>
  <si>
    <t>I1622F0004-I1622F0005</t>
  </si>
  <si>
    <t>IT SERVER ROOM(I1623H0001-2-3-4-5)</t>
  </si>
  <si>
    <t xml:space="preserve">GALAXY TAB S6 LITE </t>
  </si>
  <si>
    <t>vo02</t>
  </si>
  <si>
    <t>Est Month</t>
  </si>
  <si>
    <t>Est Phase</t>
  </si>
  <si>
    <t>Store Code</t>
  </si>
  <si>
    <t>Mar</t>
  </si>
  <si>
    <t>Birkenstock Crescent mall, HCMC</t>
  </si>
  <si>
    <t>Birkenstock Lotte Mall Westlake, Hanoi</t>
  </si>
  <si>
    <t>Jun</t>
  </si>
  <si>
    <t>Birkenstock Goldcoast Nha Trang</t>
  </si>
  <si>
    <t>Rookie Lotte Mall Westlake, Hanoi</t>
  </si>
  <si>
    <t>New Era Lotte Mall Westlake, Hanoi</t>
  </si>
  <si>
    <t>Converse Aeon Long Bien, Hanoi</t>
  </si>
  <si>
    <t>Converse NGUYEN TRAI D1, HCMC</t>
  </si>
  <si>
    <t>Converse Crescent mall, HCMC</t>
  </si>
  <si>
    <t>Converse Aeon Ha Dong, Hanoi</t>
  </si>
  <si>
    <t>Sep</t>
  </si>
  <si>
    <t>Converse BA THANG HAI D10, HCMC</t>
  </si>
  <si>
    <t>Converse HAI BA TRUNG D3, HCMC</t>
  </si>
  <si>
    <t>Converse Aeon Binh Tan, HCMC</t>
  </si>
  <si>
    <t>Converse IPH, Hanoi</t>
  </si>
  <si>
    <t>Converse Aeon Canary, Binh Duong</t>
  </si>
  <si>
    <t>Converse Lotte Mall Westlake, Hanoi</t>
  </si>
  <si>
    <t>Converse Ba Cu, Vung Tau</t>
  </si>
  <si>
    <t>Converse Nguyen Trai, Can Tho</t>
  </si>
  <si>
    <t>Converse Quang Trung CFS, HCMC</t>
  </si>
  <si>
    <t>Converse Parc mall, HCMC</t>
  </si>
  <si>
    <t>Converse Vincom Thao Dien, HCMC</t>
  </si>
  <si>
    <t>Converse CFS, Hanoi</t>
  </si>
  <si>
    <t>New Balance Nguyen Trai, HCMC</t>
  </si>
  <si>
    <t>New Balance Aeon Hai Phong</t>
  </si>
  <si>
    <t>New Balance Crescent mall, HCMC</t>
  </si>
  <si>
    <t>New Balance Lotte Mall Westlake, Hanoi</t>
  </si>
  <si>
    <t>New Balance Diamond, HCMC</t>
  </si>
  <si>
    <t>New Balance IPH, Hanoi</t>
  </si>
  <si>
    <t>New Balance Van Hanh mall, HCMC</t>
  </si>
  <si>
    <t>New Balance Gold Coast, Nha Trang</t>
  </si>
  <si>
    <t>New Balance Vincom Thao Dien, HCMC</t>
  </si>
  <si>
    <t>New Balance Nguyen Trai, Can Tho</t>
  </si>
  <si>
    <t>New Balance Parc mall, HCMC</t>
  </si>
  <si>
    <t xml:space="preserve">New Balance Quang Trung Outlet, HCMC </t>
  </si>
  <si>
    <t>New Balance Aeon Long Bien, Hanoi</t>
  </si>
  <si>
    <t>Bata Vincom Thao Dien, HCMC</t>
  </si>
  <si>
    <t>TOTAL QTY - Phase 1</t>
  </si>
  <si>
    <t>TOTAL QTY - Phase 2</t>
  </si>
  <si>
    <t>TOTAL QTY - Phase 3</t>
  </si>
  <si>
    <t>Compare with Office</t>
  </si>
  <si>
    <t>Username</t>
  </si>
  <si>
    <t>User principal name</t>
  </si>
  <si>
    <t>Alias</t>
  </si>
  <si>
    <t>Domain</t>
  </si>
  <si>
    <t>Block credential</t>
  </si>
  <si>
    <t>Country/Region</t>
  </si>
  <si>
    <t>DirSyncEnabled</t>
  </si>
  <si>
    <t>Display name</t>
  </si>
  <si>
    <t>Fax</t>
  </si>
  <si>
    <t>First name</t>
  </si>
  <si>
    <t>Last dirsync time</t>
  </si>
  <si>
    <t>Last name</t>
  </si>
  <si>
    <t>Last password change time stamp</t>
  </si>
  <si>
    <t>License assignment details</t>
  </si>
  <si>
    <t>Licenses</t>
  </si>
  <si>
    <t>Mobile Phone</t>
  </si>
  <si>
    <t>Oath token meta data</t>
  </si>
  <si>
    <t>Object Id</t>
  </si>
  <si>
    <t>Password never expires</t>
  </si>
  <si>
    <t>Phone number</t>
  </si>
  <si>
    <t>Postal code</t>
  </si>
  <si>
    <t>Preferred data location</t>
  </si>
  <si>
    <t>Preferred language</t>
  </si>
  <si>
    <t>Proxy addresses</t>
  </si>
  <si>
    <t>Release track</t>
  </si>
  <si>
    <t>Soft deletion time stamp</t>
  </si>
  <si>
    <t>State</t>
  </si>
  <si>
    <t>Street address</t>
  </si>
  <si>
    <t>Strong password required</t>
  </si>
  <si>
    <t>Title</t>
  </si>
  <si>
    <t>Usage location</t>
  </si>
  <si>
    <t>User principal name2</t>
  </si>
  <si>
    <t>When created</t>
  </si>
  <si>
    <t>Place</t>
  </si>
  <si>
    <t>alun.hughes</t>
  </si>
  <si>
    <t>alun.hughes@map.co.id</t>
  </si>
  <si>
    <t>mapactive.vn</t>
  </si>
  <si>
    <t>alun.hu</t>
  </si>
  <si>
    <t>2023-01-03 10:24:45Z</t>
  </si>
  <si>
    <t>e1a2fe93-409f-42d1-b40a-505beade6957</t>
  </si>
  <si>
    <t>SMTP:alun.hughes@mapactive.vn+smtp:alun.hughes@map.co.id</t>
  </si>
  <si>
    <t>ID</t>
  </si>
  <si>
    <t>2022-11-09 10:11:26Z</t>
  </si>
  <si>
    <t>Need to keep until Mr. Darryl Confirm</t>
  </si>
  <si>
    <t>Row Labels</t>
  </si>
  <si>
    <t>Count of Place</t>
  </si>
  <si>
    <t>Mma.it</t>
  </si>
  <si>
    <t>Mma.it@map.co.id</t>
  </si>
  <si>
    <t>Mma.it@mapactive.vn</t>
  </si>
  <si>
    <t>Ho Chi Minh</t>
  </si>
  <si>
    <t>MMA IT</t>
  </si>
  <si>
    <t>2023-09-06 08:14:12Z</t>
  </si>
  <si>
    <t>2023-09-06 04:18:30Z</t>
  </si>
  <si>
    <t>Office 365 E1</t>
  </si>
  <si>
    <t>84e73c18-4e05-4b4b-8ded-adf9c8eb8f05</t>
  </si>
  <si>
    <t>Vietnam</t>
  </si>
  <si>
    <t>'+84988282301</t>
  </si>
  <si>
    <t>smtp:Mma.it@map.co.id+SMTP:Mma.it@mapactive.vn+smtp:_Mma.it@mapcoid.onmicrosoft.com</t>
  </si>
  <si>
    <t>Others</t>
  </si>
  <si>
    <t>Unit 14-02, 14th Floor, Lottery Tower, 77 Tran Nhan Ton Street, Ward 9, Dist 5, Ho Chi Minh City, Vietnam</t>
  </si>
  <si>
    <t>2023-05-11 07:31:23Z</t>
  </si>
  <si>
    <t>IT shared email account for licensing</t>
  </si>
  <si>
    <t>Intern.Accounting</t>
  </si>
  <si>
    <t>Intern.Accounting@map.co.id</t>
  </si>
  <si>
    <t>Intern.Accounting@mapactive.vn</t>
  </si>
  <si>
    <t>Intern.</t>
  </si>
  <si>
    <t>VietNam</t>
  </si>
  <si>
    <t>Interaccounting</t>
  </si>
  <si>
    <t>2023-09-15 04:17:30Z</t>
  </si>
  <si>
    <t>2023-09-15 03:57:58Z</t>
  </si>
  <si>
    <t>96c112a8-20a7-4b40-9300-8cbe388814cf</t>
  </si>
  <si>
    <t>smtp:Intern.Accounting@mapcoid.onmicrosoft.com+smtp:Intern.Accounting@map.co.id+SMTP:Intern.Accounting@mapactive.vn</t>
  </si>
  <si>
    <t>Inter Accounting</t>
  </si>
  <si>
    <t>Accounting shared email account for internship</t>
  </si>
  <si>
    <t>(blank)</t>
  </si>
  <si>
    <t>HR.Recruitment</t>
  </si>
  <si>
    <t>HR.Recruitment@map.co.id</t>
  </si>
  <si>
    <t>HR.Recr</t>
  </si>
  <si>
    <t>2023-04-14 13:59:35Z</t>
  </si>
  <si>
    <t>16b110b0-8391-4552-b4ae-61fb9a8d749a</t>
  </si>
  <si>
    <t>smtp:HR.Recruitment@mapcoid.onmicrosoft.com+smtp:HR.Recruitment@map.co.id+SMTP:HR.Recruitment@mapactive.vn</t>
  </si>
  <si>
    <t>MAA Vietnam</t>
  </si>
  <si>
    <t>HR Manager</t>
  </si>
  <si>
    <t>2022-09-14 04:28:41Z</t>
  </si>
  <si>
    <t>HR shared email account for recruitment, receive CV from candidates</t>
  </si>
  <si>
    <t>uyen.vuthuy</t>
  </si>
  <si>
    <t>uyen.vu</t>
  </si>
  <si>
    <t>Vu Thuy</t>
  </si>
  <si>
    <t>2023-02-20 10:04:34Z</t>
  </si>
  <si>
    <t>Office 365 E3+Office 365 E1</t>
  </si>
  <si>
    <t>afc2d81d-b196-4684-86ba-5e6bcc9bfa8d</t>
  </si>
  <si>
    <t>smtp:uyen.vuthuy@mapcoid.onmicrosoft.com+SMTP:uyen.vuthuy@mapactive.vn</t>
  </si>
  <si>
    <t>2023-02-20 10:04:35Z</t>
  </si>
  <si>
    <t>quan.vu</t>
  </si>
  <si>
    <t>MMA Vietnam</t>
  </si>
  <si>
    <t>Vu Thai Quan - OPS Manager DSV VN</t>
  </si>
  <si>
    <t>Quan</t>
  </si>
  <si>
    <t>Vu</t>
  </si>
  <si>
    <t>2023-01-31 04:50:31Z</t>
  </si>
  <si>
    <t>6d7f6dec-6b8d-4e68-aa57-c00059c84f23</t>
  </si>
  <si>
    <t>smtp:quan.vu@map.co.id+smtp:quan.vu@mapcoid.onmicrosoft.com+SMTP:quan.vu@mapactive.vn</t>
  </si>
  <si>
    <t>Operations Manager</t>
  </si>
  <si>
    <t>2023-01-25 10:45:30Z</t>
  </si>
  <si>
    <t>Minh.Vuba</t>
  </si>
  <si>
    <t>Minh.Vuba@map.co.id</t>
  </si>
  <si>
    <t>Minh.Vuba@mapactive.vn</t>
  </si>
  <si>
    <t>Minh.Vu</t>
  </si>
  <si>
    <t>Vu Ba</t>
  </si>
  <si>
    <t>2023-09-01 09:17:58Z</t>
  </si>
  <si>
    <t>Minh</t>
  </si>
  <si>
    <t>2023-05-25 09:06:08Z</t>
  </si>
  <si>
    <t>57ed34ff-934b-461d-afa0-07ffc10c1e17</t>
  </si>
  <si>
    <t>smtp:Minh.Vuba@mapcoid.onmicrosoft.com+smtp:Minh.Vuba@map.co.id+SMTP:Minh.Vuba@mapactive.vn</t>
  </si>
  <si>
    <t>2023-05-25 09:09:05Z</t>
  </si>
  <si>
    <t>tuyen.vothuyminh</t>
  </si>
  <si>
    <t>tuyen.vothuyminh@map.co.id</t>
  </si>
  <si>
    <t>tuyen.v</t>
  </si>
  <si>
    <t>Vothuyminh Tuyen</t>
  </si>
  <si>
    <t>2023-07-31 02:25:40Z</t>
  </si>
  <si>
    <t>a49389db-95bc-46bc-8764-bc9cb1a82e8d</t>
  </si>
  <si>
    <t>SMTP:tuyen.vothuyminh@mapactive.vn+smtp:tuyen.vothuyminh@map.co.id</t>
  </si>
  <si>
    <t>2022-11-09 10:11:47Z</t>
  </si>
  <si>
    <t>Xuan.vothihoanganh</t>
  </si>
  <si>
    <t>Xuan.vothihoanganh@map.co.id</t>
  </si>
  <si>
    <t>Xuan.vothihoanganh@mapactive.vn</t>
  </si>
  <si>
    <t>Xuan.vo</t>
  </si>
  <si>
    <t>Vo Thi Hoang</t>
  </si>
  <si>
    <t>2023-10-03 04:39:58Z</t>
  </si>
  <si>
    <t>Anh Xuan</t>
  </si>
  <si>
    <t>2023-10-03 04:26:58Z</t>
  </si>
  <si>
    <t>e5f432d3-4559-4f98-bd8a-cc54b3e9c433</t>
  </si>
  <si>
    <t>smtp:Xuan.vothihoanganh@mapcoid.onmicrosoft.com+smtp:Xuan.vothihoanganh@map.co.id+SMTP:Xuan.vothihoanganh@mapactive.vn</t>
  </si>
  <si>
    <t>nam.vonguyenhoang</t>
  </si>
  <si>
    <t>nam.von</t>
  </si>
  <si>
    <t>Vo</t>
  </si>
  <si>
    <t>Nguyen Hoang Nam</t>
  </si>
  <si>
    <t>2023-07-05 07:13:11Z</t>
  </si>
  <si>
    <t>ac7638dd-2cda-4b31-8732-f83f1d94e5cd</t>
  </si>
  <si>
    <t>smtp:nam.vonguyenhoang@map.co.id+SMTP:nam.vonguyenhoang@mapactive.vn</t>
  </si>
  <si>
    <t>2023-01-10 07:45:10Z</t>
  </si>
  <si>
    <t>son.vo</t>
  </si>
  <si>
    <t>son.vo@mapactive.vn</t>
  </si>
  <si>
    <t>Vo Ngoc Son - Logs Coordinator DSV VN</t>
  </si>
  <si>
    <t>Son</t>
  </si>
  <si>
    <t>2023-09-14 03:00:16Z</t>
  </si>
  <si>
    <t>41585cef-0ad5-4754-9ee6-f64c1b72c045</t>
  </si>
  <si>
    <t>smtp:son.vo@map.co.id+smtp:son.vo@mapcoid.onmicrosoft.com+SMTP:son.vo@mapactive.vn</t>
  </si>
  <si>
    <t>Logistics Coordinator</t>
  </si>
  <si>
    <t>2023-01-25 10:22:21Z</t>
  </si>
  <si>
    <t>Exchange Online Kiosk+Office 365 E1</t>
  </si>
  <si>
    <t>ngoc.voleminh</t>
  </si>
  <si>
    <t>ngoc.voleminh@map.co.id</t>
  </si>
  <si>
    <t>ngoc.vo</t>
  </si>
  <si>
    <t>Vo Le Minh Ngoc</t>
  </si>
  <si>
    <t>2023-03-16 03:25:43Z</t>
  </si>
  <si>
    <t>66c59282-7a34-45c6-8205-ef107c4c52a5</t>
  </si>
  <si>
    <t>SMTP:ngoc.voleminh@mapactive.vn+smtp:ngoc.voleminh@map.co.id</t>
  </si>
  <si>
    <t>2022-11-09 10:11:40Z</t>
  </si>
  <si>
    <t>In-Active</t>
  </si>
  <si>
    <t>van.phungboi</t>
  </si>
  <si>
    <t>van.phungboi@map.co.id</t>
  </si>
  <si>
    <t>van.phu</t>
  </si>
  <si>
    <t>Van Phungboi</t>
  </si>
  <si>
    <t>2023-09-18 10:17:16Z</t>
  </si>
  <si>
    <t>29a4d564-b366-4aff-88ea-1abfb43b812f</t>
  </si>
  <si>
    <t>SMTP:VAN.PHUNGBOI@mapactive.vn+smtp:van.phungboi@map.co.id</t>
  </si>
  <si>
    <t>2022-11-16 09:22:23Z</t>
  </si>
  <si>
    <t>Trinh.Vanhuynhtu</t>
  </si>
  <si>
    <t>Trinh.Vanhuynhtu@map.co.id</t>
  </si>
  <si>
    <t>Trinh.Vanhuynhtu@mapactive.vn</t>
  </si>
  <si>
    <t>Trinh.V</t>
  </si>
  <si>
    <t>Van Huynh</t>
  </si>
  <si>
    <t>2023-09-01 09:17:20Z</t>
  </si>
  <si>
    <t>Tu Trinh</t>
  </si>
  <si>
    <t>2023-07-21 07:50:18Z</t>
  </si>
  <si>
    <t>32cd014d-390c-473f-8fcd-a84065dff510</t>
  </si>
  <si>
    <t>smtp:Trinh.Vanhuynhtu@map.co.id+smtp:trinh.vanhuynhtu@mapcoid.onmicrosoft.com+SMTP:Trinh.Vanhuynhtu@mapactive.vn</t>
  </si>
  <si>
    <t>huong.truonghong</t>
  </si>
  <si>
    <t>huong.truonghong@map.co.id</t>
  </si>
  <si>
    <t>huong.truonghong@mapactive.vn</t>
  </si>
  <si>
    <t>huong.t</t>
  </si>
  <si>
    <t>2023-09-06 11:20:25Z</t>
  </si>
  <si>
    <t>c4d930aa-b50c-4296-b8cc-b99c977ce92c</t>
  </si>
  <si>
    <t>SMTP:huong.truonghong@mapactive.vn+smtp:huong.truonghong@map.co.id</t>
  </si>
  <si>
    <t>2022-11-09 10:11:35Z</t>
  </si>
  <si>
    <t>trinh.tranngocdoan</t>
  </si>
  <si>
    <t>trinh.tranngocdoan@map.co.id</t>
  </si>
  <si>
    <t>trinh.t</t>
  </si>
  <si>
    <t>Trinh Tranngocdoan</t>
  </si>
  <si>
    <t>2023-10-06 03:44:42Z</t>
  </si>
  <si>
    <t>71d027ce-b277-4bb6-adc0-6d2c7c7839a0</t>
  </si>
  <si>
    <t>SMTP:TRINH.TRANNGOCDOAN@mapactive.vn+smtp:trinh.tranngocdoan@map.co.id</t>
  </si>
  <si>
    <t>2022-11-16 09:22:24Z</t>
  </si>
  <si>
    <t>Grand Total</t>
  </si>
  <si>
    <t>tien.trantrung</t>
  </si>
  <si>
    <t>tien.trantrung@map.co.id</t>
  </si>
  <si>
    <t>tien.tr</t>
  </si>
  <si>
    <t>HCMC</t>
  </si>
  <si>
    <t>Tran</t>
  </si>
  <si>
    <t>2023-09-27 08:34:17Z</t>
  </si>
  <si>
    <t>Trung Tien</t>
  </si>
  <si>
    <t>2023-09-27 05:05:39Z</t>
  </si>
  <si>
    <t>'+84936233944</t>
  </si>
  <si>
    <t>63c763ff-231e-43cb-bd54-5cf76226dd22</t>
  </si>
  <si>
    <t>Suite/Floor</t>
  </si>
  <si>
    <t>smtp:tien.trantrung@mapcoid.onmicrosoft.com+smtp:tien.trantrung@map.co.id+SMTP:tien.trantrung@mapactive.vn</t>
  </si>
  <si>
    <t>77 Tran Nhan Ton</t>
  </si>
  <si>
    <t>2023-03-23 03:50:54Z</t>
  </si>
  <si>
    <t>hieu.trantrung</t>
  </si>
  <si>
    <t>hieu.trantrung@map.co.id</t>
  </si>
  <si>
    <t>hieu.tr</t>
  </si>
  <si>
    <t>Tran Trung Hieu</t>
  </si>
  <si>
    <t>2023-09-07 04:59:02Z</t>
  </si>
  <si>
    <t>5d878c61-c2e5-4646-97d6-b1a00fe80724</t>
  </si>
  <si>
    <t>SMTP:hieu.trantrung@mapactive.vn+smtp:hieu.trantrung@map.co.id</t>
  </si>
  <si>
    <t>quynh.tranthilam</t>
  </si>
  <si>
    <t>quynh.tranthilam@map.co.id</t>
  </si>
  <si>
    <t>quynh.tranthilam@mapactive.vn</t>
  </si>
  <si>
    <t>quynh.t</t>
  </si>
  <si>
    <t>Tran Thilam Quynh</t>
  </si>
  <si>
    <t>2023-05-15 03:15:43Z</t>
  </si>
  <si>
    <t>e290876f-d91a-4c75-80e9-5f6ddb7df0bd</t>
  </si>
  <si>
    <t>SMTP:quynh.tranthilam@mapactive.vn+smtp:quynh.tranthilam@map.co.id</t>
  </si>
  <si>
    <t>2022-11-09 10:11:42Z</t>
  </si>
  <si>
    <t>User resigned but the MD Team need to keep the account until end of 2023</t>
  </si>
  <si>
    <t>my.tranthitoan</t>
  </si>
  <si>
    <t>my.tranthitoan@map.co.id</t>
  </si>
  <si>
    <t>my.tran</t>
  </si>
  <si>
    <t>2023-09-22 02:34:03Z</t>
  </si>
  <si>
    <t>2023-09-22 02:28:38Z</t>
  </si>
  <si>
    <t>316cd375-7e59-49b2-9208-c533e96f581a</t>
  </si>
  <si>
    <t>smtp:my.tranthitoan@map.co.id+smtp:my.tranthitoan@mapcoid.onmicrosoft.com+SMTP:my.tranthitoan@mapactive.vn</t>
  </si>
  <si>
    <t>MERCHANDISER</t>
  </si>
  <si>
    <t>2023-03-23 04:35:05Z</t>
  </si>
  <si>
    <t>Tuyet.tranthikim</t>
  </si>
  <si>
    <t>Tuyet.tranthikim@map.co.id</t>
  </si>
  <si>
    <t>Tuyet.t</t>
  </si>
  <si>
    <t>Tran Thi Kim Tuyet</t>
  </si>
  <si>
    <t>2023-09-07 14:04:53Z</t>
  </si>
  <si>
    <t>Thi Kim Tuyet</t>
  </si>
  <si>
    <t>2023-09-07 13:59:47Z</t>
  </si>
  <si>
    <t>0712b76f-30d5-4117-8347-5bd651e3f95f</t>
  </si>
  <si>
    <t>smtp:Tuyet.tranthikim@mapcoid.onmicrosoft.com+smtp:Tuyet.tranthikim@map.co.id+SMTP:Tuyet.tranthikim@mapactive.vn</t>
  </si>
  <si>
    <t>huong.tranquocthien</t>
  </si>
  <si>
    <t>huong.tranquocthien@map.co.id</t>
  </si>
  <si>
    <t>2023-09-26 05:33:48Z</t>
  </si>
  <si>
    <t>07c48286-67f0-4bc8-ba04-7135ba9b68d7</t>
  </si>
  <si>
    <t>SMTP:huong.tranquocthien@mapactive.vn+smtp:huong.tranquocthien@map.co.id</t>
  </si>
  <si>
    <t>User resigned but BOD need to keep the account until have replacement</t>
  </si>
  <si>
    <t>dat.tranquoc</t>
  </si>
  <si>
    <t>dat.tranquoc@map.co.id</t>
  </si>
  <si>
    <t>dat.tra</t>
  </si>
  <si>
    <t>2023-05-22 02:24:56Z</t>
  </si>
  <si>
    <t>2021ce41-2b01-4a63-b006-21106a35b59e</t>
  </si>
  <si>
    <t>SMTP:dat.tranquoc@mapactive.vn+smtp:dat.tranquoc@map.co.id</t>
  </si>
  <si>
    <t>2022-11-09 10:11:29Z</t>
  </si>
  <si>
    <t>Dien.Tranduy</t>
  </si>
  <si>
    <t>Dien.Tranduy@map.co.id</t>
  </si>
  <si>
    <t>Dien.Tranduy@mapactive.vn</t>
  </si>
  <si>
    <t>Dien.Tr</t>
  </si>
  <si>
    <t>VN-MAA</t>
  </si>
  <si>
    <t>2023-09-01 09:16:44Z</t>
  </si>
  <si>
    <t>Duy Dien</t>
  </si>
  <si>
    <t>2023-08-30 03:28:28Z</t>
  </si>
  <si>
    <t>f0bb0154-9c95-4007-b50b-6581f35b5270</t>
  </si>
  <si>
    <t>smtp:Dien.Tranduy@mapcoid.onmicrosoft.com+smtp:Dien.Tranduy@map.co.id+SMTP:Dien.Tranduy@mapactive.vn</t>
  </si>
  <si>
    <t>Inventory Control Executive</t>
  </si>
  <si>
    <t>2023-06-02 02:16:43Z</t>
  </si>
  <si>
    <t>tram.phamthibao</t>
  </si>
  <si>
    <t>tram.phamthibao@map.co.id</t>
  </si>
  <si>
    <t>tram.phamthibao@mapactive.vn</t>
  </si>
  <si>
    <t>tram.ph</t>
  </si>
  <si>
    <t>Tram Phamthibao</t>
  </si>
  <si>
    <t>2023-08-28 02:47:20Z</t>
  </si>
  <si>
    <t>ad938668-ff7d-4098-bf90-ef2122c3365e</t>
  </si>
  <si>
    <t>SMTP:TRAM.PHAMTHIBAO@mapactive.vn+smtp:tram.phamthibao@map.co.id</t>
  </si>
  <si>
    <t>tram.duongthibao</t>
  </si>
  <si>
    <t>tram.duongthibao@map.co.id</t>
  </si>
  <si>
    <t>tram.du</t>
  </si>
  <si>
    <t>Tram Duongthibao</t>
  </si>
  <si>
    <t>2023-07-05 07:33:56Z</t>
  </si>
  <si>
    <t>90f6102e-5a84-4e71-97da-32f9a54fb34c</t>
  </si>
  <si>
    <t>SMTP:TRAM.DUONGTHIBAO@mapactive.vn+smtp:tram.duongthibao@map.co.id</t>
  </si>
  <si>
    <t>tra.tru</t>
  </si>
  <si>
    <t>Tra Truong Vantin</t>
  </si>
  <si>
    <t>2023-10-05 08:15:38Z</t>
  </si>
  <si>
    <t>836a97ad-36e0-4b71-a4c6-84240622c79e</t>
  </si>
  <si>
    <t>smtp:tra.truongvantin@mapcoid.onmicrosoft.com+SMTP:tra.truongvantin@mapactive.vn</t>
  </si>
  <si>
    <t>2022-12-16 03:08:20Z</t>
  </si>
  <si>
    <t>phung.tietnha</t>
  </si>
  <si>
    <t>phung.tietnha@map.co.id</t>
  </si>
  <si>
    <t>phung.t</t>
  </si>
  <si>
    <t>2023-09-26 03:16:23Z</t>
  </si>
  <si>
    <t>ff2e8b2d-b727-46d1-aba9-6f5496295c3c</t>
  </si>
  <si>
    <t>SMTP:phung.tietnha@mapactive.vn+smtp:phung.tietnha@map.co.id</t>
  </si>
  <si>
    <t>2022-11-09 10:11:41Z</t>
  </si>
  <si>
    <t>thy.nguyenhoanganh</t>
  </si>
  <si>
    <t>thy.nguyenhoanganh@map.co.id</t>
  </si>
  <si>
    <t>thy.ngu</t>
  </si>
  <si>
    <t>THY NGUYENHOANGANH</t>
  </si>
  <si>
    <t>2023-10-06 07:22:43Z</t>
  </si>
  <si>
    <t>e7525583-6278-44cf-bff5-8e122364714d</t>
  </si>
  <si>
    <t>SMTP:thy.nguyenhoanganh@mapactive.vn+smtp:thy.nguyenhoanganh@map.co.id</t>
  </si>
  <si>
    <t>2022-11-24 10:56:07Z</t>
  </si>
  <si>
    <t>thuy.dangtranthu</t>
  </si>
  <si>
    <t>thuy.dangtranthu@map.co.id</t>
  </si>
  <si>
    <t>thuy.da</t>
  </si>
  <si>
    <t>Thuy Dangtranthu</t>
  </si>
  <si>
    <t>Thuy</t>
  </si>
  <si>
    <t>Dangtranthu</t>
  </si>
  <si>
    <t>2022-12-07 04:58:08Z</t>
  </si>
  <si>
    <t>1e975995-9967-49cc-8204-bdc6f3ff7d86</t>
  </si>
  <si>
    <t>smtp:THUY.DANGTRANTHU@mapactive.vn+SMTP:thuy.dangtranthu@map.co.id</t>
  </si>
  <si>
    <t>nghia.thoihuu</t>
  </si>
  <si>
    <t>nghia.thoihuu@map.co.id</t>
  </si>
  <si>
    <t>nghia.t</t>
  </si>
  <si>
    <t>2023-08-16 03:21:41Z</t>
  </si>
  <si>
    <t>3260003f-5829-4a68-a728-9917a959fac3</t>
  </si>
  <si>
    <t>SMTP:nghia.thoihuu@mapactive.vn+smtp:nghia.thoihuu@map.co.id</t>
  </si>
  <si>
    <t>nguyen.thieu</t>
  </si>
  <si>
    <t>nguyen.</t>
  </si>
  <si>
    <t>Thieu Gia Nguyen - Logs Coordinator DSV VN</t>
  </si>
  <si>
    <t>Nguyen</t>
  </si>
  <si>
    <t>Thieu</t>
  </si>
  <si>
    <t>2023-01-31 04:51:17Z</t>
  </si>
  <si>
    <t>d856ebc9-5286-49ba-9f65-ad7f64e3dc1e</t>
  </si>
  <si>
    <t>smtp:nguyen.thieu@mapcoid.onmicrosoft.com+SMTP:nguyen.thieu@mapactive.vn</t>
  </si>
  <si>
    <t>2023-01-26 13:38:59Z</t>
  </si>
  <si>
    <t>thang.nguyennam</t>
  </si>
  <si>
    <t>thang.nguyennam@map.co.id</t>
  </si>
  <si>
    <t>thang.n</t>
  </si>
  <si>
    <t>Thang Nguyennam</t>
  </si>
  <si>
    <t>2023-09-19 07:32:10Z</t>
  </si>
  <si>
    <t>5c9806e2-fdb7-4902-bb31-96f5a7733ba2</t>
  </si>
  <si>
    <t>SMTP:THANG.NGUYENNAM@mapactive.vn+smtp:thang.nguyennam@map.co.id</t>
  </si>
  <si>
    <t>syed.umairhassan</t>
  </si>
  <si>
    <t>syed.umairhassan@map.co.id</t>
  </si>
  <si>
    <t>syed.um</t>
  </si>
  <si>
    <t>Syed</t>
  </si>
  <si>
    <t>2023-09-01 09:16:40Z</t>
  </si>
  <si>
    <t>Umair Hassan</t>
  </si>
  <si>
    <t>2023-03-17 10:55:32Z</t>
  </si>
  <si>
    <t>0d9690f9-4e77-4ef3-9ede-0c5fb169f347</t>
  </si>
  <si>
    <t>smtp:syed.umairhassan@mapcoid.onmicrosoft.com+smtp:syed.umairhassan@map.co.id+SMTP:syed.umairhassan@mapactive.vn</t>
  </si>
  <si>
    <t>GM Mechandise</t>
  </si>
  <si>
    <t>2023-03-17 10:57:52Z</t>
  </si>
  <si>
    <t>son.huynhngoc</t>
  </si>
  <si>
    <t>son.huynhngoc@map.co.id</t>
  </si>
  <si>
    <t>son.huy</t>
  </si>
  <si>
    <t>Son Huynhngoc</t>
  </si>
  <si>
    <t>2023-09-22 07:56:06Z</t>
  </si>
  <si>
    <t>b42cd351-b261-4928-814c-21a1902532f1</t>
  </si>
  <si>
    <t>SMTP:SON.HUYNHNGOC@mapactive.vn+smtp:son.huynhngoc@map.co.id</t>
  </si>
  <si>
    <t>quynh.phungnhu</t>
  </si>
  <si>
    <t>quynh.phungnhu@map.co.id</t>
  </si>
  <si>
    <t>quynh.p</t>
  </si>
  <si>
    <t>Quynh Phungnhu</t>
  </si>
  <si>
    <t>2023-04-17 06:58:27Z</t>
  </si>
  <si>
    <t>70944c10-d842-4794-8fa6-32bd9e960a4a</t>
  </si>
  <si>
    <t>smtp:quynh.phungnhu@map.co.id+SMTP:quynh.phungnhu@mapactive.vn</t>
  </si>
  <si>
    <t>quynh.mainguyendiem</t>
  </si>
  <si>
    <t>quynh.mainguyendiem@map.co.id</t>
  </si>
  <si>
    <t>quynh.m</t>
  </si>
  <si>
    <t>Quynh Mainguyendiem</t>
  </si>
  <si>
    <t>2023-10-03 10:57:21Z</t>
  </si>
  <si>
    <t>86f0c49d-98c6-48dc-9386-dd036ed8bd93</t>
  </si>
  <si>
    <t>SMTP:QUYNH.MAINGUYENDIEM@mapactive.vn+smtp:quynh.mainguyendiem@map.co.id</t>
  </si>
  <si>
    <t>them.quanthanh</t>
  </si>
  <si>
    <t>them.quanthanh@map.co.id</t>
  </si>
  <si>
    <t>them.qu</t>
  </si>
  <si>
    <t>2023-09-26 04:51:55Z</t>
  </si>
  <si>
    <t>2023-09-25 10:38:04Z</t>
  </si>
  <si>
    <t>509d63e8-0f62-4b32-87f8-d9d02ba6e994</t>
  </si>
  <si>
    <t>smtp:them.quanthanh@mapcoid.onmicrosoft.com+smtp:them.quanthanh@map.co.id+SMTP:them.quanthanh@mapactive.vn</t>
  </si>
  <si>
    <t>2022-11-09 10:11:46Z</t>
  </si>
  <si>
    <t>Phuong.pm</t>
  </si>
  <si>
    <t>Phuong.pm@map.co.id</t>
  </si>
  <si>
    <t>Phuong.pm@mapactive.vn</t>
  </si>
  <si>
    <t>Phuong.</t>
  </si>
  <si>
    <t>MAP Vietnam</t>
  </si>
  <si>
    <t>Phung Mai Phuong</t>
  </si>
  <si>
    <t>Phuong</t>
  </si>
  <si>
    <t>Mai Phung</t>
  </si>
  <si>
    <t>2023-08-14 03:53:10Z</t>
  </si>
  <si>
    <t>a6e26915-cfad-473d-abc0-1b546495f9e4</t>
  </si>
  <si>
    <t>smtp:Phuong.pm@mapactive.vn+SMTP:Phuong.pm@map.co.id+smtp:Phuong.pm@mapcoid.onmicrosoft.com</t>
  </si>
  <si>
    <t>Procurement &amp; GA Supervisor</t>
  </si>
  <si>
    <t>2023-02-01 05:09:35Z</t>
  </si>
  <si>
    <t>tien.phanthithuy</t>
  </si>
  <si>
    <t>tien.phanthithuy@map.co.id</t>
  </si>
  <si>
    <t>tien.ph</t>
  </si>
  <si>
    <t>Phan Thi Thuy Tien</t>
  </si>
  <si>
    <t>Phan</t>
  </si>
  <si>
    <t>2023-09-01 09:17:29Z</t>
  </si>
  <si>
    <t>Thi Thuy Tien</t>
  </si>
  <si>
    <t>2023-05-05 10:28:18Z</t>
  </si>
  <si>
    <t>c8f74d12-b493-4acd-a7da-4945a58b3e00</t>
  </si>
  <si>
    <t>smtp:Tien.Phanthithuy@mapcoid.onmicrosoft.com+smtp:Tien.Phanthithuy@mapactive.vn+SMTP:Tien.Phanthithuy@map.co.id</t>
  </si>
  <si>
    <t>2023-05-05 10:44:57Z</t>
  </si>
  <si>
    <t>User resigned but Need to keep until Kelvin confirm</t>
  </si>
  <si>
    <t>Phong.Phanhoai</t>
  </si>
  <si>
    <t>Phong.Phanhoai@map.co.id</t>
  </si>
  <si>
    <t>Phong.Phanhoai@mapactive.vn</t>
  </si>
  <si>
    <t>Phong.P</t>
  </si>
  <si>
    <t>Marketing Department</t>
  </si>
  <si>
    <t>Hoai Phong</t>
  </si>
  <si>
    <t>2023-06-02 02:01:16Z</t>
  </si>
  <si>
    <t>6fdf4b46-1d03-44b3-b92a-5f1b9161adef</t>
  </si>
  <si>
    <t>smtp:Phong.Phanhoai@mapcoid.onmicrosoft.com+smtp:Phong.Phanhoai@map.co.id+SMTP:Phong.Phanhoai@mapactive.vn</t>
  </si>
  <si>
    <t>Visual Merchandise Executive</t>
  </si>
  <si>
    <t>tu.phammy</t>
  </si>
  <si>
    <t>tu.phammy@map.co.id</t>
  </si>
  <si>
    <t>tu.pham</t>
  </si>
  <si>
    <t>Phammy Tu</t>
  </si>
  <si>
    <t>2023-09-14 08:05:39Z</t>
  </si>
  <si>
    <t>6efe9316-0edf-4b70-866b-6b90f9f2c55c</t>
  </si>
  <si>
    <t>SMTP:tu.phammy@mapactive.vn+smtp:tu.phammy@map.co.id</t>
  </si>
  <si>
    <t>hieu.phamtrung</t>
  </si>
  <si>
    <t>hieu.ph</t>
  </si>
  <si>
    <t>2023-09-04 17:37:12Z</t>
  </si>
  <si>
    <t>e2b004dd-4287-436d-9a70-36591a3c0b84</t>
  </si>
  <si>
    <t>smtp:hieu.phamtrung@mapcoid.onmicrosoft.com+SMTP:hieu.phamtrung@mapactive.vn</t>
  </si>
  <si>
    <t>2022-12-16 04:21:18Z</t>
  </si>
  <si>
    <t>Dung.Phamthimy</t>
  </si>
  <si>
    <t>Dung.Phamthimy@map.co.id</t>
  </si>
  <si>
    <t>Dung.Phamthimy@mapactive.vn</t>
  </si>
  <si>
    <t>Dung.Ph</t>
  </si>
  <si>
    <t>Pham Thi</t>
  </si>
  <si>
    <t>2023-09-01 09:16:47Z</t>
  </si>
  <si>
    <t>My Dung</t>
  </si>
  <si>
    <t>2023-06-12 04:27:48Z</t>
  </si>
  <si>
    <t>bfbc1123-f8e1-430a-985b-fe3eaf2fcc5b</t>
  </si>
  <si>
    <t>smtp:Dung.Phamthimy@mapcoid.onmicrosoft.com+smtp:Dung.Phamthimy@map.co.id+SMTP:Dung.Phamthimy@mapactive.vn</t>
  </si>
  <si>
    <t>2023-06-12 04:29:55Z</t>
  </si>
  <si>
    <t>thu.pham</t>
  </si>
  <si>
    <t>thu.pha</t>
  </si>
  <si>
    <t>Pham Nguyen Minh Thu - Logs Coordinator DSV VN</t>
  </si>
  <si>
    <t>Thu</t>
  </si>
  <si>
    <t>Pham</t>
  </si>
  <si>
    <t>2023-01-31 04:50:09Z</t>
  </si>
  <si>
    <t>a4470c70-585f-4df0-8308-bd519a4afef3</t>
  </si>
  <si>
    <t>smtp:thu.pham@map.co.id+smtp:thu.pham@mapcoid.onmicrosoft.com+SMTP:thu.pham@mapactive.vn</t>
  </si>
  <si>
    <t>2023-01-25 10:39:30Z</t>
  </si>
  <si>
    <t>ni.ksormahhko</t>
  </si>
  <si>
    <t>ni.ksormahhko@map.co.id</t>
  </si>
  <si>
    <t>ni.ksor</t>
  </si>
  <si>
    <t>2023-09-08 10:22:29Z</t>
  </si>
  <si>
    <t>03bb526b-9e0c-467f-b818-d0b4f122d5bf</t>
  </si>
  <si>
    <t>SMTP:NI.KSORMAHHKO@mapactive.vn+smtp:ni.ksormahhko@map.co.id</t>
  </si>
  <si>
    <t>2022-11-16 09:22:25Z</t>
  </si>
  <si>
    <t>nhung.nguyenhong</t>
  </si>
  <si>
    <t>nhung.nguyenhong@map.co.id</t>
  </si>
  <si>
    <t>nhung.n</t>
  </si>
  <si>
    <t>Nhung Nguyenhong</t>
  </si>
  <si>
    <t>2022-11-18 10:19:49Z</t>
  </si>
  <si>
    <t>1f661b9f-40a7-4e89-8734-1c0fa408f31e</t>
  </si>
  <si>
    <t>SMTP:NHUNG.NGUYENHONG@mapactive.vn+smtp:nhung.nguyenhong@map.co.id</t>
  </si>
  <si>
    <t>nhi.tranthiyen</t>
  </si>
  <si>
    <t>nhi.tranthiyen@map.co.id</t>
  </si>
  <si>
    <t>nhi.tra</t>
  </si>
  <si>
    <t>Nhi Tranthiyen</t>
  </si>
  <si>
    <t>2023-10-03 04:38:02Z</t>
  </si>
  <si>
    <t>5b88505c-9bd6-4657-bbb3-d0c437e96a7a</t>
  </si>
  <si>
    <t>SMTP:NHI.TRANTHIYEN@mapactive.vn+smtp:nhi.tranthiyen@map.co.id</t>
  </si>
  <si>
    <t>Hieu.Nguyenvutrung</t>
  </si>
  <si>
    <t>Hieu.Nguyenvutrung@map.co.id</t>
  </si>
  <si>
    <t>Hieu.Nguyenvutrung@mapactive.vn</t>
  </si>
  <si>
    <t>Hieu.Ng</t>
  </si>
  <si>
    <t>2023-09-01 09:17:25Z</t>
  </si>
  <si>
    <t>2023-08-01 08:37:28Z</t>
  </si>
  <si>
    <t>e2013175-b195-4d3b-8488-b5f17ca3571d</t>
  </si>
  <si>
    <t>smtp:Hieu.Nguyenvutrung@mapcoid.onmicrosoft.com+smtp:Hieu.Nguyenvutrung@map.co.id+SMTP:Hieu.Nguyenvutrung@mapactive.vn</t>
  </si>
  <si>
    <t>Marketing Supervisor</t>
  </si>
  <si>
    <t>2023-08-01 09:04:57Z</t>
  </si>
  <si>
    <t>Nhung.Nguyenthituyet</t>
  </si>
  <si>
    <t>Nhung.Nguyenthituyet@map.co.id</t>
  </si>
  <si>
    <t>Nhung.Nguyenthituyet@mapactive.vn</t>
  </si>
  <si>
    <t>Nhung.N</t>
  </si>
  <si>
    <t>Senior Merchandise Planning</t>
  </si>
  <si>
    <t>Nguyen Thi</t>
  </si>
  <si>
    <t>Tuyet Nhung</t>
  </si>
  <si>
    <t>2023-07-12 10:20:26Z</t>
  </si>
  <si>
    <t>8e8d1a86-6eb8-4571-8bbc-fca1afdd4ab7</t>
  </si>
  <si>
    <t>smtp:Nhung.Nguyenthituyet@mapcoid.onmicrosoft.com+smtp:Nhung.Nguyenthituyet@map.co.id+SMTP:Nhung.Nguyenthituyet@mapactive.vn</t>
  </si>
  <si>
    <t>Planning Department</t>
  </si>
  <si>
    <t>2023-07-12 10:48:22Z</t>
  </si>
  <si>
    <t>mong.nguyenthithuy</t>
  </si>
  <si>
    <t>mong.nguyenthithuy@map.co.id</t>
  </si>
  <si>
    <t>mong.ng</t>
  </si>
  <si>
    <t>2023-09-01 09:16:45Z</t>
  </si>
  <si>
    <t>Thi Thuy Mong</t>
  </si>
  <si>
    <t>2023-04-06 08:57:14Z</t>
  </si>
  <si>
    <t>206e5a72-1984-41f2-872a-fc723a0b2b14</t>
  </si>
  <si>
    <t>smtp:Mong.Nguyenthithuy@mapcoid.onmicrosoft.com+smtp:Mong.Nguyenthithuy@map.co.id+SMTP:Mong.Nguyenthithuy@mapactive.vn</t>
  </si>
  <si>
    <t>2023-04-06 09:13:14Z</t>
  </si>
  <si>
    <t>Qui.Nguyenthi</t>
  </si>
  <si>
    <t>Qui.Nguyenthi@map.co.id</t>
  </si>
  <si>
    <t>Qui.Nguyenthi@mapactive.vn</t>
  </si>
  <si>
    <t>Qui.Ngu</t>
  </si>
  <si>
    <t>2023-09-01 09:17:10Z</t>
  </si>
  <si>
    <t>Thi Qui</t>
  </si>
  <si>
    <t>2023-10-03 10:57:51Z</t>
  </si>
  <si>
    <t>10a4f423-a9a1-4cf7-a773-99fc762973f9</t>
  </si>
  <si>
    <t>smtp:Qui.Nguyenthi@mapcoid.onmicrosoft.com+smtp:Qui.Nguyenthi@map.co.id+SMTP:Qui.Nguyenthi@mapactive.vn</t>
  </si>
  <si>
    <t>2023-05-09 08:20:17Z</t>
  </si>
  <si>
    <t>mai.nguyenthihuynh</t>
  </si>
  <si>
    <t>mai.nguyenthihuynh@map.co.id</t>
  </si>
  <si>
    <t>mai.ngu</t>
  </si>
  <si>
    <t>2023-09-25 10:41:16Z</t>
  </si>
  <si>
    <t>084f75de-4798-463f-98d1-3614b9e08e8c</t>
  </si>
  <si>
    <t>Phone #/Ext #</t>
  </si>
  <si>
    <t>smtp:mai.nguyenthihuynh@mapcoid.onmicrosoft.com+smtp:mai.nguyenthihuynh@map.co.id+SMTP:mai.nguyenthihuynh@mapactive.vn</t>
  </si>
  <si>
    <t>P14-02, Lầu 14, Tòa nhà Lottery, 77 Trần Nhân Tôn, P.9, Quận 5</t>
  </si>
  <si>
    <t>General Accountant</t>
  </si>
  <si>
    <t>2022-11-09 10:11:38Z</t>
  </si>
  <si>
    <t>duong.nguyenthihai</t>
  </si>
  <si>
    <t>duong.n</t>
  </si>
  <si>
    <t>Nguyen Thi Hai Duong</t>
  </si>
  <si>
    <t>Hai Duong</t>
  </si>
  <si>
    <t>2023-04-25 02:18:52Z</t>
  </si>
  <si>
    <t>c139332a-f42f-4935-933b-cd30bc8a2998</t>
  </si>
  <si>
    <t>smtp:duong.nguyenthihai@map.co.id+smtp:duong.nguyenthihai@mapcoid.onmicrosoft.com+SMTP:duong.nguyenthihai@mapactive.vn</t>
  </si>
  <si>
    <t>2023-02-16 07:23:23Z</t>
  </si>
  <si>
    <t>tram.nguyenthibich</t>
  </si>
  <si>
    <t>tram.nguyenthibich@map.co.id</t>
  </si>
  <si>
    <t>tram.ng</t>
  </si>
  <si>
    <t>2023-09-01 09:17:59Z</t>
  </si>
  <si>
    <t>Bich Tram</t>
  </si>
  <si>
    <t>2023-03-02 02:47:38Z</t>
  </si>
  <si>
    <t>feff9fee-86d2-433e-8abc-a73ce40b3e71</t>
  </si>
  <si>
    <t>smtp:tram.nguyenthibich@map.co.id+smtp:tram.nguyenthibich@mapcoid.onmicrosoft.com+SMTP:tram.nguyenthibich@mapactive.vn</t>
  </si>
  <si>
    <t>2023-03-02 02:52:25Z</t>
  </si>
  <si>
    <t>bao.nguyenthanh</t>
  </si>
  <si>
    <t>bao.nguyenthanh@map.co.id</t>
  </si>
  <si>
    <t>bao.ngu</t>
  </si>
  <si>
    <t>Thanh Bao</t>
  </si>
  <si>
    <t>2023-04-03 04:03:55Z</t>
  </si>
  <si>
    <t>39aca830-397e-4313-a85f-e4c1618e7fe2</t>
  </si>
  <si>
    <t>smtp:bao.nguyenthanh@mapcoid.onmicrosoft.com+smtp:bao.nguyenthanh@map.co.id+SMTP:bao.nguyenthanh@mapactive.vn</t>
  </si>
  <si>
    <t>2023-04-03 04:30:40Z</t>
  </si>
  <si>
    <t>thu.nguyenthanhanh</t>
  </si>
  <si>
    <t>thu.nguyenthanhanh@map.co.id</t>
  </si>
  <si>
    <t>thu.ngu</t>
  </si>
  <si>
    <t>2023-09-01 09:16:46Z</t>
  </si>
  <si>
    <t>Thanh Anh Thu</t>
  </si>
  <si>
    <t>2023-06-05 07:32:02Z</t>
  </si>
  <si>
    <t>c317be11-8992-4015-b042-99ce74afacb1</t>
  </si>
  <si>
    <t>smtp:Thu.Nguyenthanhanh@mapcoid.onmicrosoft.com+smtp:Thu.Nguyenthanhanh@map.co.id+SMTP:Thu.Nguyenthanhanh@mapactive.vn</t>
  </si>
  <si>
    <t>Visual Marchandise Manager</t>
  </si>
  <si>
    <t>2023-06-05 07:58:33Z</t>
  </si>
  <si>
    <t>thang.nguyenquyet</t>
  </si>
  <si>
    <t>thang.nguyenquyet@map.co.id</t>
  </si>
  <si>
    <t>2023-09-27 03:43:19Z</t>
  </si>
  <si>
    <t>2023-09-26 09:56:02Z</t>
  </si>
  <si>
    <t>d3882d35-26e1-4c09-80d3-dd4c0216ec76</t>
  </si>
  <si>
    <t>smtp:thang.nguyenquyet@mapcoid.onmicrosoft.com+smtp:thang.nguyenquyet@map.co.id+SMTP:thang.nguyenquyet@mapactive.vn</t>
  </si>
  <si>
    <t>Stock Clerk</t>
  </si>
  <si>
    <t>lan.nguyenphuong</t>
  </si>
  <si>
    <t>lan.ngu</t>
  </si>
  <si>
    <t>phuong lan</t>
  </si>
  <si>
    <t>2023-09-06 10:36:08Z</t>
  </si>
  <si>
    <t>765566ff-2d09-4a48-9bb0-a35b2bd069f6</t>
  </si>
  <si>
    <t>smtp:lan.nguyenphuong@map.co.id+smtp:lan.nguyenphuong@mapcoid.onmicrosoft.com+SMTP:lan.nguyenphuong@mapactive.vn</t>
  </si>
  <si>
    <t>2023-02-16 07:18:08Z</t>
  </si>
  <si>
    <t>thanh.nguyenphuoc</t>
  </si>
  <si>
    <t>thanh.nguyenphuoc@map.co.id</t>
  </si>
  <si>
    <t>thanh.n</t>
  </si>
  <si>
    <t>2023-08-16 07:56:16Z</t>
  </si>
  <si>
    <t>5be17cc0-55d3-48b7-a6de-678787ae052f</t>
  </si>
  <si>
    <t>SMTP:thanh.nguyenphuoc@mapactive.vn+smtp:thanh.nguyenphuoc@map.co.id</t>
  </si>
  <si>
    <t>Quynh.Nguyennhu</t>
  </si>
  <si>
    <t>Quynh.Nguyennhu@map.co.id</t>
  </si>
  <si>
    <t>Quynh.Nguyennhu@mapactive.vn</t>
  </si>
  <si>
    <t>Quynh.N</t>
  </si>
  <si>
    <t>Nguyen Nhu</t>
  </si>
  <si>
    <t>Quynh</t>
  </si>
  <si>
    <t>2023-07-20 07:31:45Z</t>
  </si>
  <si>
    <t>5f1f185f-1afe-4efc-981c-13a7c16926e0</t>
  </si>
  <si>
    <t>smtp:Quynh.Nguyennhu@map.co.id+smtp:Quynh.Nguyennhu@mapcoid.onmicrosoft.com+SMTP:Quynh.Nguyennhu@mapactive.vn</t>
  </si>
  <si>
    <t>2023-07-20 07:52:20Z</t>
  </si>
  <si>
    <t>An.Nguyenhuu</t>
  </si>
  <si>
    <t>An.Nguyenhuu@map.co.id</t>
  </si>
  <si>
    <t>An.Nguyenhuu@mapactive.vn</t>
  </si>
  <si>
    <t>An.Nguy</t>
  </si>
  <si>
    <t>2023-10-04 09:49:21Z</t>
  </si>
  <si>
    <t>Huu An</t>
  </si>
  <si>
    <t>2023-10-04 09:43:46Z</t>
  </si>
  <si>
    <t>aa6320cc-6636-484b-bbc8-950ae712f35a</t>
  </si>
  <si>
    <t>'+84 906993004</t>
  </si>
  <si>
    <t>smtp:An.Nguyenhuu@mapcoid.onmicrosoft.com+smtp:An.Nguyenhuu@map.co.id+SMTP:An.Nguyenhuu@mapactive.vn</t>
  </si>
  <si>
    <t>loan.nguyenhoang</t>
  </si>
  <si>
    <t>loan.ng</t>
  </si>
  <si>
    <t>Hoang Loan</t>
  </si>
  <si>
    <t>2023-07-11 03:16:35Z</t>
  </si>
  <si>
    <t>5fbbe586-1026-4263-8ee1-18e1b8eb8a69</t>
  </si>
  <si>
    <t>smtp:loan.nguyenhoang@map.co.id+SMTP:loan.nguyenhoang@mapactive.vn+smtp:loan.nguyenhoang@mapcoid.onmicrosoft.com</t>
  </si>
  <si>
    <t>2023-02-27 04:23:14Z</t>
  </si>
  <si>
    <t>uyen.nguyenhaphuong</t>
  </si>
  <si>
    <t>uyen.nguyenhaphuong@map.co.id</t>
  </si>
  <si>
    <t>uyen.ng</t>
  </si>
  <si>
    <t>2023-10-07 07:52:06Z</t>
  </si>
  <si>
    <t>e3fce88e-8cc6-440f-9429-cb4ed21ce050</t>
  </si>
  <si>
    <t>SMTP:uyen.nguyenhaphuong@mapactive.vn+smtp:uyen.nguyenhaphuong@map.co.id</t>
  </si>
  <si>
    <t>Ngoc.nguyenduyen</t>
  </si>
  <si>
    <t>Ngoc.nguyenduyen@map.co.id</t>
  </si>
  <si>
    <t>Ngoc.nguyenduyen@mapactive.vn</t>
  </si>
  <si>
    <t>Ngoc.ng</t>
  </si>
  <si>
    <t>Business Development Department</t>
  </si>
  <si>
    <t>2023-09-01 09:17:01Z</t>
  </si>
  <si>
    <t>Duyen Ngoc</t>
  </si>
  <si>
    <t>2023-08-24 09:38:16Z</t>
  </si>
  <si>
    <t>a2235607-980b-4200-9dd8-8b25b3cfcb73</t>
  </si>
  <si>
    <t>smtp:Ngoc.nguyenduyen@mapcoid.onmicrosoft.com+smtp:Ngoc.nguyenduyen@map.co.id+SMTP:Ngoc.nguyenduyen@mapactive.vn</t>
  </si>
  <si>
    <t>2023-08-24 09:46:56Z</t>
  </si>
  <si>
    <t>Hien.Nguyendo</t>
  </si>
  <si>
    <t>Hien.Nguyendo@map.co.id</t>
  </si>
  <si>
    <t>Hien.Nguyendo@mapactive.vn</t>
  </si>
  <si>
    <t>Hien.Ng</t>
  </si>
  <si>
    <t>2023-09-01 09:17:57Z</t>
  </si>
  <si>
    <t>Do Hien</t>
  </si>
  <si>
    <t>2023-07-14 14:00:38Z</t>
  </si>
  <si>
    <t>fcd44d83-4081-400b-9d71-c804388d7840</t>
  </si>
  <si>
    <t>smtp:Hien.Nguyendo@mapcoid.onmicrosoft.com+smtp:Hien.Nguyendo@map.co.id+SMTP:Hien.Nguyendo@mapactive.vn</t>
  </si>
  <si>
    <t>2023-05-22 07:39:42Z</t>
  </si>
  <si>
    <t>tram.ngothibich</t>
  </si>
  <si>
    <t>tram.ngothibich@map.co.id</t>
  </si>
  <si>
    <t>2023-09-13 03:15:46Z</t>
  </si>
  <si>
    <t>033500bd-255f-47e7-a775-6ca2692b1801</t>
  </si>
  <si>
    <t>SMTP:tram.ngothibich@mapactive.vn+smtp:tram.ngothibich@map.co.id</t>
  </si>
  <si>
    <t>ngoc.ngo</t>
  </si>
  <si>
    <t>ngoc.ng</t>
  </si>
  <si>
    <t>Ngoc</t>
  </si>
  <si>
    <t>Ngo</t>
  </si>
  <si>
    <t>2023-01-31 04:50:55Z</t>
  </si>
  <si>
    <t>cca176b8-891b-4f60-bcf2-d017d1fda9ba</t>
  </si>
  <si>
    <t>smtp:ngoc.ngo@map.co.id+smtp:ngoc.ngo@mapcoid.onmicrosoft.com+SMTP:ngoc.ngo@mapactive.vn</t>
  </si>
  <si>
    <t>2023-01-25 10:56:04Z</t>
  </si>
  <si>
    <t>tuan.ngoanh</t>
  </si>
  <si>
    <t>tuan.ngoanh@map.co.id</t>
  </si>
  <si>
    <t>tuan.ng</t>
  </si>
  <si>
    <t>2023-09-26 09:53:51Z</t>
  </si>
  <si>
    <t>c00ad61a-f98a-428c-84b5-9c876d7f3601</t>
  </si>
  <si>
    <t>smtp:tuan.ngoanh@mapcoid.onmicrosoft.com+smtp:tuan.ngoanh@map.co.id+SMTP:tuan.ngoanh@mapactive.vn</t>
  </si>
  <si>
    <t>Sale Assistant</t>
  </si>
  <si>
    <t>nam.dangthanh</t>
  </si>
  <si>
    <t>nam.dangthanh@map.co.id</t>
  </si>
  <si>
    <t>nam.dan</t>
  </si>
  <si>
    <t>Nam Dangthanh</t>
  </si>
  <si>
    <t>2023-09-13 07:15:23Z</t>
  </si>
  <si>
    <t>92352174-f19b-4001-a402-e0197885faf9</t>
  </si>
  <si>
    <t>SMTP:NAM.DANGTHANH@mapactive.vn+smtp:nam.dangthanh@map.co.id</t>
  </si>
  <si>
    <t>my.nguyenthituyet</t>
  </si>
  <si>
    <t>my.nguyenthituyet@map.co.id</t>
  </si>
  <si>
    <t>my.nguy</t>
  </si>
  <si>
    <t>My Nguyenthituyet</t>
  </si>
  <si>
    <t>2023-07-06 03:25:06Z</t>
  </si>
  <si>
    <t>1b85554b-f4cc-4784-9770-f39b6dd35348</t>
  </si>
  <si>
    <t>SMTP:MY.NGUYENTHITUYET@mapactive.vn+smtp:my.nguyenthituyet@map.co.id</t>
  </si>
  <si>
    <t>Hoa.Mailecam</t>
  </si>
  <si>
    <t>Hoa.Mailecam@map.co.id</t>
  </si>
  <si>
    <t>Hoa.Mailecam@mapactive.vn</t>
  </si>
  <si>
    <t>Hoa.Mai</t>
  </si>
  <si>
    <t>Mai Le</t>
  </si>
  <si>
    <t>Cam Hoa</t>
  </si>
  <si>
    <t>2023-07-21 07:50:00Z</t>
  </si>
  <si>
    <t>eb80b882-a562-4c66-bed0-c8389d4f91f1</t>
  </si>
  <si>
    <t>smtp:Hoa.Mailecam@map.co.id+smtp:hoa.mailecam@mapcoid.onmicrosoft.com+SMTP:Hoa.Mailecam@mapactive.vn</t>
  </si>
  <si>
    <t>2022-11-09 10:11:34Z</t>
  </si>
  <si>
    <t>van.luugiangcam</t>
  </si>
  <si>
    <t>van.luugiangcam@map.co.id</t>
  </si>
  <si>
    <t>van.luu</t>
  </si>
  <si>
    <t>2023-09-19 06:26:56Z</t>
  </si>
  <si>
    <t>b5ec60aa-86e6-44fe-a773-e5fbbe672e68</t>
  </si>
  <si>
    <t>SMTP:van.luugiangcam@mapactive.vn+smtp:van.luugiangcam@map.co.id</t>
  </si>
  <si>
    <t>quan.luonghuu</t>
  </si>
  <si>
    <t>quan.luonghuu@map.co.id</t>
  </si>
  <si>
    <t>quan.lu</t>
  </si>
  <si>
    <t>IT INFRASTRUCTURE &amp; OPERATIONS SUPERVISOR</t>
  </si>
  <si>
    <t>2023-09-27 03:43:18Z</t>
  </si>
  <si>
    <t>2023-09-26 09:53:03Z</t>
  </si>
  <si>
    <t>594a10be-db63-4ad7-a336-5789f7d40995</t>
  </si>
  <si>
    <t>smtp:quan.luonghuu@map.co.id+SMTP:quan.luonghuu@mapactive.vn+smtp:quan.luonghuu@mapcoid.onmicrosoft.com</t>
  </si>
  <si>
    <t>IT OFFICER</t>
  </si>
  <si>
    <t>linh.thainhat</t>
  </si>
  <si>
    <t>linh.thainhat@map.co.id</t>
  </si>
  <si>
    <t>linh.th</t>
  </si>
  <si>
    <t>Linh Thainhat</t>
  </si>
  <si>
    <t>2023-09-12 03:51:30Z</t>
  </si>
  <si>
    <t>e97c39f7-f052-40d2-b2eb-b59ddd1a1ad4</t>
  </si>
  <si>
    <t>SMTP:LINH.THAINHAT@mapactive.vn+smtp:linh.thainhat@map.co.id</t>
  </si>
  <si>
    <t>linh.lecam</t>
  </si>
  <si>
    <t>linh.lecam@map.co.id</t>
  </si>
  <si>
    <t>linh.le</t>
  </si>
  <si>
    <t>Lecam Linh</t>
  </si>
  <si>
    <t>2023-08-09 05:01:14Z</t>
  </si>
  <si>
    <t>94e547e8-99cb-45a0-8eea-81bbaf2fe404</t>
  </si>
  <si>
    <t>SMTP:linh.lecam@mapactive.vn+smtp:linh.lecam@map.co.id</t>
  </si>
  <si>
    <t>Minh.Letranthien</t>
  </si>
  <si>
    <t>Minh.Letranthien@map.co.id</t>
  </si>
  <si>
    <t>Minh.Letranthien@mapactive.vn</t>
  </si>
  <si>
    <t>Minh.Le</t>
  </si>
  <si>
    <t>Le Tran</t>
  </si>
  <si>
    <t>Thien Minh</t>
  </si>
  <si>
    <t>2023-07-20 07:46:34Z</t>
  </si>
  <si>
    <t>54115898-7e15-4fe3-92d6-1c266d9faeb9</t>
  </si>
  <si>
    <t>smtp:Minh.Letranthien@mapcoid.onmicrosoft.com+smtp:Minh.Letranthien@map.co.id+SMTP:Minh.Letranthien@mapactive.vn</t>
  </si>
  <si>
    <t>Hong.lethikim</t>
  </si>
  <si>
    <t>Hong.lethikim@map.co.id</t>
  </si>
  <si>
    <t>Hong.le</t>
  </si>
  <si>
    <t>Le</t>
  </si>
  <si>
    <t>Thi Kim Hong</t>
  </si>
  <si>
    <t>2023-09-07 13:57:21Z</t>
  </si>
  <si>
    <t>76bd5a87-14bc-4a7f-9cc2-b7786b8a0df1</t>
  </si>
  <si>
    <t>smtp:Hong.lethikim@mapcoid.onmicrosoft.com+smtp:Hong.lethikim@map.co.id+SMTP:Hong.lethikim@mapactive.vn</t>
  </si>
  <si>
    <t>tuyet.lethianh</t>
  </si>
  <si>
    <t>tuyet.lethianh@map.co.id</t>
  </si>
  <si>
    <t>tuyet.l</t>
  </si>
  <si>
    <t>Le Thi</t>
  </si>
  <si>
    <t>Anh Tuyet</t>
  </si>
  <si>
    <t>2023-07-31 09:01:19Z</t>
  </si>
  <si>
    <t>fe025358-3109-43e8-94b6-2b957030b445</t>
  </si>
  <si>
    <t>smtp:tuyet.lethianh@mapcoid.onmicrosoft.com+smtp:Tuyet.Lethianh@map.co.id+SMTP:Tuyet.Lethianh@mapactive.vn</t>
  </si>
  <si>
    <t>Duyen.Lethanh</t>
  </si>
  <si>
    <t>Duyen.Lethanh@map.co.id</t>
  </si>
  <si>
    <t>Duyen.Lethanh@mapactive.vn</t>
  </si>
  <si>
    <t>Duyen.L</t>
  </si>
  <si>
    <t>Le Thanh</t>
  </si>
  <si>
    <t>Duyen</t>
  </si>
  <si>
    <t>2023-08-02 07:47:05Z</t>
  </si>
  <si>
    <t>22514a96-7158-436c-86db-8df2fb5f0513</t>
  </si>
  <si>
    <t>smtp:Duyen.Lethanh@mapcoid.onmicrosoft.com+smtp:Duyen.Lethanh@map.co.id+SMTP:Duyen.Lethanh@mapactive.vn</t>
  </si>
  <si>
    <t>Marketing Departmen</t>
  </si>
  <si>
    <t>2023-08-02 07:49:31Z</t>
  </si>
  <si>
    <t>linh.lengocmy</t>
  </si>
  <si>
    <t>linh.lengocmy@map.co.id</t>
  </si>
  <si>
    <t>HO CHI MINH CITY</t>
  </si>
  <si>
    <t>2023-07-10 03:58:35Z</t>
  </si>
  <si>
    <t>635373f3-244b-409d-805f-bd482a727241</t>
  </si>
  <si>
    <t>OFFICE</t>
  </si>
  <si>
    <t>smtp:linh.lengocmy@map.co.id+smtp:linh.lengocmy@mapcoid.onmicrosoft.com+SMTP:linh.lengocmy@mapactive.vn</t>
  </si>
  <si>
    <t>Magna Management Asia (MMA) Co., LTD Unit 14-02, 14th Floor, Lottery Tower 77 Tran Nhan Ton, Ward 9, District 5, HCMC</t>
  </si>
  <si>
    <t>2023-02-03 07:26:01Z</t>
  </si>
  <si>
    <t>Huan.Lenam</t>
  </si>
  <si>
    <t>Huan.Lenam@map.co.id</t>
  </si>
  <si>
    <t>Huan.Lenam@mapactive.vn</t>
  </si>
  <si>
    <t>Huan.Le</t>
  </si>
  <si>
    <t>2023-09-01 09:17:19Z</t>
  </si>
  <si>
    <t>2023-07-13 02:59:12Z</t>
  </si>
  <si>
    <t>b9496ab1-224f-4c6f-8059-b4289c866a59</t>
  </si>
  <si>
    <t>smtp:Huan.Lenam@mapcoid.onmicrosoft.com+smtp:Huan.Lenam@map.co.id+SMTP:Huan.Lenam@mapactive.vn</t>
  </si>
  <si>
    <t>2023-07-13 03:19:20Z</t>
  </si>
  <si>
    <t>duy.lehuynh</t>
  </si>
  <si>
    <t>duy.lehuynh@map.co.id</t>
  </si>
  <si>
    <t>duy.leh</t>
  </si>
  <si>
    <t>Merchandise Dept</t>
  </si>
  <si>
    <t>Le Huynh Duy</t>
  </si>
  <si>
    <t>2023-07-04 03:31:04Z</t>
  </si>
  <si>
    <t>8790f16d-9d54-4c65-b989-f2cd2b2df711</t>
  </si>
  <si>
    <t>smtp:duy.lehuynh@mapcoid.onmicrosoft.com+smtp:duy.lehuynh@map.co.id+SMTP:duy.lehuynh@mapactive.vn</t>
  </si>
  <si>
    <t>Senior Merchandiser</t>
  </si>
  <si>
    <t>2023-07-04 03:57:21Z</t>
  </si>
  <si>
    <t>dai.lamhoangphuoc</t>
  </si>
  <si>
    <t>dai.lamhoangphuoc@map.co.id</t>
  </si>
  <si>
    <t>dai.lam</t>
  </si>
  <si>
    <t>2023-07-10 02:09:15Z</t>
  </si>
  <si>
    <t>06ba1b74-bbdc-4c6e-b1f5-cd01ffa7cf3a</t>
  </si>
  <si>
    <t>SMTP:dai.lamhoangphuoc@mapactive.vn+smtp:dai.lamhoangphuoc@map.co.id</t>
  </si>
  <si>
    <t>Trang.Khongthithuy</t>
  </si>
  <si>
    <t>Trang.Khongthithuy@map.co.id</t>
  </si>
  <si>
    <t>Trang.Khongthithuy@mapactive.vn</t>
  </si>
  <si>
    <t>Trang.K</t>
  </si>
  <si>
    <t>Khong Thi</t>
  </si>
  <si>
    <t>2023-09-01 09:17:18Z</t>
  </si>
  <si>
    <t>Thuy Trang</t>
  </si>
  <si>
    <t>2023-06-27 08:03:53Z</t>
  </si>
  <si>
    <t>4ee1922c-0daf-433e-8db0-c94b9a302a9e</t>
  </si>
  <si>
    <t>smtp:Trang.Khongthithuy@map.co.id+smtp:Trang.Khongthithuy@mapcoid.onmicrosoft.com+SMTP:Trang.Khongthithuy@mapactive.vn</t>
  </si>
  <si>
    <t>2023-06-27 08:16:13Z</t>
  </si>
  <si>
    <t>khoa.trandanganh</t>
  </si>
  <si>
    <t>khoa.trandanganh@map.co.id</t>
  </si>
  <si>
    <t>khoa.tr</t>
  </si>
  <si>
    <t>Khoa Trandanganh</t>
  </si>
  <si>
    <t>2023-09-19 08:59:02Z</t>
  </si>
  <si>
    <t>da0fd7b9-16d6-42dd-ad45-52e327558c73</t>
  </si>
  <si>
    <t>SMTP:KHOA.TRANDANGANH@mapactive.vn+smtp:khoa.trandanganh@map.co.id</t>
  </si>
  <si>
    <t>khang.leminh</t>
  </si>
  <si>
    <t>khang.leminh@map.co.id</t>
  </si>
  <si>
    <t>khang.leminh@mapactive.vn</t>
  </si>
  <si>
    <t>khang.l</t>
  </si>
  <si>
    <t>Khang Leminh</t>
  </si>
  <si>
    <t>2023-07-05 05:32:00Z</t>
  </si>
  <si>
    <t>35a90540-2548-4a46-8070-aead7fb1f189</t>
  </si>
  <si>
    <t>SMTP:KHANG.LEMINH@mapactive.vn+smtp:khang.leminh@map.co.id</t>
  </si>
  <si>
    <t>nhan.huynhtuan</t>
  </si>
  <si>
    <t>nhan.huynhtuan@map.co.id</t>
  </si>
  <si>
    <t>nhan.hu</t>
  </si>
  <si>
    <t>Huynh</t>
  </si>
  <si>
    <t>Tuan Nhan</t>
  </si>
  <si>
    <t>2023-08-09 11:30:15Z</t>
  </si>
  <si>
    <t>0edd60fe-867a-45e3-8daf-2408cd3c62b0</t>
  </si>
  <si>
    <t>smtp:nhan.huynhtuan@mapcoid.onmicrosoft.com+smtp:nhan.huynhtuan@map.co.id+SMTP:nhan.huynhtuan@mapactive.vn</t>
  </si>
  <si>
    <t>2023-03-17 07:38:44Z</t>
  </si>
  <si>
    <t>Trang.Huynhthimy</t>
  </si>
  <si>
    <t>Trang.Huynhthimy@map.co.id</t>
  </si>
  <si>
    <t>Trang.Huynhthimy@mapactive.vn</t>
  </si>
  <si>
    <t>Trang.H</t>
  </si>
  <si>
    <t>Huynh Thi</t>
  </si>
  <si>
    <t>My Trang</t>
  </si>
  <si>
    <t>2023-10-03 10:58:21Z</t>
  </si>
  <si>
    <t>16101bca-75bb-49a2-833d-957b9c3bcc61</t>
  </si>
  <si>
    <t>smtp:trang.huynhthimy@mapcoid.onmicrosoft.com+smtp:Trang.Huynhthimy@map.co.id+SMTP:Trang.Huynhthimy@mapactive.vn</t>
  </si>
  <si>
    <t>dung.huynhkim</t>
  </si>
  <si>
    <t>dung.huynhkim@map.co.id</t>
  </si>
  <si>
    <t>dung.hu</t>
  </si>
  <si>
    <t>Brand department</t>
  </si>
  <si>
    <t>2023-09-01 09:17:02Z</t>
  </si>
  <si>
    <t>Kim Dung</t>
  </si>
  <si>
    <t>2023-08-18 09:06:52Z</t>
  </si>
  <si>
    <t>4ef51a59-225a-4b1b-8cbe-67bb947bcc53</t>
  </si>
  <si>
    <t>smtp:dung.huynhkim@mapcoid.onmicrosoft.com+smtp:dung.huynhkim@map.co.id+SMTP:dung.huynhkim@mapactive.vn</t>
  </si>
  <si>
    <t>2023-08-18 09:21:21Z</t>
  </si>
  <si>
    <t>huy.nguyenquoc</t>
  </si>
  <si>
    <t>huy.nguyenquoc@map.co.id</t>
  </si>
  <si>
    <t>huy.ngu</t>
  </si>
  <si>
    <t>Huy Nguyenquoc</t>
  </si>
  <si>
    <t>2023-07-12 15:36:39Z</t>
  </si>
  <si>
    <t>4876f3d8-da69-432f-921d-da6221e3be70</t>
  </si>
  <si>
    <t>SMTP:HUY.NGUYENQUOC@mapactive.vn+smtp:huy.nguyenquoc@map.co.id</t>
  </si>
  <si>
    <t>hoang.phanbao</t>
  </si>
  <si>
    <t>hoang.phanbao@map.co.id</t>
  </si>
  <si>
    <t>hoang.p</t>
  </si>
  <si>
    <t>Hoang Phanbao</t>
  </si>
  <si>
    <t>2022-11-21 07:41:36Z</t>
  </si>
  <si>
    <t>af843b92-34b7-49a9-bdfa-ec8e5bddcf23</t>
  </si>
  <si>
    <t>SMTP:HOANG.PHANBAO@mapactive.vn+smtp:hoang.phanbao@map.co.id</t>
  </si>
  <si>
    <t>khen.hoanghong</t>
  </si>
  <si>
    <t>khen.hoanghong@map.co.id</t>
  </si>
  <si>
    <t>khen.ho</t>
  </si>
  <si>
    <t>2023-09-11 11:26:08Z</t>
  </si>
  <si>
    <t>2023-08-25 04:16:09Z</t>
  </si>
  <si>
    <t>5dad9afe-1db2-4825-9432-281b7db3a31b</t>
  </si>
  <si>
    <t>smtp:khen.hoanghong@mapcoid.onmicrosoft.com+smtp:khen.hoanghong@map.co.id+SMTP:khen.hoanghong@mapactive.vn</t>
  </si>
  <si>
    <t>Marketing Communication Manager</t>
  </si>
  <si>
    <t>2022-11-09 10:11:37Z</t>
  </si>
  <si>
    <t>ha.dangthivan</t>
  </si>
  <si>
    <t>ha.dang</t>
  </si>
  <si>
    <t>Ha Dangthivan</t>
  </si>
  <si>
    <t>Ha</t>
  </si>
  <si>
    <t>Dangthivan</t>
  </si>
  <si>
    <t>2023-04-18 04:50:28Z</t>
  </si>
  <si>
    <t>e8a5f748-ff63-494c-9caf-03f2eddae9f9</t>
  </si>
  <si>
    <t>smtp:ha.dangthivan@mapcoid.onmicrosoft.com+SMTP:ha.dangthivan@mapactive.vn</t>
  </si>
  <si>
    <t>2022-12-27 02:50:50Z</t>
  </si>
  <si>
    <t>giang.nguyenthiquynh</t>
  </si>
  <si>
    <t>giang.nguyenthiquynh@mapactive.vn</t>
  </si>
  <si>
    <t>giang.n</t>
  </si>
  <si>
    <t>GIANG NGUYENTHIQUYNH</t>
  </si>
  <si>
    <t>2023-01-18 00:58:35Z</t>
  </si>
  <si>
    <t>a1c25b4f-7afd-4cab-bbbc-ef42465f033e</t>
  </si>
  <si>
    <t>SMTP:giang.nguyenthiquynh@mapactive.vn+smtp:giang.nguyenthiquynh@map.co.id</t>
  </si>
  <si>
    <t>User resigned but need to keep until end of Oct-2023</t>
  </si>
  <si>
    <t>duyen.nguyenngocxuan</t>
  </si>
  <si>
    <t>duyen.nguyenngocxuan@map.co.id</t>
  </si>
  <si>
    <t>duyen.n</t>
  </si>
  <si>
    <t>Duyen Nguyenngocxuan</t>
  </si>
  <si>
    <t>2023-09-19 08:34:52Z</t>
  </si>
  <si>
    <t>9033a590-9a5b-4f81-866e-da30d4760b02</t>
  </si>
  <si>
    <t>SMTP:DUYEN.NGUYENNGOCXUAN@mapactive.vn+smtp:duyen.nguyenngocxuan@map.co.id</t>
  </si>
  <si>
    <t>diep.nguyenduyanh</t>
  </si>
  <si>
    <t>diep.nguyenduyanh@map.co.id</t>
  </si>
  <si>
    <t>diep.nguyenduyanh@mapactive.vn</t>
  </si>
  <si>
    <t>diep.ng</t>
  </si>
  <si>
    <t>DIEP NGUYENDUYANH</t>
  </si>
  <si>
    <t>2022-12-02 03:11:52Z</t>
  </si>
  <si>
    <t>77cd2f6e-18e4-4bf7-9961-a6bbbb9df1e1</t>
  </si>
  <si>
    <t>SMTP:diep.nguyenduyanh@mapactive.vn+smtp:diep.nguyenduyanh@map.co.id</t>
  </si>
  <si>
    <t>darryl.peacock</t>
  </si>
  <si>
    <t>darryl.</t>
  </si>
  <si>
    <t>Darryl Peacock</t>
  </si>
  <si>
    <t>2023-10-02 11:51:49Z</t>
  </si>
  <si>
    <t>52b69bc3-f9e4-412c-b28d-00451986c394</t>
  </si>
  <si>
    <t>smtp:darryl.peacock@map.co.id+SMTP:darryl.peacock@mapactive.vn</t>
  </si>
  <si>
    <t>Le.Daothihong</t>
  </si>
  <si>
    <t>Le.Daothihong@map.co.id</t>
  </si>
  <si>
    <t>Le.Daothihong@mapactive.vn</t>
  </si>
  <si>
    <t>Le.Daot</t>
  </si>
  <si>
    <t>Dao Thi</t>
  </si>
  <si>
    <t>2023-09-01 09:17:56Z</t>
  </si>
  <si>
    <t>Hong Le</t>
  </si>
  <si>
    <t>2023-05-13 18:29:22Z</t>
  </si>
  <si>
    <t>b72ae79e-7e0c-4d04-9e1c-8b90db03b48f</t>
  </si>
  <si>
    <t>smtp:Le.Daothihong@mapcoid.onmicrosoft.com+smtp:Le.Daothihong@map.co.id+SMTP:Le.Daothihong@mapactive.vn</t>
  </si>
  <si>
    <t>2023-05-13 18:48:13Z</t>
  </si>
  <si>
    <t>huy.daoduc</t>
  </si>
  <si>
    <t>huy.daoduc@map.co.id</t>
  </si>
  <si>
    <t>huy.daoduc@mapactive.vn</t>
  </si>
  <si>
    <t>huy.dao</t>
  </si>
  <si>
    <t>ho chi minh</t>
  </si>
  <si>
    <t>Dao Duc Huy</t>
  </si>
  <si>
    <t>Dao</t>
  </si>
  <si>
    <t>2023-09-29 07:56:37Z</t>
  </si>
  <si>
    <t>2023-09-29 07:29:53Z</t>
  </si>
  <si>
    <t>c50ab73a-654b-4b75-9a15-3406ffd356d1</t>
  </si>
  <si>
    <t>smtp:huy.daoduc@map.co.id+SMTP:huy.daoduc@mapactive.vn+smtp:huy.daoduc@mapcoid.onmicrosoft.com</t>
  </si>
  <si>
    <t>77 tran nhan ton</t>
  </si>
  <si>
    <t>Area Manager South</t>
  </si>
  <si>
    <t>2023-07-04 03:27:22Z</t>
  </si>
  <si>
    <t>danh.huynhmy</t>
  </si>
  <si>
    <t>danh.huynhmy@map.co.id</t>
  </si>
  <si>
    <t>danh.hu</t>
  </si>
  <si>
    <t>Danh Huynhmy</t>
  </si>
  <si>
    <t>2023-09-13 08:44:01Z</t>
  </si>
  <si>
    <t>c4bfde86-c4a2-48ff-9589-e46e91bb2dde</t>
  </si>
  <si>
    <t>SMTP:DANH.HUYNHMY@mapactive.vn+smtp:danh.huynhmy@map.co.id</t>
  </si>
  <si>
    <t>tam.dangthithanh</t>
  </si>
  <si>
    <t>tam.dangthithanh@map.co.id</t>
  </si>
  <si>
    <t>tam.dan</t>
  </si>
  <si>
    <t>2023-09-07 03:59:56Z</t>
  </si>
  <si>
    <t>50088551-d982-4bff-baee-2590abc53599</t>
  </si>
  <si>
    <t>SMTP:tam.dangthithanh@mapactive.vn+smtp:tam.dangthithanh@map.co.id</t>
  </si>
  <si>
    <t>tri.dangquoc</t>
  </si>
  <si>
    <t>tri.dangquoc@map.co.id</t>
  </si>
  <si>
    <t>tri.dan</t>
  </si>
  <si>
    <t>Dang Quoc Tri</t>
  </si>
  <si>
    <t>2023-09-06 03:02:06Z</t>
  </si>
  <si>
    <t>2931c126-4f17-4b9b-8f6e-b727f859d100</t>
  </si>
  <si>
    <t>SMTP:tri.dangquoc@mapactive.vn+smtp:tri.dangquoc@map.co.id</t>
  </si>
  <si>
    <t>Need to keep until Ms. Uyen Confirm</t>
  </si>
  <si>
    <t>dang.hohai</t>
  </si>
  <si>
    <t>dang.hohai@map.co.id</t>
  </si>
  <si>
    <t>dang.ho</t>
  </si>
  <si>
    <t>Dang Hohai</t>
  </si>
  <si>
    <t>2023-09-28 08:29:50Z</t>
  </si>
  <si>
    <t>7dc37712-5417-4a02-a0d6-5303a4f7c94f</t>
  </si>
  <si>
    <t>SMTP:DANG.HOHAI@mapactive.vn+smtp:dang.hohai@map.co.id</t>
  </si>
  <si>
    <t>binh.ngotieu</t>
  </si>
  <si>
    <t>binh.ngotieu@map.co.id</t>
  </si>
  <si>
    <t>binh.ng</t>
  </si>
  <si>
    <t>Binh Ngotieu</t>
  </si>
  <si>
    <t>2023-09-08 09:56:03Z</t>
  </si>
  <si>
    <t>075fbe2f-2e6e-41cd-a3de-e3ea4033badc</t>
  </si>
  <si>
    <t>SMTP:BINH.NGOTIEU@mapactive.vn+smtp:binh.ngotieu@map.co.id</t>
  </si>
  <si>
    <t>anh.nguyenngoclan</t>
  </si>
  <si>
    <t>anh.nguyenngoclan@map.co.id</t>
  </si>
  <si>
    <t>anh.ngu</t>
  </si>
  <si>
    <t>Anh Nguyenngoclan</t>
  </si>
  <si>
    <t>2023-04-17 06:59:46Z</t>
  </si>
  <si>
    <t>958ea497-b4c2-49aa-88f9-7812e1c2ebe5</t>
  </si>
  <si>
    <t>SMTP:ANH.NGUYENNGOCLAN@mapactive.vn+smtp:anh.nguyenngoclan@map.co.id</t>
  </si>
  <si>
    <t>Anh.Nguyenviet</t>
  </si>
  <si>
    <t>Anh.Nguyenviet@map.co.id</t>
  </si>
  <si>
    <t>Anh.Nguyenviet@mapactive.vn</t>
  </si>
  <si>
    <t>Anh.Ngu</t>
  </si>
  <si>
    <t>Nguyen Viet Anh</t>
  </si>
  <si>
    <t>2023-09-07 09:08:11Z</t>
  </si>
  <si>
    <t>Viet Anh</t>
  </si>
  <si>
    <t>2023-07-20 07:50:53Z</t>
  </si>
  <si>
    <t>f57a7865-055f-43e6-a2d5-827f3d17629a</t>
  </si>
  <si>
    <t>smtp:Anh.Nguyenviet@mapcoid.onmicrosoft.com+smtp:Anh.Nguyenviet@map.co.id+SMTP:Anh.Nguyenviet@mapactive.vn</t>
  </si>
  <si>
    <t>do.nguyentri</t>
  </si>
  <si>
    <t>do.nguyentri@map.co.id</t>
  </si>
  <si>
    <t>do.nguy</t>
  </si>
  <si>
    <t>Tri Do</t>
  </si>
  <si>
    <t>2023-04-03 04:08:11Z</t>
  </si>
  <si>
    <t>6f5a0afa-67ae-4f28-889d-15d5d9c99f59</t>
  </si>
  <si>
    <t>smtp:do.nguyentri@mapcoid.onmicrosoft.com+smtp:do.nguyentri@map.co.id+SMTP:do.nguyentri@mapactive.vn</t>
  </si>
  <si>
    <t>hau.lenguyentrung</t>
  </si>
  <si>
    <t>hau.lenguyentrung@map.co.id</t>
  </si>
  <si>
    <t>hau.len</t>
  </si>
  <si>
    <t>Nguyen Le Trung Hau</t>
  </si>
  <si>
    <t>2023-10-05 02:40:32Z</t>
  </si>
  <si>
    <t>Le Trung Hau</t>
  </si>
  <si>
    <t>2023-04-10 07:40:39Z</t>
  </si>
  <si>
    <t>2497866e-56b6-4c47-a4e9-53dda98040b4</t>
  </si>
  <si>
    <t>smtp:hau.lenguyentrung@map.co.id+SMTP:hau.lenguyentrung@mapactive.vn+smtp:hau.nguyenletrung@mapcoid.onmicrosoft.com</t>
  </si>
  <si>
    <t>2023-04-10 08:09:59Z</t>
  </si>
  <si>
    <t>van.nghiemthihong</t>
  </si>
  <si>
    <t>van.nghiemthihong@map.co.id</t>
  </si>
  <si>
    <t>van.ngh</t>
  </si>
  <si>
    <t>Nghiem</t>
  </si>
  <si>
    <t>2023-10-04 08:18:56Z</t>
  </si>
  <si>
    <t>Thi Hong Van</t>
  </si>
  <si>
    <t>2023-10-04 08:13:33Z</t>
  </si>
  <si>
    <t>71f1ac51-95f5-4ef0-9e9d-9e68bd92b123</t>
  </si>
  <si>
    <t>smtp:van.nghiemthihong@mapcoid.onmicrosoft.com+smtp:van.nghiemthihong@map.co.id+SMTP:van.nghiemthihong@mapactive.vn</t>
  </si>
  <si>
    <t>2023-10-04 08:18:57Z</t>
  </si>
  <si>
    <t>huong.lethi</t>
  </si>
  <si>
    <t>huong.lethi@map.co.id</t>
  </si>
  <si>
    <t>huong.lethi@mapactive.vn</t>
  </si>
  <si>
    <t>huong.l</t>
  </si>
  <si>
    <t>Lê Thị Hương</t>
  </si>
  <si>
    <t>2023-09-25 06:33:10Z</t>
  </si>
  <si>
    <t>2018-10-25 07:39:39Z</t>
  </si>
  <si>
    <t>1fc4dc9e-7d58-4724-aa66-3ac3b4d86142</t>
  </si>
  <si>
    <t>smtp:huong.lethi@map.co.id+smtp:huong.lethi@mapcoid.onmicrosoft.com+SMTP:huong.lethi@mapactive.vn</t>
  </si>
  <si>
    <t>C&amp;B Officer</t>
  </si>
  <si>
    <t>2022-07-15 03:59:42Z</t>
  </si>
  <si>
    <t>footlocker.vietnam</t>
  </si>
  <si>
    <t>SITECODE</t>
  </si>
  <si>
    <t>STOREDESC</t>
  </si>
  <si>
    <t>MALLNAME</t>
  </si>
  <si>
    <t>CITY</t>
  </si>
  <si>
    <t>CONCEPT STORE</t>
  </si>
  <si>
    <t>SQM</t>
  </si>
  <si>
    <t>Type Connection</t>
  </si>
  <si>
    <t>Bandwith</t>
  </si>
  <si>
    <t>IP Public</t>
  </si>
  <si>
    <t>IP Local</t>
  </si>
  <si>
    <t>Fortigate Type</t>
  </si>
  <si>
    <t>Vietnam Center B</t>
  </si>
  <si>
    <t>HOCHIMINHCITY</t>
  </si>
  <si>
    <t>VIETNAM</t>
  </si>
  <si>
    <t>ERSE AEON BINH DUONG</t>
  </si>
  <si>
    <t>BINH DUONG</t>
  </si>
  <si>
    <t>PLANET SPORT PHAM VAN THUAN</t>
  </si>
  <si>
    <t>ET SPORT PHAM VAN THUAN</t>
  </si>
  <si>
    <t>Dong Nai</t>
  </si>
  <si>
    <t>Was VN18 (CONVERSE PHAM VAN THUAN and PO03 (PLANET SPORT PHAM VAN THUAN BH)
Stand Alone for POS PC type, but the store sales Multibrands</t>
  </si>
  <si>
    <t>PLANET SPORT PHAN VAN TRI</t>
  </si>
  <si>
    <t>ET SPORT PHAN VAN TRI</t>
  </si>
  <si>
    <t>Was VN20 (CONVERSE PHAN VAN TRI) and PO04 (PLANET SPORT PHAN VAN TRI)
Stand Alone for POS PC type, but the store sales Multibrands</t>
  </si>
  <si>
    <t>New Balance Lotte Mall HN</t>
  </si>
  <si>
    <t>Balance Lotte Mall HN</t>
  </si>
  <si>
    <t>HA NOI</t>
  </si>
  <si>
    <t>NEW BALANCE IPH HN MALL</t>
  </si>
  <si>
    <t>BALANCE IPH HN MALL</t>
  </si>
  <si>
    <t>CONVERSE VINCOM SMART CITY</t>
  </si>
  <si>
    <t>ERSE VINCOM SMART CITY</t>
  </si>
  <si>
    <t>ERA AEON HA DONG</t>
  </si>
  <si>
    <t>ERA AEON LONG BIEN</t>
  </si>
  <si>
    <t>ERSE AEON LONG BIEN</t>
  </si>
  <si>
    <t>CONVERSE LOTTE HANOI</t>
  </si>
  <si>
    <t>ERSE LOTTE HANOI</t>
  </si>
  <si>
    <t>Rookie Lotte Mall HN</t>
  </si>
  <si>
    <t>ie Lotte Mall HN</t>
  </si>
  <si>
    <t>Footlocker Lotte Mall HN</t>
  </si>
  <si>
    <t>locker Lotte Mall HN</t>
  </si>
  <si>
    <t>PION AEON LONG BIEN</t>
  </si>
  <si>
    <t>CHAMPION LOTTE HANOI</t>
  </si>
  <si>
    <t>NEW ERA AEON MALL HAI PHONG</t>
  </si>
  <si>
    <t>ERA AEON MALL HAI PHONG</t>
  </si>
  <si>
    <t>HAIPHONG</t>
  </si>
  <si>
    <t>CHAMPION AEON MALL HAI PHONG</t>
  </si>
  <si>
    <t>PION AEON MALL HAI PHONG</t>
  </si>
  <si>
    <t>HANOI</t>
  </si>
  <si>
    <t>New Balance Lotte</t>
  </si>
  <si>
    <t>Converse Vincom Royal City</t>
  </si>
  <si>
    <t>erse Vincom Royal City</t>
  </si>
  <si>
    <t>Birkenstock Estella</t>
  </si>
  <si>
    <t>PLANETSPORTS SALES EVENT</t>
  </si>
  <si>
    <t>HOCHIMINH</t>
  </si>
  <si>
    <t>SHOPEE-VF</t>
  </si>
  <si>
    <t>Bazaar at VN HO</t>
  </si>
  <si>
    <t>SHOPEE-VT</t>
  </si>
  <si>
    <t>TIKI-VF</t>
  </si>
  <si>
    <t>BALANCE 89 NGUYEN TRAI</t>
  </si>
  <si>
    <t>HOCHIMINH CITY</t>
  </si>
  <si>
    <t>DC82</t>
  </si>
  <si>
    <t>DC Magna Management Asia</t>
  </si>
  <si>
    <t>agna Management Asia</t>
  </si>
  <si>
    <t>DC</t>
  </si>
  <si>
    <t>ERSE AEON BINH TAN</t>
  </si>
  <si>
    <t>EV01</t>
  </si>
  <si>
    <t>Virtual E-com Vietnam</t>
  </si>
  <si>
    <t>-com Vietnam</t>
  </si>
  <si>
    <t>ERSE BA THANG HAI</t>
  </si>
  <si>
    <t>ERSE CRESCENT MALL</t>
  </si>
  <si>
    <t>ERSE HAI BA TRUNG</t>
  </si>
  <si>
    <t>ERSE LE VAN SY</t>
  </si>
  <si>
    <t>ERSE NGUYEN TRAI</t>
  </si>
  <si>
    <t>HEAD OFFICE BABOLAT VIETNAM</t>
  </si>
  <si>
    <t>NON MALL</t>
  </si>
  <si>
    <t>HEAD OFFICE ARENA VIETNAM</t>
  </si>
  <si>
    <t>PLANET SPORTS OUTLET HCMC</t>
  </si>
  <si>
    <t>ET SPORTS OUTLET HCMC</t>
  </si>
  <si>
    <t>MMA HeadOffice Store</t>
  </si>
  <si>
    <t>Vietnam Ba Trieu</t>
  </si>
  <si>
    <t>GWP, A&amp;P</t>
  </si>
  <si>
    <t>A&amp;P</t>
  </si>
  <si>
    <t>Birkenstock Diamond Plaza</t>
  </si>
  <si>
    <t>VQ01</t>
  </si>
  <si>
    <t>Ecommerce Foot Locker Vietnam</t>
  </si>
  <si>
    <t>E-Commerce</t>
  </si>
  <si>
    <t>HoChiMinhCity</t>
  </si>
  <si>
    <t>SMIGGLE ESTELLA PLACE</t>
  </si>
  <si>
    <t>GLE ESTELLA PLACE</t>
  </si>
  <si>
    <t>LAZADA (FASHION) CONSIGNMENT VN</t>
  </si>
  <si>
    <t xml:space="preserve">DA (FASHION) CONSIGNMENT </t>
  </si>
  <si>
    <t>LAZADA (SPORT) CONSIGNMENT VN</t>
  </si>
  <si>
    <t>DA (SPORT) CONSIGNMENT VN</t>
  </si>
  <si>
    <t>LAZADA-VK</t>
  </si>
  <si>
    <t>DA-VK</t>
  </si>
  <si>
    <t>PLANETSPORT OUTLET</t>
  </si>
  <si>
    <t>PLANET SPORTS CLEARANCE BAZAAR</t>
  </si>
  <si>
    <t>ET SPORTS CLEARANCE BAZAA</t>
  </si>
  <si>
    <t>P</t>
  </si>
  <si>
    <t>SHOPEE-VK</t>
  </si>
  <si>
    <t>EE-VK</t>
  </si>
  <si>
    <t>PION CRESCENT MALL</t>
  </si>
  <si>
    <t>enstock Crescent Mall</t>
  </si>
  <si>
    <t>TIKI-VK</t>
  </si>
  <si>
    <t>-VK</t>
  </si>
  <si>
    <t>Balance Diamond Plaza</t>
  </si>
  <si>
    <t>Balance Van Hanh Mall</t>
  </si>
  <si>
    <t>SALES EVENT BAZAAR (SIS)</t>
  </si>
  <si>
    <t>S EVENT BAZAAR (SIS)</t>
  </si>
  <si>
    <t>New Balance Vincom Thao Dien</t>
  </si>
  <si>
    <t>Balance Vincom Thao Dien</t>
  </si>
  <si>
    <t>ERSE TAKASHIMAYA</t>
  </si>
  <si>
    <t>IE TAKASHIMAYA</t>
  </si>
  <si>
    <t>CONVERSE GOLD COAST NT</t>
  </si>
  <si>
    <t>ERSE GOLD COAST NT</t>
  </si>
  <si>
    <t>SMIGGLE GOLD COAST NT</t>
  </si>
  <si>
    <t>GLE GOLD COAST NT</t>
  </si>
  <si>
    <t>Champion Gold Coast NT</t>
  </si>
  <si>
    <t>pion Gold Coast NT</t>
  </si>
  <si>
    <t>NHATRANG</t>
  </si>
  <si>
    <t>New Balance Gold Coast Nha Trang</t>
  </si>
  <si>
    <t>DC85</t>
  </si>
  <si>
    <t>DC Foot Locker Vietnam</t>
  </si>
  <si>
    <t>oot Locker Vietnam</t>
  </si>
  <si>
    <t>ENSTOCK TAKASHIMAYA</t>
  </si>
  <si>
    <t>DC84</t>
  </si>
  <si>
    <t>DCEV</t>
  </si>
  <si>
    <t>DC E-Commerce MMA</t>
  </si>
  <si>
    <t>Era Diamond Plaza</t>
  </si>
  <si>
    <t>enstock Lotte Mall HN</t>
  </si>
  <si>
    <t>New Balance Crescent Mall</t>
  </si>
  <si>
    <t>New Balance 78 Nguyen Trai CT</t>
  </si>
  <si>
    <t>Balance 78 Nguyen Trai CT</t>
  </si>
  <si>
    <t>Balance Aeon Hai Phong</t>
  </si>
  <si>
    <t>DC83</t>
  </si>
  <si>
    <t>DCEW</t>
  </si>
  <si>
    <t>DC E-Commerce Magna Management Asia</t>
  </si>
  <si>
    <t>Era Lotte Mall HN</t>
  </si>
  <si>
    <t>Converse 78 Nguyen Trai Can Tho</t>
  </si>
  <si>
    <t>erse 78 Nguyen Trai Can T</t>
  </si>
  <si>
    <t>Converse IPH HN MALL</t>
  </si>
  <si>
    <t>erse IPH HN MALL</t>
  </si>
  <si>
    <t>erse Lotte Mall HN</t>
  </si>
  <si>
    <t>Converse Ba Cu</t>
  </si>
  <si>
    <t>erse Ba Cu</t>
  </si>
  <si>
    <t>SMIGGLE LOTTE HA NOI CITY</t>
  </si>
  <si>
    <t>LOTTE HA NOI CITY</t>
  </si>
  <si>
    <t>ROOKIE LOTTE HA NOI CITY</t>
  </si>
  <si>
    <t>PION TAKASHIMAYA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</si>
</sst>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yy;@"/>
    <numFmt numFmtId="165" formatCode="dd/mmm/yyyy"/>
    <numFmt numFmtId="166" formatCode="dd\-mmm\-yyyy"/>
    <numFmt numFmtId="167" formatCode="B1d\-mmm\-yy"/>
  </numFmts>
  <fonts count="69">
    <font>
      <sz val="11"/>
      <color theme="1"/>
      <name val="Arial"/>
      <family val="2"/>
      <scheme val="minor"/>
    </font>
    <font>
      <sz val="11"/>
      <color theme="1"/>
      <name val="Arial"/>
      <family val="2"/>
      <scheme val="minor"/>
    </font>
    <font>
      <sz val="11"/>
      <color theme="1"/>
      <name val="Arial"/>
      <family val="2"/>
      <scheme val="minor"/>
    </font>
    <font>
      <sz val="8"/>
      <name val="Arial"/>
      <family val="2"/>
      <scheme val="minor"/>
    </font>
    <font>
      <b/>
      <sz val="11"/>
      <color theme="1"/>
      <name val="Arial"/>
      <family val="2"/>
      <scheme val="minor"/>
    </font>
    <font>
      <sz val="9"/>
      <color rgb="FF000000"/>
      <name val="Tahoma"/>
      <family val="2"/>
    </font>
    <font>
      <sz val="11"/>
      <color rgb="FF444444"/>
      <name val="Calibri"/>
      <family val="2"/>
      <charset val="1"/>
    </font>
    <font>
      <sz val="9"/>
      <color rgb="FF000000"/>
      <name val="Times New Roman"/>
      <family val="1"/>
      <charset val="1"/>
    </font>
    <font>
      <sz val="11"/>
      <color rgb="FF000000"/>
      <name val="Calibri"/>
      <family val="2"/>
    </font>
    <font>
      <sz val="11"/>
      <color theme="1"/>
      <name val="Segoe UI"/>
      <family val="2"/>
      <charset val="1"/>
    </font>
    <font>
      <sz val="10"/>
      <color rgb="FF000000"/>
      <name val="Times New Roman"/>
      <family val="1"/>
      <charset val="1"/>
    </font>
    <font>
      <sz val="11"/>
      <color theme="1"/>
      <name val="Calibri"/>
      <family val="2"/>
      <charset val="1"/>
    </font>
    <font>
      <sz val="11"/>
      <color rgb="FF000000"/>
      <name val="Calibri"/>
      <family val="2"/>
      <charset val="1"/>
    </font>
    <font>
      <b/>
      <u/>
      <sz val="11"/>
      <color rgb="FF000000"/>
      <name val="Calibri"/>
      <family val="2"/>
    </font>
    <font>
      <sz val="13"/>
      <color rgb="FF000000"/>
      <name val="Times New Roman"/>
      <family val="1"/>
    </font>
    <font>
      <sz val="10"/>
      <color rgb="FF000000"/>
      <name val="Calibri"/>
      <family val="2"/>
    </font>
    <font>
      <sz val="11"/>
      <color rgb="FF000000"/>
      <name val="Segoe UI"/>
      <family val="2"/>
    </font>
    <font>
      <sz val="9"/>
      <color theme="1"/>
      <name val="Times New Roman"/>
      <family val="1"/>
      <charset val="1"/>
    </font>
    <font>
      <sz val="11"/>
      <color rgb="FFFF0000"/>
      <name val="Arial"/>
      <family val="2"/>
      <scheme val="minor"/>
    </font>
    <font>
      <sz val="11"/>
      <color rgb="FF000000"/>
      <name val="Arial"/>
      <family val="2"/>
      <scheme val="minor"/>
    </font>
    <font>
      <u/>
      <sz val="11"/>
      <color theme="10"/>
      <name val="Arial"/>
      <family val="2"/>
      <scheme val="minor"/>
    </font>
    <font>
      <sz val="12"/>
      <color rgb="FF000000"/>
      <name val="Arial"/>
      <family val="2"/>
      <scheme val="minor"/>
    </font>
    <font>
      <sz val="12"/>
      <color theme="1"/>
      <name val="Arial"/>
      <family val="2"/>
      <scheme val="minor"/>
    </font>
    <font>
      <sz val="12"/>
      <color indexed="8"/>
      <name val="Calibri"/>
      <family val="2"/>
    </font>
    <font>
      <sz val="12"/>
      <color theme="1"/>
      <name val="Arial"/>
      <family val="2"/>
      <scheme val="minor"/>
    </font>
    <font>
      <u/>
      <sz val="11"/>
      <color rgb="FF0000FF"/>
      <name val="Arial"/>
      <family val="2"/>
      <scheme val="minor"/>
    </font>
    <font>
      <u/>
      <sz val="12"/>
      <color indexed="12"/>
      <name val="Calibri"/>
      <family val="2"/>
    </font>
    <font>
      <sz val="12"/>
      <color theme="1"/>
      <name val="Arial"/>
      <family val="2"/>
      <charset val="134"/>
      <scheme val="minor"/>
    </font>
    <font>
      <u/>
      <sz val="12"/>
      <color rgb="FF0000FF"/>
      <name val="Arial"/>
      <family val="2"/>
      <scheme val="minor"/>
    </font>
    <font>
      <sz val="12"/>
      <color rgb="FF000000"/>
      <name val="Arial"/>
      <family val="2"/>
      <charset val="134"/>
      <scheme val="minor"/>
    </font>
    <font>
      <u/>
      <sz val="12"/>
      <color rgb="FF0000FF"/>
      <name val="Arial"/>
      <family val="2"/>
      <charset val="134"/>
      <scheme val="minor"/>
    </font>
    <font>
      <u/>
      <sz val="12"/>
      <color theme="10"/>
      <name val="Arial"/>
      <family val="2"/>
      <scheme val="minor"/>
    </font>
    <font>
      <b/>
      <sz val="11"/>
      <color rgb="FF000000"/>
      <name val="Arial"/>
      <family val="2"/>
      <scheme val="minor"/>
    </font>
    <font>
      <sz val="11"/>
      <color theme="1"/>
      <name val="Arial"/>
      <family val="2"/>
      <scheme val="minor"/>
    </font>
    <font>
      <sz val="12"/>
      <color rgb="FF000000"/>
      <name val="Calibri"/>
      <family val="2"/>
    </font>
    <font>
      <b/>
      <u/>
      <sz val="10"/>
      <color theme="0"/>
      <name val="Arial"/>
      <family val="2"/>
    </font>
    <font>
      <sz val="10"/>
      <color theme="1"/>
      <name val="Arial"/>
      <family val="2"/>
    </font>
    <font>
      <u/>
      <sz val="10"/>
      <color rgb="FF0000FF"/>
      <name val="Arial"/>
      <family val="2"/>
    </font>
    <font>
      <sz val="10"/>
      <color rgb="FFFF0000"/>
      <name val="Arial"/>
      <family val="2"/>
    </font>
    <font>
      <sz val="10"/>
      <color rgb="FF000000"/>
      <name val="Arial"/>
      <family val="2"/>
    </font>
    <font>
      <u/>
      <sz val="10"/>
      <color theme="10"/>
      <name val="Arial"/>
      <family val="2"/>
    </font>
    <font>
      <sz val="11"/>
      <color theme="1"/>
      <name val="Arial"/>
      <family val="2"/>
    </font>
    <font>
      <sz val="11"/>
      <color rgb="FF000000"/>
      <name val="Arial"/>
      <family val="2"/>
    </font>
    <font>
      <sz val="11"/>
      <color rgb="FF444444"/>
      <name val="Arial"/>
      <family val="2"/>
    </font>
    <font>
      <sz val="9"/>
      <color rgb="FF000000"/>
      <name val="Arial"/>
      <family val="2"/>
    </font>
    <font>
      <sz val="9"/>
      <color rgb="FF000000"/>
      <name val="Arial"/>
      <family val="2"/>
      <scheme val="minor"/>
    </font>
    <font>
      <sz val="11"/>
      <color rgb="FF000000"/>
      <name val="Aptos Narrow"/>
      <family val="2"/>
    </font>
    <font>
      <b/>
      <sz val="11"/>
      <color rgb="FF000000"/>
      <name val="Calibri"/>
      <family val="2"/>
    </font>
    <font>
      <sz val="11"/>
      <color rgb="FFFF0000"/>
      <name val="Calibri"/>
      <family val="2"/>
    </font>
    <font>
      <sz val="11"/>
      <color rgb="FF242424"/>
      <name val="Aptos Narrow"/>
      <family val="2"/>
    </font>
    <font>
      <sz val="11"/>
      <color rgb="FF242424"/>
      <name val="Aptos Narrow"/>
      <charset val="1"/>
    </font>
    <font>
      <sz val="11"/>
      <color rgb="FF000000"/>
      <name val="Segoe UI"/>
      <charset val="1"/>
    </font>
    <font>
      <sz val="11"/>
      <color rgb="FF000000"/>
      <name val="Calibri"/>
      <charset val="1"/>
    </font>
    <font>
      <sz val="11"/>
      <color theme="1"/>
      <name val="D-DINExp"/>
      <charset val="1"/>
    </font>
    <font>
      <sz val="11"/>
      <color theme="1"/>
      <name val="Arial"/>
    </font>
    <font>
      <sz val="10"/>
      <color theme="1"/>
      <name val="Arial"/>
    </font>
    <font>
      <sz val="11"/>
      <color rgb="FF242424"/>
      <name val="Arial"/>
    </font>
    <font>
      <sz val="12"/>
      <color indexed="8"/>
      <name val="Times New Roman"/>
    </font>
    <font>
      <sz val="12"/>
      <color theme="1"/>
      <name val="Times New Roman"/>
    </font>
    <font>
      <sz val="11"/>
      <color theme="1"/>
      <name val="Times New Roman"/>
    </font>
    <font>
      <u/>
      <sz val="11"/>
      <color theme="10"/>
      <name val="Times New Roman"/>
    </font>
    <font>
      <sz val="12"/>
      <color rgb="FF000000"/>
      <name val="Times New Roman"/>
    </font>
    <font>
      <sz val="11"/>
      <color rgb="FF444444"/>
      <name val="Times New Roman"/>
    </font>
    <font>
      <sz val="11"/>
      <color rgb="FF242424"/>
      <name val="Times New Roman"/>
    </font>
    <font>
      <sz val="11"/>
      <color rgb="FF000000"/>
      <name val="Times New Roman"/>
    </font>
    <font>
      <sz val="11"/>
      <color rgb="FF000000"/>
      <name val="Aptos"/>
      <family val="2"/>
      <charset val="1"/>
    </font>
    <font>
      <sz val="11"/>
      <name val="Times New Roman"/>
    </font>
    <font>
      <sz val="9"/>
      <color rgb="FF000000"/>
      <name val="Times New Roman"/>
    </font>
    <font>
      <vertAlign val="superscript"/>
      <sz val="11"/>
      <color theme="1"/>
      <name val="Times New Roman"/>
    </font>
  </fonts>
  <fills count="28">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rgb="FF92D050"/>
        <bgColor rgb="FF000000"/>
      </patternFill>
    </fill>
    <fill>
      <patternFill patternType="solid">
        <fgColor rgb="FFFFFF00"/>
        <bgColor rgb="FF000000"/>
      </patternFill>
    </fill>
    <fill>
      <patternFill patternType="solid">
        <fgColor rgb="FF00B0F0"/>
        <bgColor rgb="FF000000"/>
      </patternFill>
    </fill>
    <fill>
      <patternFill patternType="solid">
        <fgColor rgb="FFFF0000"/>
        <bgColor rgb="FF000000"/>
      </patternFill>
    </fill>
    <fill>
      <patternFill patternType="solid">
        <fgColor rgb="FFFFFFFF"/>
        <bgColor rgb="FF000000"/>
      </patternFill>
    </fill>
    <fill>
      <patternFill patternType="solid">
        <fgColor rgb="FFFFC000"/>
        <bgColor rgb="FF000000"/>
      </patternFill>
    </fill>
    <fill>
      <patternFill patternType="solid">
        <fgColor rgb="FFF2F2F2"/>
        <bgColor rgb="FF000000"/>
      </patternFill>
    </fill>
    <fill>
      <patternFill patternType="solid">
        <fgColor theme="0" tint="-0.249977111117893"/>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4" tint="0.39997558519241921"/>
        <bgColor indexed="64"/>
      </patternFill>
    </fill>
    <fill>
      <patternFill patternType="solid">
        <fgColor rgb="FFFFFCDE"/>
        <bgColor indexed="64"/>
      </patternFill>
    </fill>
    <fill>
      <patternFill patternType="solid">
        <fgColor rgb="FFBFBFBF"/>
        <bgColor rgb="FF000000"/>
      </patternFill>
    </fill>
    <fill>
      <patternFill patternType="solid">
        <fgColor theme="7" tint="0.59999389629810485"/>
        <bgColor indexed="64"/>
      </patternFill>
    </fill>
    <fill>
      <patternFill patternType="solid">
        <fgColor theme="2" tint="-9.9978637043366805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auto="1"/>
      </right>
      <top style="thin">
        <color auto="1"/>
      </top>
      <bottom/>
      <diagonal/>
    </border>
    <border>
      <left style="thin">
        <color rgb="FF000000"/>
      </left>
      <right/>
      <top/>
      <bottom/>
      <diagonal/>
    </border>
  </borders>
  <cellStyleXfs count="5">
    <xf numFmtId="0" fontId="0" fillId="0" borderId="0"/>
    <xf numFmtId="0" fontId="20" fillId="0" borderId="0" applyNumberFormat="0" applyFill="0" applyBorder="0" applyAlignment="0" applyProtection="0"/>
    <xf numFmtId="0" fontId="22" fillId="0" borderId="0"/>
    <xf numFmtId="0" fontId="25" fillId="0" borderId="0" applyNumberFormat="0" applyFill="0" applyBorder="0" applyAlignment="0" applyProtection="0">
      <alignment vertical="center"/>
    </xf>
    <xf numFmtId="0" fontId="33" fillId="0" borderId="0"/>
  </cellStyleXfs>
  <cellXfs count="811">
    <xf numFmtId="0" fontId="0" fillId="0" borderId="0" xfId="0"/>
    <xf numFmtId="0" fontId="0" fillId="2" borderId="1" xfId="0" applyFill="1" applyBorder="1" applyAlignment="1">
      <alignment horizontal="center" vertical="center"/>
    </xf>
    <xf numFmtId="0" fontId="0" fillId="0" borderId="1" xfId="0" applyBorder="1" applyAlignment="1">
      <alignment horizontal="center" vertical="center"/>
    </xf>
    <xf numFmtId="0" fontId="0" fillId="7" borderId="1" xfId="0" applyFill="1" applyBorder="1" applyAlignment="1">
      <alignment horizontal="center" vertical="center"/>
    </xf>
    <xf numFmtId="0" fontId="0" fillId="7" borderId="0" xfId="0" applyFill="1"/>
    <xf numFmtId="0" fontId="0" fillId="9" borderId="0" xfId="0" applyFill="1"/>
    <xf numFmtId="0" fontId="0" fillId="9" borderId="1" xfId="0" applyFill="1" applyBorder="1" applyAlignment="1">
      <alignment horizontal="center" vertical="center"/>
    </xf>
    <xf numFmtId="0" fontId="0" fillId="6"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xf>
    <xf numFmtId="0" fontId="0" fillId="2" borderId="1" xfId="0" applyFill="1" applyBorder="1" applyAlignment="1">
      <alignment vertical="center"/>
    </xf>
    <xf numFmtId="0" fontId="0" fillId="0" borderId="1" xfId="0" applyBorder="1" applyAlignment="1">
      <alignment vertical="center"/>
    </xf>
    <xf numFmtId="0" fontId="0" fillId="7" borderId="1" xfId="0" applyFill="1" applyBorder="1" applyAlignment="1">
      <alignment vertical="center"/>
    </xf>
    <xf numFmtId="0" fontId="4" fillId="0" borderId="1" xfId="0" applyFont="1" applyBorder="1" applyAlignment="1">
      <alignment vertical="center"/>
    </xf>
    <xf numFmtId="0" fontId="0" fillId="0" borderId="3" xfId="0" applyBorder="1" applyAlignment="1">
      <alignment horizontal="center" vertical="center"/>
    </xf>
    <xf numFmtId="0" fontId="7" fillId="0" borderId="3" xfId="0" applyFont="1" applyBorder="1" applyAlignment="1">
      <alignment horizontal="center"/>
    </xf>
    <xf numFmtId="0" fontId="0" fillId="9" borderId="1" xfId="0" applyFill="1" applyBorder="1" applyAlignment="1">
      <alignment vertical="center"/>
    </xf>
    <xf numFmtId="0" fontId="0" fillId="0" borderId="9" xfId="0" applyBorder="1" applyAlignment="1">
      <alignment horizontal="center" vertical="center"/>
    </xf>
    <xf numFmtId="0" fontId="0" fillId="0" borderId="3" xfId="0" applyBorder="1"/>
    <xf numFmtId="0" fontId="0" fillId="11" borderId="3" xfId="0" applyFill="1" applyBorder="1"/>
    <xf numFmtId="0" fontId="0" fillId="11" borderId="3" xfId="0" applyFill="1" applyBorder="1" applyAlignment="1">
      <alignment horizontal="left"/>
    </xf>
    <xf numFmtId="0" fontId="0" fillId="0" borderId="3" xfId="0" applyBorder="1" applyAlignment="1">
      <alignment horizontal="left" wrapText="1"/>
    </xf>
    <xf numFmtId="0" fontId="0" fillId="0" borderId="3" xfId="0" applyBorder="1" applyAlignment="1">
      <alignment horizontal="left"/>
    </xf>
    <xf numFmtId="0" fontId="0" fillId="0" borderId="0" xfId="0" applyAlignment="1">
      <alignment horizontal="left"/>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8" fillId="0" borderId="3" xfId="0" applyFont="1" applyBorder="1"/>
    <xf numFmtId="0" fontId="0" fillId="0" borderId="3" xfId="0" applyBorder="1" applyAlignment="1">
      <alignment horizontal="center" vertical="center" wrapText="1"/>
    </xf>
    <xf numFmtId="0" fontId="0" fillId="0" borderId="5" xfId="0" applyBorder="1" applyAlignment="1">
      <alignment vertical="center"/>
    </xf>
    <xf numFmtId="0" fontId="13" fillId="14" borderId="15" xfId="0" applyFont="1" applyFill="1" applyBorder="1"/>
    <xf numFmtId="0" fontId="14" fillId="16" borderId="16" xfId="0" applyFont="1" applyFill="1" applyBorder="1"/>
    <xf numFmtId="0" fontId="14" fillId="16" borderId="5" xfId="0" applyFont="1" applyFill="1" applyBorder="1"/>
    <xf numFmtId="0" fontId="15" fillId="13" borderId="16" xfId="0" applyFont="1" applyFill="1" applyBorder="1"/>
    <xf numFmtId="0" fontId="16" fillId="0" borderId="16" xfId="0" applyFont="1" applyBorder="1"/>
    <xf numFmtId="0" fontId="15" fillId="13" borderId="17" xfId="0" applyFont="1" applyFill="1" applyBorder="1"/>
    <xf numFmtId="0" fontId="0" fillId="0" borderId="3" xfId="0" applyBorder="1" applyAlignment="1">
      <alignment vertical="center"/>
    </xf>
    <xf numFmtId="0" fontId="10" fillId="0" borderId="3" xfId="0" applyFont="1" applyBorder="1" applyAlignment="1">
      <alignment horizontal="center" vertical="center"/>
    </xf>
    <xf numFmtId="0" fontId="7" fillId="0" borderId="3" xfId="0" applyFont="1" applyBorder="1"/>
    <xf numFmtId="0" fontId="0" fillId="0" borderId="4" xfId="0" applyBorder="1" applyAlignment="1">
      <alignment vertical="center"/>
    </xf>
    <xf numFmtId="0" fontId="0" fillId="0" borderId="10" xfId="0" applyBorder="1" applyAlignment="1">
      <alignment vertical="center"/>
    </xf>
    <xf numFmtId="0" fontId="0" fillId="0" borderId="18" xfId="0" applyBorder="1" applyAlignment="1">
      <alignment horizontal="center" vertical="center"/>
    </xf>
    <xf numFmtId="0" fontId="7" fillId="0" borderId="12" xfId="0" applyFont="1" applyBorder="1"/>
    <xf numFmtId="0" fontId="17" fillId="0" borderId="3" xfId="0" applyFont="1" applyBorder="1"/>
    <xf numFmtId="0" fontId="6" fillId="0" borderId="3" xfId="0" applyFont="1" applyBorder="1"/>
    <xf numFmtId="0" fontId="0" fillId="0" borderId="12" xfId="0" applyBorder="1" applyAlignment="1">
      <alignment horizontal="center" vertical="center"/>
    </xf>
    <xf numFmtId="0" fontId="0" fillId="0" borderId="19" xfId="0" applyBorder="1" applyAlignment="1">
      <alignment vertical="center"/>
    </xf>
    <xf numFmtId="0" fontId="0" fillId="0" borderId="20" xfId="0" applyBorder="1" applyAlignment="1">
      <alignment horizontal="center" vertical="center"/>
    </xf>
    <xf numFmtId="0" fontId="0" fillId="0" borderId="12" xfId="0" applyBorder="1" applyAlignment="1">
      <alignment vertical="center"/>
    </xf>
    <xf numFmtId="0" fontId="7" fillId="0" borderId="0" xfId="0" applyFont="1" applyAlignment="1">
      <alignment vertical="center"/>
    </xf>
    <xf numFmtId="0" fontId="0" fillId="0" borderId="0" xfId="0" applyAlignment="1">
      <alignment vertical="center"/>
    </xf>
    <xf numFmtId="0" fontId="0" fillId="0" borderId="16" xfId="0" applyBorder="1" applyAlignment="1">
      <alignment horizontal="center" vertical="center"/>
    </xf>
    <xf numFmtId="0" fontId="0" fillId="6" borderId="4" xfId="0" applyFill="1" applyBorder="1" applyAlignment="1">
      <alignment horizontal="center" vertical="center"/>
    </xf>
    <xf numFmtId="0" fontId="0" fillId="6" borderId="3" xfId="0" applyFill="1" applyBorder="1" applyAlignment="1">
      <alignment horizontal="center" vertical="center"/>
    </xf>
    <xf numFmtId="0" fontId="10" fillId="6" borderId="3" xfId="0" applyFont="1" applyFill="1" applyBorder="1" applyAlignment="1">
      <alignment horizontal="center" vertical="center"/>
    </xf>
    <xf numFmtId="0" fontId="0" fillId="9" borderId="3" xfId="0" applyFill="1" applyBorder="1" applyAlignment="1">
      <alignment vertical="center"/>
    </xf>
    <xf numFmtId="0" fontId="0" fillId="6" borderId="5" xfId="0" applyFill="1" applyBorder="1" applyAlignment="1">
      <alignment horizontal="center" vertical="center"/>
    </xf>
    <xf numFmtId="0" fontId="10" fillId="0" borderId="3" xfId="0" applyFont="1" applyBorder="1" applyAlignment="1">
      <alignment vertical="center"/>
    </xf>
    <xf numFmtId="0" fontId="0" fillId="6" borderId="18" xfId="0" applyFill="1" applyBorder="1" applyAlignment="1">
      <alignment horizontal="center" vertical="center"/>
    </xf>
    <xf numFmtId="0" fontId="0" fillId="5" borderId="3" xfId="0" applyFill="1" applyBorder="1" applyAlignment="1">
      <alignment vertical="center"/>
    </xf>
    <xf numFmtId="0" fontId="0" fillId="6" borderId="15" xfId="0" applyFill="1" applyBorder="1" applyAlignment="1">
      <alignment horizontal="center" vertical="center"/>
    </xf>
    <xf numFmtId="0" fontId="0" fillId="4" borderId="1" xfId="0" applyFill="1" applyBorder="1" applyAlignment="1">
      <alignment vertical="center"/>
    </xf>
    <xf numFmtId="0" fontId="10" fillId="0" borderId="19" xfId="0" applyFont="1" applyBorder="1" applyAlignment="1">
      <alignment vertical="center"/>
    </xf>
    <xf numFmtId="0" fontId="10" fillId="0" borderId="10" xfId="0" applyFont="1" applyBorder="1" applyAlignment="1">
      <alignment vertical="center"/>
    </xf>
    <xf numFmtId="0" fontId="0" fillId="5" borderId="0" xfId="0" applyFill="1" applyAlignment="1">
      <alignment vertical="center"/>
    </xf>
    <xf numFmtId="0" fontId="0" fillId="9" borderId="12" xfId="0" applyFill="1" applyBorder="1"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3" xfId="0" applyBorder="1" applyAlignment="1">
      <alignment vertical="center" wrapText="1"/>
    </xf>
    <xf numFmtId="0" fontId="0" fillId="19" borderId="3" xfId="0" applyFill="1" applyBorder="1" applyAlignment="1">
      <alignment horizontal="center" vertical="center"/>
    </xf>
    <xf numFmtId="0" fontId="0" fillId="0" borderId="21" xfId="0" applyBorder="1" applyAlignment="1">
      <alignment vertical="center" wrapText="1"/>
    </xf>
    <xf numFmtId="0" fontId="0" fillId="5" borderId="3" xfId="0" applyFill="1" applyBorder="1" applyAlignment="1">
      <alignment horizontal="center" vertical="center" wrapText="1"/>
    </xf>
    <xf numFmtId="0" fontId="5" fillId="3" borderId="3" xfId="0" applyFont="1" applyFill="1" applyBorder="1" applyAlignment="1">
      <alignment horizontal="left" vertical="center" wrapText="1"/>
    </xf>
    <xf numFmtId="0" fontId="0" fillId="3" borderId="3" xfId="0" applyFill="1" applyBorder="1" applyAlignment="1">
      <alignment horizontal="center" vertical="center" wrapText="1"/>
    </xf>
    <xf numFmtId="0" fontId="0" fillId="5" borderId="3" xfId="0" applyFill="1" applyBorder="1" applyAlignment="1">
      <alignment vertical="center" wrapText="1"/>
    </xf>
    <xf numFmtId="0" fontId="0" fillId="5" borderId="0" xfId="0" applyFill="1" applyAlignment="1">
      <alignment vertical="center" wrapText="1"/>
    </xf>
    <xf numFmtId="0" fontId="0" fillId="3" borderId="0" xfId="0" applyFill="1" applyAlignment="1">
      <alignment vertical="center" wrapText="1"/>
    </xf>
    <xf numFmtId="49" fontId="0" fillId="5" borderId="3" xfId="0" applyNumberFormat="1" applyFill="1" applyBorder="1" applyAlignment="1">
      <alignment vertical="center" wrapText="1"/>
    </xf>
    <xf numFmtId="49" fontId="0" fillId="0" borderId="3" xfId="0" applyNumberFormat="1" applyBorder="1" applyAlignment="1">
      <alignment vertical="center" wrapText="1"/>
    </xf>
    <xf numFmtId="49" fontId="0" fillId="3" borderId="3" xfId="0" applyNumberFormat="1" applyFill="1" applyBorder="1" applyAlignment="1">
      <alignment vertical="center" wrapText="1"/>
    </xf>
    <xf numFmtId="49" fontId="0" fillId="0" borderId="0" xfId="0" applyNumberFormat="1" applyAlignment="1">
      <alignment vertical="center" wrapText="1"/>
    </xf>
    <xf numFmtId="0" fontId="0" fillId="4" borderId="3" xfId="0" applyFill="1" applyBorder="1" applyAlignment="1">
      <alignment horizontal="center" vertical="center" wrapText="1"/>
    </xf>
    <xf numFmtId="0" fontId="24" fillId="0" borderId="0" xfId="2" applyFont="1" applyAlignment="1">
      <alignment vertical="center"/>
    </xf>
    <xf numFmtId="0" fontId="25" fillId="3" borderId="3" xfId="3" applyFill="1" applyBorder="1" applyAlignment="1">
      <alignment vertical="center"/>
    </xf>
    <xf numFmtId="0" fontId="21" fillId="3" borderId="3" xfId="3" applyFont="1" applyFill="1" applyBorder="1" applyAlignment="1">
      <alignment vertical="center"/>
    </xf>
    <xf numFmtId="0" fontId="24" fillId="3" borderId="0" xfId="2" applyFont="1" applyFill="1" applyAlignment="1">
      <alignment vertical="center"/>
    </xf>
    <xf numFmtId="0" fontId="22" fillId="0" borderId="3" xfId="2" applyBorder="1" applyAlignment="1">
      <alignment horizontal="center" vertical="center"/>
    </xf>
    <xf numFmtId="0" fontId="22" fillId="3" borderId="3" xfId="2" applyFill="1" applyBorder="1" applyAlignment="1">
      <alignment horizontal="center" vertical="center" wrapText="1"/>
    </xf>
    <xf numFmtId="0" fontId="22" fillId="0" borderId="3" xfId="2" applyBorder="1" applyAlignment="1">
      <alignment horizontal="center" vertical="center" wrapText="1"/>
    </xf>
    <xf numFmtId="0" fontId="22" fillId="3" borderId="3" xfId="2" applyFill="1" applyBorder="1" applyAlignment="1">
      <alignment vertical="center"/>
    </xf>
    <xf numFmtId="0" fontId="22" fillId="0" borderId="3" xfId="2" applyBorder="1" applyAlignment="1">
      <alignment vertical="center"/>
    </xf>
    <xf numFmtId="0" fontId="24" fillId="0" borderId="0" xfId="2" applyFont="1" applyAlignment="1">
      <alignment vertical="center" wrapText="1"/>
    </xf>
    <xf numFmtId="0" fontId="24" fillId="0" borderId="0" xfId="2" applyFont="1" applyAlignment="1">
      <alignment horizontal="center" vertical="center" wrapText="1"/>
    </xf>
    <xf numFmtId="0" fontId="24" fillId="0" borderId="0" xfId="2" applyFont="1" applyAlignment="1">
      <alignment horizontal="center" vertical="center"/>
    </xf>
    <xf numFmtId="0" fontId="25" fillId="4" borderId="3" xfId="3" applyFill="1" applyBorder="1" applyAlignment="1">
      <alignment vertical="center"/>
    </xf>
    <xf numFmtId="0" fontId="22" fillId="4" borderId="3" xfId="2" applyFill="1" applyBorder="1" applyAlignment="1">
      <alignment vertical="center"/>
    </xf>
    <xf numFmtId="0" fontId="26" fillId="4" borderId="3" xfId="2" applyFont="1" applyFill="1" applyBorder="1" applyAlignment="1">
      <alignment horizontal="left" vertical="center"/>
    </xf>
    <xf numFmtId="0" fontId="26" fillId="3" borderId="3" xfId="2" applyFont="1" applyFill="1" applyBorder="1" applyAlignment="1">
      <alignment horizontal="left" vertical="center"/>
    </xf>
    <xf numFmtId="0" fontId="22" fillId="3" borderId="3" xfId="2" applyFill="1" applyBorder="1" applyAlignment="1">
      <alignment horizontal="center" vertical="center"/>
    </xf>
    <xf numFmtId="0" fontId="30" fillId="4" borderId="3" xfId="3" applyFont="1" applyFill="1" applyBorder="1" applyAlignment="1">
      <alignment vertical="center"/>
    </xf>
    <xf numFmtId="0" fontId="29" fillId="3" borderId="3" xfId="3" applyFont="1" applyFill="1" applyBorder="1" applyAlignment="1">
      <alignment vertical="center"/>
    </xf>
    <xf numFmtId="0" fontId="22" fillId="3" borderId="3" xfId="2" applyFill="1" applyBorder="1" applyAlignment="1">
      <alignment vertical="center" wrapText="1"/>
    </xf>
    <xf numFmtId="0" fontId="22" fillId="4" borderId="3" xfId="2" applyFill="1" applyBorder="1" applyAlignment="1">
      <alignment horizontal="center" vertical="center"/>
    </xf>
    <xf numFmtId="0" fontId="22" fillId="0" borderId="0" xfId="2" applyAlignment="1">
      <alignment vertical="center"/>
    </xf>
    <xf numFmtId="0" fontId="31" fillId="4" borderId="3" xfId="3" applyFont="1" applyFill="1" applyBorder="1" applyAlignment="1">
      <alignment horizontal="left" vertical="center"/>
    </xf>
    <xf numFmtId="0" fontId="28" fillId="4" borderId="3" xfId="3" applyFont="1" applyFill="1" applyBorder="1" applyAlignment="1">
      <alignment horizontal="left" vertical="center"/>
    </xf>
    <xf numFmtId="0" fontId="28" fillId="4" borderId="3" xfId="3" applyFont="1" applyFill="1" applyBorder="1" applyAlignment="1">
      <alignment vertical="center"/>
    </xf>
    <xf numFmtId="0" fontId="12" fillId="4" borderId="3" xfId="2" applyFont="1" applyFill="1" applyBorder="1" applyAlignment="1">
      <alignment vertical="center"/>
    </xf>
    <xf numFmtId="0" fontId="29" fillId="4" borderId="3" xfId="3" applyFont="1" applyFill="1" applyBorder="1" applyAlignment="1">
      <alignment vertical="center"/>
    </xf>
    <xf numFmtId="0" fontId="22" fillId="4" borderId="3" xfId="2" applyFill="1" applyBorder="1" applyAlignment="1">
      <alignment vertical="center" wrapText="1"/>
    </xf>
    <xf numFmtId="0" fontId="22" fillId="4" borderId="3" xfId="2" applyFill="1" applyBorder="1" applyAlignment="1">
      <alignment horizontal="center" vertical="center" wrapText="1"/>
    </xf>
    <xf numFmtId="0" fontId="22" fillId="0" borderId="1" xfId="2" applyBorder="1" applyAlignment="1">
      <alignment horizontal="center" vertical="center"/>
    </xf>
    <xf numFmtId="0" fontId="22" fillId="0" borderId="4" xfId="2" applyBorder="1" applyAlignment="1">
      <alignment horizontal="center" vertical="center"/>
    </xf>
    <xf numFmtId="0" fontId="21" fillId="0" borderId="1" xfId="3" applyFont="1" applyBorder="1" applyAlignment="1">
      <alignment vertical="center"/>
    </xf>
    <xf numFmtId="0" fontId="24" fillId="0" borderId="0" xfId="2" applyFont="1" applyAlignment="1">
      <alignment horizontal="left" vertical="center"/>
    </xf>
    <xf numFmtId="0" fontId="0" fillId="21" borderId="12" xfId="0" applyFill="1" applyBorder="1" applyAlignment="1">
      <alignment vertical="center" wrapText="1"/>
    </xf>
    <xf numFmtId="0" fontId="0" fillId="21" borderId="12" xfId="0" applyFill="1" applyBorder="1" applyAlignment="1">
      <alignment horizontal="center" vertical="center"/>
    </xf>
    <xf numFmtId="0" fontId="0" fillId="19" borderId="3" xfId="0" applyFill="1" applyBorder="1" applyAlignment="1">
      <alignment horizontal="center" vertical="center" wrapText="1"/>
    </xf>
    <xf numFmtId="0" fontId="0" fillId="21" borderId="3" xfId="0" applyFill="1" applyBorder="1" applyAlignment="1">
      <alignment vertical="center" wrapText="1"/>
    </xf>
    <xf numFmtId="0" fontId="0" fillId="21" borderId="3" xfId="0" applyFill="1" applyBorder="1" applyAlignment="1">
      <alignment horizontal="center" vertical="center"/>
    </xf>
    <xf numFmtId="0" fontId="0" fillId="5" borderId="3" xfId="0" applyFill="1" applyBorder="1" applyAlignment="1">
      <alignment horizontal="center" vertical="center"/>
    </xf>
    <xf numFmtId="0" fontId="0" fillId="0" borderId="21" xfId="0" applyBorder="1" applyAlignment="1">
      <alignment horizontal="center" vertical="center" wrapText="1"/>
    </xf>
    <xf numFmtId="0" fontId="0" fillId="0" borderId="12" xfId="0" applyBorder="1" applyAlignment="1">
      <alignment horizontal="center" vertical="center" wrapText="1"/>
    </xf>
    <xf numFmtId="0" fontId="0" fillId="20" borderId="3" xfId="0" applyFill="1" applyBorder="1" applyAlignment="1">
      <alignment horizontal="center" vertical="center" wrapText="1"/>
    </xf>
    <xf numFmtId="49" fontId="0" fillId="19" borderId="3" xfId="0" applyNumberFormat="1" applyFill="1" applyBorder="1" applyAlignment="1">
      <alignment horizontal="center" vertical="center" wrapText="1"/>
    </xf>
    <xf numFmtId="0" fontId="0" fillId="3" borderId="3" xfId="0" applyFill="1" applyBorder="1" applyAlignment="1">
      <alignment horizontal="center" vertical="center"/>
    </xf>
    <xf numFmtId="0" fontId="15" fillId="13" borderId="3" xfId="0" applyFont="1" applyFill="1" applyBorder="1"/>
    <xf numFmtId="0" fontId="20" fillId="0" borderId="1" xfId="1" applyBorder="1" applyAlignment="1">
      <alignment vertical="center"/>
    </xf>
    <xf numFmtId="0" fontId="4" fillId="0" borderId="3" xfId="0" applyFont="1" applyBorder="1" applyAlignment="1">
      <alignment horizontal="center" vertical="center"/>
    </xf>
    <xf numFmtId="0" fontId="32" fillId="10" borderId="3" xfId="0" applyFont="1" applyFill="1" applyBorder="1" applyAlignment="1">
      <alignment horizontal="center" vertical="center"/>
    </xf>
    <xf numFmtId="164" fontId="24" fillId="0" borderId="0" xfId="2" applyNumberFormat="1" applyFont="1" applyAlignment="1">
      <alignment horizontal="center" vertical="center"/>
    </xf>
    <xf numFmtId="0" fontId="0" fillId="4" borderId="0" xfId="0" applyFill="1" applyAlignment="1">
      <alignment vertical="center" wrapText="1"/>
    </xf>
    <xf numFmtId="49" fontId="0" fillId="4" borderId="3" xfId="0" applyNumberFormat="1" applyFill="1" applyBorder="1" applyAlignment="1">
      <alignment vertical="center" wrapText="1"/>
    </xf>
    <xf numFmtId="0" fontId="20" fillId="4" borderId="3" xfId="1" applyFill="1" applyBorder="1" applyAlignment="1">
      <alignment vertical="center"/>
    </xf>
    <xf numFmtId="0" fontId="20" fillId="4" borderId="3" xfId="1" applyFill="1" applyBorder="1" applyAlignment="1">
      <alignment horizontal="left" vertical="center"/>
    </xf>
    <xf numFmtId="0" fontId="22" fillId="5" borderId="0" xfId="2" applyFill="1" applyAlignment="1">
      <alignment vertical="center"/>
    </xf>
    <xf numFmtId="0" fontId="24" fillId="5" borderId="0" xfId="2" applyFont="1" applyFill="1" applyAlignment="1">
      <alignment vertical="center"/>
    </xf>
    <xf numFmtId="0" fontId="0" fillId="4" borderId="3" xfId="0" applyFill="1" applyBorder="1" applyAlignment="1">
      <alignment horizontal="left" vertical="center" wrapText="1"/>
    </xf>
    <xf numFmtId="0" fontId="0" fillId="5" borderId="12" xfId="0" applyFill="1" applyBorder="1" applyAlignment="1">
      <alignment horizontal="center" vertical="center" wrapText="1"/>
    </xf>
    <xf numFmtId="49" fontId="0" fillId="0" borderId="12" xfId="0" applyNumberFormat="1" applyBorder="1" applyAlignment="1">
      <alignment vertical="center" wrapText="1"/>
    </xf>
    <xf numFmtId="0" fontId="20" fillId="0" borderId="3" xfId="1" applyFill="1" applyBorder="1" applyAlignment="1">
      <alignment horizontal="left" vertical="center"/>
    </xf>
    <xf numFmtId="0" fontId="23" fillId="0" borderId="3" xfId="2" applyFont="1" applyBorder="1" applyAlignment="1">
      <alignment horizontal="center" vertical="center"/>
    </xf>
    <xf numFmtId="0" fontId="23" fillId="0" borderId="3" xfId="2" applyFont="1" applyBorder="1" applyAlignment="1">
      <alignment horizontal="center" vertical="center" wrapText="1"/>
    </xf>
    <xf numFmtId="49" fontId="22" fillId="0" borderId="3" xfId="2" applyNumberFormat="1" applyBorder="1" applyAlignment="1">
      <alignment horizontal="center" vertical="center" wrapText="1"/>
    </xf>
    <xf numFmtId="0" fontId="23" fillId="19" borderId="1" xfId="2" applyFont="1" applyFill="1" applyBorder="1" applyAlignment="1">
      <alignment horizontal="center" vertical="center"/>
    </xf>
    <xf numFmtId="0" fontId="23" fillId="19" borderId="1" xfId="2" applyFont="1" applyFill="1" applyBorder="1" applyAlignment="1">
      <alignment horizontal="center" vertical="center" wrapText="1"/>
    </xf>
    <xf numFmtId="0" fontId="22" fillId="3" borderId="4" xfId="2" applyFill="1" applyBorder="1" applyAlignment="1">
      <alignment horizontal="center" vertical="center" wrapText="1"/>
    </xf>
    <xf numFmtId="0" fontId="20" fillId="0" borderId="0" xfId="1" applyAlignment="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indent="2"/>
    </xf>
    <xf numFmtId="0" fontId="0" fillId="0" borderId="0" xfId="0" applyAlignment="1">
      <alignment horizontal="left" indent="1"/>
    </xf>
    <xf numFmtId="0" fontId="20" fillId="3" borderId="3" xfId="1" applyFill="1" applyBorder="1" applyAlignment="1">
      <alignment vertical="center"/>
    </xf>
    <xf numFmtId="0" fontId="21" fillId="0" borderId="3" xfId="3" applyFont="1" applyBorder="1" applyAlignment="1">
      <alignment vertical="center"/>
    </xf>
    <xf numFmtId="0" fontId="20" fillId="3" borderId="4" xfId="1" applyFill="1" applyBorder="1" applyAlignment="1">
      <alignment vertical="center"/>
    </xf>
    <xf numFmtId="0" fontId="21" fillId="0" borderId="4" xfId="3" applyFont="1" applyBorder="1" applyAlignment="1">
      <alignment vertical="center"/>
    </xf>
    <xf numFmtId="0" fontId="0" fillId="4" borderId="0" xfId="0" applyFill="1" applyAlignment="1">
      <alignment vertical="center"/>
    </xf>
    <xf numFmtId="0" fontId="20" fillId="4" borderId="0" xfId="1" applyFill="1" applyAlignment="1">
      <alignment vertical="center"/>
    </xf>
    <xf numFmtId="0" fontId="0" fillId="0" borderId="0" xfId="0" applyAlignment="1">
      <alignment horizontal="center" wrapText="1"/>
    </xf>
    <xf numFmtId="0" fontId="0" fillId="5" borderId="3" xfId="0" applyFill="1" applyBorder="1" applyAlignment="1">
      <alignment horizontal="left" vertical="center" wrapText="1"/>
    </xf>
    <xf numFmtId="49" fontId="0" fillId="5" borderId="21" xfId="0" applyNumberFormat="1" applyFill="1" applyBorder="1" applyAlignment="1">
      <alignment vertical="center" wrapText="1"/>
    </xf>
    <xf numFmtId="0" fontId="20" fillId="0" borderId="3" xfId="1" applyBorder="1"/>
    <xf numFmtId="0" fontId="21" fillId="0" borderId="3" xfId="3" applyFont="1" applyFill="1" applyBorder="1" applyAlignment="1">
      <alignment vertical="center"/>
    </xf>
    <xf numFmtId="0" fontId="20" fillId="0" borderId="3" xfId="1" applyBorder="1" applyAlignment="1">
      <alignment vertical="center"/>
    </xf>
    <xf numFmtId="0" fontId="11" fillId="0" borderId="3" xfId="2" applyFont="1" applyBorder="1" applyAlignment="1">
      <alignment vertical="center"/>
    </xf>
    <xf numFmtId="0" fontId="22" fillId="0" borderId="4" xfId="2" applyBorder="1" applyAlignment="1">
      <alignment horizontal="center" vertical="center" wrapText="1"/>
    </xf>
    <xf numFmtId="0" fontId="33" fillId="0" borderId="0" xfId="4" applyAlignment="1">
      <alignment vertical="center"/>
    </xf>
    <xf numFmtId="0" fontId="33" fillId="0" borderId="3" xfId="4" applyBorder="1" applyAlignment="1">
      <alignment horizontal="center" vertical="center"/>
    </xf>
    <xf numFmtId="0" fontId="33" fillId="0" borderId="3" xfId="4" applyBorder="1" applyAlignment="1">
      <alignment vertical="center"/>
    </xf>
    <xf numFmtId="0" fontId="33" fillId="0" borderId="4" xfId="4" applyBorder="1" applyAlignment="1">
      <alignment horizontal="center" vertical="center"/>
    </xf>
    <xf numFmtId="0" fontId="33" fillId="0" borderId="4" xfId="4" applyBorder="1" applyAlignment="1">
      <alignment vertical="center"/>
    </xf>
    <xf numFmtId="0" fontId="33" fillId="0" borderId="0" xfId="4" applyAlignment="1">
      <alignment horizontal="center" vertical="center"/>
    </xf>
    <xf numFmtId="0" fontId="33" fillId="19" borderId="1" xfId="4" applyFill="1" applyBorder="1" applyAlignment="1">
      <alignment horizontal="center" vertical="center"/>
    </xf>
    <xf numFmtId="0" fontId="33" fillId="0" borderId="1" xfId="4" applyBorder="1" applyAlignment="1">
      <alignment horizontal="center" vertical="center"/>
    </xf>
    <xf numFmtId="0" fontId="33" fillId="0" borderId="1" xfId="4" applyBorder="1" applyAlignment="1">
      <alignment vertical="center"/>
    </xf>
    <xf numFmtId="49" fontId="22" fillId="3" borderId="3" xfId="2" applyNumberFormat="1" applyFill="1" applyBorder="1" applyAlignment="1">
      <alignment horizontal="center" vertical="center" wrapText="1"/>
    </xf>
    <xf numFmtId="49" fontId="22" fillId="4" borderId="3" xfId="2" quotePrefix="1" applyNumberFormat="1" applyFill="1" applyBorder="1" applyAlignment="1">
      <alignment horizontal="center" vertical="center" wrapText="1"/>
    </xf>
    <xf numFmtId="14" fontId="34" fillId="0" borderId="3" xfId="0" applyNumberFormat="1" applyFont="1" applyBorder="1" applyAlignment="1">
      <alignment horizontal="center" vertical="center"/>
    </xf>
    <xf numFmtId="0" fontId="0" fillId="0" borderId="12" xfId="0" applyBorder="1" applyAlignment="1">
      <alignment vertical="center" wrapText="1"/>
    </xf>
    <xf numFmtId="0" fontId="0" fillId="3" borderId="3" xfId="0" applyFill="1" applyBorder="1" applyAlignment="1">
      <alignment vertical="center" wrapText="1"/>
    </xf>
    <xf numFmtId="0" fontId="0" fillId="0" borderId="10" xfId="0" applyBorder="1" applyAlignment="1">
      <alignment horizontal="center" vertical="center"/>
    </xf>
    <xf numFmtId="0" fontId="0" fillId="0" borderId="19" xfId="0" applyBorder="1" applyAlignment="1">
      <alignment horizontal="center" vertical="center"/>
    </xf>
    <xf numFmtId="0" fontId="20" fillId="0" borderId="12" xfId="1" applyBorder="1" applyAlignment="1">
      <alignment vertical="center"/>
    </xf>
    <xf numFmtId="0" fontId="0" fillId="20" borderId="10" xfId="0" applyFill="1" applyBorder="1" applyAlignment="1">
      <alignment horizontal="center" vertical="center" wrapText="1"/>
    </xf>
    <xf numFmtId="49" fontId="0" fillId="5" borderId="3" xfId="0" applyNumberFormat="1" applyFill="1" applyBorder="1" applyAlignment="1">
      <alignment horizontal="center" vertical="center" wrapText="1"/>
    </xf>
    <xf numFmtId="49" fontId="0" fillId="0" borderId="3" xfId="0" applyNumberFormat="1" applyBorder="1" applyAlignment="1">
      <alignment horizontal="center" vertical="center" wrapText="1"/>
    </xf>
    <xf numFmtId="49" fontId="0" fillId="5" borderId="21" xfId="0" applyNumberFormat="1" applyFill="1" applyBorder="1" applyAlignment="1">
      <alignment horizontal="center" vertical="center" wrapText="1"/>
    </xf>
    <xf numFmtId="49" fontId="0" fillId="3" borderId="3" xfId="0" applyNumberFormat="1" applyFill="1" applyBorder="1" applyAlignment="1">
      <alignment horizontal="center" vertical="center" wrapText="1"/>
    </xf>
    <xf numFmtId="49" fontId="0" fillId="0" borderId="12" xfId="0" applyNumberFormat="1" applyBorder="1" applyAlignment="1">
      <alignment horizontal="center" vertical="center" wrapText="1"/>
    </xf>
    <xf numFmtId="49" fontId="0" fillId="0" borderId="0" xfId="0" applyNumberFormat="1" applyAlignment="1">
      <alignment horizontal="center" vertical="center" wrapText="1"/>
    </xf>
    <xf numFmtId="49" fontId="0" fillId="4" borderId="3" xfId="0" applyNumberFormat="1" applyFill="1" applyBorder="1" applyAlignment="1">
      <alignment horizontal="center" vertical="center" wrapText="1"/>
    </xf>
    <xf numFmtId="49" fontId="0" fillId="4" borderId="26" xfId="0" quotePrefix="1" applyNumberFormat="1" applyFill="1" applyBorder="1" applyAlignment="1">
      <alignment vertical="center" wrapText="1"/>
    </xf>
    <xf numFmtId="0" fontId="36" fillId="0" borderId="0" xfId="4" applyFont="1" applyAlignment="1">
      <alignment vertical="center"/>
    </xf>
    <xf numFmtId="0" fontId="36" fillId="0" borderId="3" xfId="4" applyFont="1" applyBorder="1" applyAlignment="1">
      <alignment vertical="center"/>
    </xf>
    <xf numFmtId="0" fontId="36" fillId="0" borderId="12" xfId="4" applyFont="1" applyBorder="1" applyAlignment="1">
      <alignment vertical="center"/>
    </xf>
    <xf numFmtId="0" fontId="36" fillId="0" borderId="0" xfId="4" applyFont="1" applyAlignment="1">
      <alignment vertical="center" wrapText="1"/>
    </xf>
    <xf numFmtId="0" fontId="36" fillId="0" borderId="3" xfId="4" applyFont="1" applyBorder="1" applyAlignment="1">
      <alignment horizontal="center" vertical="center"/>
    </xf>
    <xf numFmtId="0" fontId="36" fillId="0" borderId="12" xfId="4" applyFont="1" applyBorder="1" applyAlignment="1">
      <alignment horizontal="center" vertical="center"/>
    </xf>
    <xf numFmtId="0" fontId="36" fillId="0" borderId="0" xfId="4" applyFont="1" applyAlignment="1">
      <alignment horizontal="center" vertical="center"/>
    </xf>
    <xf numFmtId="0" fontId="36" fillId="0" borderId="0" xfId="4" applyFont="1" applyAlignment="1">
      <alignment horizontal="center" vertical="center" wrapText="1"/>
    </xf>
    <xf numFmtId="0" fontId="36" fillId="0" borderId="1" xfId="4" applyFont="1" applyBorder="1" applyAlignment="1">
      <alignment horizontal="center" vertical="center"/>
    </xf>
    <xf numFmtId="0" fontId="38" fillId="0" borderId="1" xfId="4" applyFont="1" applyBorder="1" applyAlignment="1">
      <alignment horizontal="center" vertical="center"/>
    </xf>
    <xf numFmtId="0" fontId="39" fillId="0" borderId="1" xfId="4" applyFont="1" applyBorder="1" applyAlignment="1">
      <alignment horizontal="center" vertical="center" wrapText="1"/>
    </xf>
    <xf numFmtId="166" fontId="36" fillId="0" borderId="1" xfId="4" applyNumberFormat="1" applyFont="1" applyBorder="1" applyAlignment="1">
      <alignment horizontal="center" vertical="center" wrapText="1"/>
    </xf>
    <xf numFmtId="0" fontId="36" fillId="0" borderId="1" xfId="4" applyFont="1" applyBorder="1" applyAlignment="1">
      <alignment horizontal="center" vertical="center" wrapText="1"/>
    </xf>
    <xf numFmtId="166" fontId="36" fillId="0" borderId="1" xfId="4" applyNumberFormat="1" applyFont="1" applyBorder="1" applyAlignment="1">
      <alignment horizontal="center" vertical="center"/>
    </xf>
    <xf numFmtId="0" fontId="36" fillId="0" borderId="1" xfId="4" applyFont="1" applyBorder="1" applyAlignment="1">
      <alignment horizontal="left" vertical="center" wrapText="1"/>
    </xf>
    <xf numFmtId="0" fontId="36" fillId="0" borderId="9" xfId="4" applyFont="1" applyBorder="1" applyAlignment="1">
      <alignment horizontal="center" vertical="center"/>
    </xf>
    <xf numFmtId="0" fontId="38" fillId="11" borderId="1" xfId="4" applyFont="1" applyFill="1" applyBorder="1" applyAlignment="1">
      <alignment horizontal="center" vertical="center"/>
    </xf>
    <xf numFmtId="0" fontId="39" fillId="11" borderId="1" xfId="4" applyFont="1" applyFill="1" applyBorder="1" applyAlignment="1">
      <alignment horizontal="center" vertical="center" wrapText="1"/>
    </xf>
    <xf numFmtId="0" fontId="36" fillId="11" borderId="1" xfId="4" applyFont="1" applyFill="1" applyBorder="1" applyAlignment="1">
      <alignment horizontal="center" vertical="center"/>
    </xf>
    <xf numFmtId="166" fontId="36" fillId="11" borderId="1" xfId="4" applyNumberFormat="1" applyFont="1" applyFill="1" applyBorder="1" applyAlignment="1">
      <alignment horizontal="center" vertical="center" wrapText="1"/>
    </xf>
    <xf numFmtId="166" fontId="36" fillId="11" borderId="1" xfId="4" applyNumberFormat="1" applyFont="1" applyFill="1" applyBorder="1" applyAlignment="1">
      <alignment horizontal="center" vertical="center"/>
    </xf>
    <xf numFmtId="0" fontId="36" fillId="11" borderId="1" xfId="4" applyFont="1" applyFill="1" applyBorder="1" applyAlignment="1">
      <alignment horizontal="left" vertical="center" wrapText="1"/>
    </xf>
    <xf numFmtId="0" fontId="36" fillId="11" borderId="1" xfId="4" applyFont="1" applyFill="1" applyBorder="1" applyAlignment="1">
      <alignment horizontal="center" vertical="center" wrapText="1"/>
    </xf>
    <xf numFmtId="0" fontId="36" fillId="11" borderId="9" xfId="4" applyFont="1" applyFill="1" applyBorder="1" applyAlignment="1">
      <alignment horizontal="center" vertical="center"/>
    </xf>
    <xf numFmtId="0" fontId="36" fillId="0" borderId="4" xfId="4" applyFont="1" applyBorder="1" applyAlignment="1">
      <alignment horizontal="center" vertical="center"/>
    </xf>
    <xf numFmtId="166" fontId="36" fillId="0" borderId="4" xfId="4" applyNumberFormat="1" applyFont="1" applyBorder="1" applyAlignment="1">
      <alignment horizontal="center" vertical="center"/>
    </xf>
    <xf numFmtId="166" fontId="36" fillId="0" borderId="3" xfId="4" applyNumberFormat="1" applyFont="1" applyBorder="1" applyAlignment="1">
      <alignment horizontal="center" vertical="center"/>
    </xf>
    <xf numFmtId="0" fontId="36" fillId="0" borderId="11" xfId="4" applyFont="1" applyBorder="1" applyAlignment="1">
      <alignment horizontal="center" vertical="center"/>
    </xf>
    <xf numFmtId="0" fontId="36" fillId="0" borderId="5" xfId="4" applyFont="1" applyBorder="1" applyAlignment="1">
      <alignment horizontal="center" vertical="center"/>
    </xf>
    <xf numFmtId="166" fontId="36" fillId="0" borderId="4" xfId="4" applyNumberFormat="1" applyFont="1" applyBorder="1" applyAlignment="1">
      <alignment horizontal="center" vertical="center" wrapText="1"/>
    </xf>
    <xf numFmtId="0" fontId="36" fillId="0" borderId="4" xfId="4" applyFont="1" applyBorder="1" applyAlignment="1">
      <alignment horizontal="left" vertical="center" wrapText="1"/>
    </xf>
    <xf numFmtId="0" fontId="39" fillId="0" borderId="4" xfId="4" applyFont="1" applyBorder="1" applyAlignment="1">
      <alignment horizontal="center" vertical="center" wrapText="1"/>
    </xf>
    <xf numFmtId="0" fontId="36" fillId="0" borderId="4" xfId="4" applyFont="1" applyBorder="1" applyAlignment="1">
      <alignment horizontal="center" vertical="center" wrapText="1"/>
    </xf>
    <xf numFmtId="0" fontId="36" fillId="0" borderId="6" xfId="4" applyFont="1" applyBorder="1" applyAlignment="1">
      <alignment horizontal="center" vertical="center"/>
    </xf>
    <xf numFmtId="166" fontId="36" fillId="0" borderId="3" xfId="4" applyNumberFormat="1" applyFont="1" applyBorder="1" applyAlignment="1">
      <alignment horizontal="center" vertical="center" wrapText="1"/>
    </xf>
    <xf numFmtId="0" fontId="36" fillId="0" borderId="3" xfId="4" applyFont="1" applyBorder="1" applyAlignment="1">
      <alignment horizontal="left" vertical="center" wrapText="1"/>
    </xf>
    <xf numFmtId="0" fontId="39" fillId="0" borderId="3" xfId="4" applyFont="1" applyBorder="1" applyAlignment="1">
      <alignment horizontal="center" vertical="center" wrapText="1"/>
    </xf>
    <xf numFmtId="0" fontId="36" fillId="0" borderId="3" xfId="4" applyFont="1" applyBorder="1" applyAlignment="1">
      <alignment horizontal="center" vertical="center" wrapText="1"/>
    </xf>
    <xf numFmtId="0" fontId="36" fillId="0" borderId="10" xfId="4" applyFont="1" applyBorder="1" applyAlignment="1">
      <alignment horizontal="center" vertical="center"/>
    </xf>
    <xf numFmtId="166" fontId="36" fillId="0" borderId="18" xfId="4" applyNumberFormat="1" applyFont="1" applyBorder="1" applyAlignment="1">
      <alignment horizontal="center" vertical="center"/>
    </xf>
    <xf numFmtId="14" fontId="36" fillId="0" borderId="3" xfId="4" applyNumberFormat="1" applyFont="1" applyBorder="1" applyAlignment="1">
      <alignment horizontal="center" vertical="center"/>
    </xf>
    <xf numFmtId="0" fontId="36" fillId="0" borderId="12" xfId="4" applyFont="1" applyBorder="1" applyAlignment="1">
      <alignment horizontal="left" vertical="center" wrapText="1"/>
    </xf>
    <xf numFmtId="0" fontId="36" fillId="0" borderId="21" xfId="4" applyFont="1" applyBorder="1" applyAlignment="1">
      <alignment horizontal="left" vertical="center" wrapText="1"/>
    </xf>
    <xf numFmtId="0" fontId="39" fillId="0" borderId="2" xfId="4" applyFont="1" applyBorder="1" applyAlignment="1">
      <alignment horizontal="center" vertical="center" wrapText="1"/>
    </xf>
    <xf numFmtId="0" fontId="36" fillId="0" borderId="12" xfId="4" applyFont="1" applyBorder="1" applyAlignment="1">
      <alignment horizontal="center" vertical="center" wrapText="1"/>
    </xf>
    <xf numFmtId="166" fontId="36" fillId="0" borderId="12" xfId="4" applyNumberFormat="1" applyFont="1" applyBorder="1" applyAlignment="1">
      <alignment horizontal="center" vertical="center"/>
    </xf>
    <xf numFmtId="0" fontId="36" fillId="0" borderId="19" xfId="4" applyFont="1" applyBorder="1" applyAlignment="1">
      <alignment horizontal="center" vertical="center"/>
    </xf>
    <xf numFmtId="166" fontId="36" fillId="0" borderId="12" xfId="4" applyNumberFormat="1" applyFont="1" applyBorder="1" applyAlignment="1">
      <alignment horizontal="center" vertical="center" wrapText="1"/>
    </xf>
    <xf numFmtId="0" fontId="38" fillId="0" borderId="4" xfId="4" applyFont="1" applyBorder="1" applyAlignment="1">
      <alignment horizontal="center" vertical="center"/>
    </xf>
    <xf numFmtId="0" fontId="36" fillId="11" borderId="3" xfId="4" applyFont="1" applyFill="1" applyBorder="1" applyAlignment="1">
      <alignment horizontal="center" vertical="center" wrapText="1"/>
    </xf>
    <xf numFmtId="0" fontId="36" fillId="0" borderId="3" xfId="4" applyFont="1" applyBorder="1" applyAlignment="1">
      <alignment vertical="center" wrapText="1"/>
    </xf>
    <xf numFmtId="0" fontId="38" fillId="0" borderId="12" xfId="4" applyFont="1" applyBorder="1" applyAlignment="1">
      <alignment horizontal="center" vertical="center"/>
    </xf>
    <xf numFmtId="0" fontId="39" fillId="0" borderId="12" xfId="4" applyFont="1" applyBorder="1" applyAlignment="1">
      <alignment horizontal="center" vertical="center" wrapText="1"/>
    </xf>
    <xf numFmtId="166" fontId="36" fillId="0" borderId="3" xfId="4" applyNumberFormat="1" applyFont="1" applyBorder="1" applyAlignment="1">
      <alignment vertical="center" wrapText="1"/>
    </xf>
    <xf numFmtId="0" fontId="38" fillId="0" borderId="3" xfId="4" applyFont="1" applyBorder="1" applyAlignment="1">
      <alignment horizontal="center" vertical="center"/>
    </xf>
    <xf numFmtId="0" fontId="0" fillId="0" borderId="3" xfId="4" applyFont="1" applyBorder="1" applyAlignment="1">
      <alignment horizontal="center" vertical="center"/>
    </xf>
    <xf numFmtId="0" fontId="33" fillId="0" borderId="12" xfId="4" applyBorder="1" applyAlignment="1">
      <alignment horizontal="center" vertical="center"/>
    </xf>
    <xf numFmtId="0" fontId="33" fillId="0" borderId="12" xfId="4" applyBorder="1" applyAlignment="1">
      <alignment vertical="center"/>
    </xf>
    <xf numFmtId="1" fontId="33" fillId="0" borderId="3" xfId="4" applyNumberFormat="1" applyBorder="1" applyAlignment="1">
      <alignment horizontal="center" vertical="center"/>
    </xf>
    <xf numFmtId="0" fontId="0" fillId="0" borderId="0" xfId="0" applyAlignment="1">
      <alignment horizontal="center"/>
    </xf>
    <xf numFmtId="0" fontId="0" fillId="0" borderId="3" xfId="0" applyBorder="1" applyAlignment="1">
      <alignment horizontal="center"/>
    </xf>
    <xf numFmtId="0" fontId="35" fillId="22" borderId="4" xfId="4" applyFont="1" applyFill="1" applyBorder="1" applyAlignment="1">
      <alignment horizontal="center" vertical="center" wrapText="1"/>
    </xf>
    <xf numFmtId="165" fontId="35" fillId="22" borderId="4" xfId="4" applyNumberFormat="1" applyFont="1" applyFill="1" applyBorder="1" applyAlignment="1">
      <alignment horizontal="center" vertical="center" wrapText="1"/>
    </xf>
    <xf numFmtId="0" fontId="0" fillId="0" borderId="20" xfId="0" applyBorder="1" applyAlignment="1">
      <alignment vertical="center" wrapText="1"/>
    </xf>
    <xf numFmtId="0" fontId="41" fillId="0" borderId="0" xfId="0" applyFont="1" applyAlignment="1">
      <alignment vertical="center" wrapText="1"/>
    </xf>
    <xf numFmtId="0" fontId="41" fillId="0" borderId="3" xfId="0" applyFont="1" applyBorder="1" applyAlignment="1">
      <alignment horizontal="center" vertical="center" wrapText="1"/>
    </xf>
    <xf numFmtId="0" fontId="41" fillId="5" borderId="3" xfId="0" applyFont="1" applyFill="1" applyBorder="1" applyAlignment="1">
      <alignment horizontal="center" vertical="center" wrapText="1"/>
    </xf>
    <xf numFmtId="0" fontId="41" fillId="0" borderId="1" xfId="0" applyFont="1" applyBorder="1" applyAlignment="1">
      <alignment horizontal="center" vertical="center"/>
    </xf>
    <xf numFmtId="0" fontId="41" fillId="0" borderId="21"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10" xfId="0" applyFont="1" applyBorder="1" applyAlignment="1">
      <alignment horizontal="center" vertical="center" wrapText="1"/>
    </xf>
    <xf numFmtId="49" fontId="41" fillId="5" borderId="11" xfId="0" applyNumberFormat="1" applyFont="1" applyFill="1" applyBorder="1" applyAlignment="1">
      <alignment horizontal="center" vertical="center"/>
    </xf>
    <xf numFmtId="0" fontId="41" fillId="5" borderId="1" xfId="0" applyFont="1" applyFill="1" applyBorder="1" applyAlignment="1">
      <alignment horizontal="center" vertical="center"/>
    </xf>
    <xf numFmtId="0" fontId="41" fillId="5" borderId="1" xfId="0" applyFont="1" applyFill="1" applyBorder="1" applyAlignment="1">
      <alignment horizontal="center" vertical="center" wrapText="1"/>
    </xf>
    <xf numFmtId="0" fontId="41" fillId="0" borderId="10" xfId="0" applyFont="1" applyBorder="1" applyAlignment="1">
      <alignment horizontal="left" vertical="center" wrapText="1"/>
    </xf>
    <xf numFmtId="49" fontId="41" fillId="0" borderId="3" xfId="0" applyNumberFormat="1" applyFont="1" applyBorder="1" applyAlignment="1">
      <alignment vertical="center" wrapText="1"/>
    </xf>
    <xf numFmtId="0" fontId="42" fillId="0" borderId="16" xfId="0" applyFont="1" applyBorder="1" applyAlignment="1">
      <alignment horizontal="center" vertical="center"/>
    </xf>
    <xf numFmtId="0" fontId="41" fillId="0" borderId="6" xfId="0" applyFont="1" applyBorder="1" applyAlignment="1">
      <alignment horizontal="center" vertical="center"/>
    </xf>
    <xf numFmtId="0" fontId="41" fillId="0" borderId="3" xfId="0" applyFont="1" applyBorder="1" applyAlignment="1">
      <alignment vertical="center" wrapText="1"/>
    </xf>
    <xf numFmtId="0" fontId="41" fillId="0" borderId="10" xfId="0" applyFont="1" applyBorder="1" applyAlignment="1">
      <alignment vertical="center" wrapText="1"/>
    </xf>
    <xf numFmtId="0" fontId="41" fillId="4" borderId="3" xfId="0" applyFont="1" applyFill="1" applyBorder="1" applyAlignment="1">
      <alignment vertical="center" wrapText="1"/>
    </xf>
    <xf numFmtId="0" fontId="41" fillId="0" borderId="5" xfId="0" applyFont="1" applyBorder="1" applyAlignment="1">
      <alignment horizontal="center" vertical="center" wrapText="1"/>
    </xf>
    <xf numFmtId="0" fontId="41" fillId="0" borderId="19" xfId="0" applyFont="1" applyBorder="1" applyAlignment="1">
      <alignment horizontal="center" vertical="center" wrapText="1"/>
    </xf>
    <xf numFmtId="0" fontId="41" fillId="5" borderId="3" xfId="0" applyFont="1" applyFill="1" applyBorder="1" applyAlignment="1">
      <alignment vertical="center" wrapText="1"/>
    </xf>
    <xf numFmtId="0" fontId="41" fillId="0" borderId="3" xfId="0" applyFont="1" applyBorder="1" applyAlignment="1">
      <alignment horizontal="center" vertical="center"/>
    </xf>
    <xf numFmtId="0" fontId="41" fillId="0" borderId="3" xfId="0" applyFont="1" applyBorder="1" applyAlignment="1">
      <alignment horizontal="left" vertical="center" wrapText="1"/>
    </xf>
    <xf numFmtId="0" fontId="41" fillId="0" borderId="12" xfId="0" applyFont="1" applyBorder="1" applyAlignment="1">
      <alignment horizontal="center" vertical="center" wrapText="1"/>
    </xf>
    <xf numFmtId="0" fontId="41" fillId="5" borderId="12" xfId="0" applyFont="1" applyFill="1" applyBorder="1" applyAlignment="1">
      <alignment vertical="center" wrapText="1"/>
    </xf>
    <xf numFmtId="0" fontId="41" fillId="5" borderId="12" xfId="0" applyFont="1" applyFill="1" applyBorder="1" applyAlignment="1">
      <alignment horizontal="center" vertical="center" wrapText="1"/>
    </xf>
    <xf numFmtId="0" fontId="41" fillId="0" borderId="20" xfId="0" applyFont="1" applyBorder="1" applyAlignment="1">
      <alignment horizontal="center" vertical="center" wrapText="1"/>
    </xf>
    <xf numFmtId="49" fontId="41" fillId="5" borderId="27" xfId="0" applyNumberFormat="1" applyFont="1" applyFill="1" applyBorder="1" applyAlignment="1">
      <alignment horizontal="center" vertical="center"/>
    </xf>
    <xf numFmtId="0" fontId="41" fillId="0" borderId="12" xfId="0" applyFont="1" applyBorder="1" applyAlignment="1">
      <alignment vertical="center" wrapText="1"/>
    </xf>
    <xf numFmtId="0" fontId="41" fillId="0" borderId="12" xfId="0" applyFont="1" applyBorder="1" applyAlignment="1">
      <alignment horizontal="left" vertical="center" wrapText="1"/>
    </xf>
    <xf numFmtId="49" fontId="41" fillId="0" borderId="12" xfId="0" applyNumberFormat="1" applyFont="1" applyBorder="1" applyAlignment="1">
      <alignment vertical="center" wrapText="1"/>
    </xf>
    <xf numFmtId="0" fontId="41" fillId="0" borderId="27" xfId="0" applyFont="1" applyBorder="1" applyAlignment="1">
      <alignment horizontal="center" vertical="center"/>
    </xf>
    <xf numFmtId="49" fontId="41" fillId="5" borderId="3" xfId="0" applyNumberFormat="1" applyFont="1" applyFill="1" applyBorder="1" applyAlignment="1">
      <alignment horizontal="center" vertical="center"/>
    </xf>
    <xf numFmtId="0" fontId="41" fillId="0" borderId="21" xfId="0" applyFont="1" applyBorder="1" applyAlignment="1">
      <alignment horizontal="center" vertical="center"/>
    </xf>
    <xf numFmtId="0" fontId="41" fillId="5" borderId="21" xfId="0" applyFont="1" applyFill="1" applyBorder="1" applyAlignment="1">
      <alignment horizontal="center" vertical="center" wrapText="1"/>
    </xf>
    <xf numFmtId="49" fontId="41" fillId="0" borderId="21" xfId="0" applyNumberFormat="1" applyFont="1" applyBorder="1" applyAlignment="1">
      <alignment vertical="center" wrapText="1"/>
    </xf>
    <xf numFmtId="0" fontId="41" fillId="0" borderId="16" xfId="0" applyFont="1" applyBorder="1" applyAlignment="1">
      <alignment horizontal="center" vertical="center"/>
    </xf>
    <xf numFmtId="0" fontId="41" fillId="0" borderId="21" xfId="0" applyFont="1" applyBorder="1" applyAlignment="1">
      <alignment vertical="center" wrapText="1"/>
    </xf>
    <xf numFmtId="0" fontId="41" fillId="0" borderId="5" xfId="0" applyFont="1" applyBorder="1" applyAlignment="1">
      <alignment horizontal="center" vertical="center"/>
    </xf>
    <xf numFmtId="0" fontId="41" fillId="5" borderId="5" xfId="0" applyFont="1" applyFill="1" applyBorder="1" applyAlignment="1">
      <alignment horizontal="center" vertical="center" wrapText="1"/>
    </xf>
    <xf numFmtId="0" fontId="41" fillId="0" borderId="23"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25" xfId="0" applyFont="1" applyBorder="1" applyAlignment="1">
      <alignment horizontal="center" vertical="center" wrapText="1"/>
    </xf>
    <xf numFmtId="49" fontId="41" fillId="5" borderId="16" xfId="0" applyNumberFormat="1" applyFont="1" applyFill="1" applyBorder="1" applyAlignment="1">
      <alignment horizontal="center" vertical="center"/>
    </xf>
    <xf numFmtId="0" fontId="41" fillId="4" borderId="21" xfId="0" applyFont="1" applyFill="1" applyBorder="1" applyAlignment="1">
      <alignment horizontal="center" vertical="center" wrapText="1"/>
    </xf>
    <xf numFmtId="0" fontId="41" fillId="0" borderId="4" xfId="0" applyFont="1" applyBorder="1" applyAlignment="1">
      <alignment horizontal="center" vertical="center" wrapText="1"/>
    </xf>
    <xf numFmtId="0" fontId="43" fillId="0" borderId="3" xfId="0" applyFont="1" applyBorder="1" applyAlignment="1">
      <alignment horizontal="center" vertical="center"/>
    </xf>
    <xf numFmtId="0" fontId="41" fillId="0" borderId="12" xfId="0" applyFont="1" applyBorder="1" applyAlignment="1">
      <alignment horizontal="center" vertical="center"/>
    </xf>
    <xf numFmtId="49" fontId="41" fillId="0" borderId="3" xfId="0" applyNumberFormat="1" applyFont="1" applyBorder="1" applyAlignment="1">
      <alignment horizontal="center" vertical="center" wrapText="1"/>
    </xf>
    <xf numFmtId="0" fontId="42" fillId="0" borderId="21" xfId="0" applyFont="1" applyBorder="1" applyAlignment="1">
      <alignment horizontal="center" vertical="center"/>
    </xf>
    <xf numFmtId="0" fontId="41" fillId="0" borderId="28" xfId="0" applyFont="1" applyBorder="1" applyAlignment="1">
      <alignment horizontal="center" vertical="center" wrapText="1"/>
    </xf>
    <xf numFmtId="0" fontId="41" fillId="0" borderId="4" xfId="0" applyFont="1" applyBorder="1" applyAlignment="1">
      <alignment horizontal="center" vertical="center"/>
    </xf>
    <xf numFmtId="0" fontId="42" fillId="0" borderId="3" xfId="0" applyFont="1" applyBorder="1" applyAlignment="1">
      <alignment horizontal="center" vertical="center"/>
    </xf>
    <xf numFmtId="0" fontId="42" fillId="5" borderId="3" xfId="0" applyFont="1" applyFill="1" applyBorder="1" applyAlignment="1">
      <alignment horizontal="center" vertical="center" wrapText="1"/>
    </xf>
    <xf numFmtId="0" fontId="41" fillId="5" borderId="4" xfId="0" applyFont="1" applyFill="1" applyBorder="1" applyAlignment="1">
      <alignment horizontal="center" vertical="center" wrapText="1"/>
    </xf>
    <xf numFmtId="0" fontId="41" fillId="0" borderId="19" xfId="0" applyFont="1" applyBorder="1" applyAlignment="1">
      <alignment horizontal="left" vertical="center" wrapText="1"/>
    </xf>
    <xf numFmtId="0" fontId="41" fillId="4" borderId="12" xfId="0" applyFont="1" applyFill="1" applyBorder="1" applyAlignment="1">
      <alignment vertical="center" wrapText="1"/>
    </xf>
    <xf numFmtId="0" fontId="41" fillId="4" borderId="19" xfId="0" applyFont="1" applyFill="1" applyBorder="1" applyAlignment="1">
      <alignment vertical="center" wrapText="1"/>
    </xf>
    <xf numFmtId="0" fontId="41" fillId="5" borderId="3" xfId="0" applyFont="1" applyFill="1" applyBorder="1" applyAlignment="1">
      <alignment horizontal="center" vertical="center"/>
    </xf>
    <xf numFmtId="0" fontId="41" fillId="0" borderId="0" xfId="0" applyFont="1" applyAlignment="1">
      <alignment horizontal="center" vertical="center" wrapText="1"/>
    </xf>
    <xf numFmtId="49" fontId="41" fillId="0" borderId="0" xfId="0" applyNumberFormat="1" applyFont="1" applyAlignment="1">
      <alignment horizontal="center" vertical="center" wrapText="1"/>
    </xf>
    <xf numFmtId="0" fontId="41" fillId="0" borderId="24" xfId="0" applyFont="1" applyBorder="1" applyAlignment="1">
      <alignment horizontal="center" vertical="center" wrapText="1"/>
    </xf>
    <xf numFmtId="0" fontId="43" fillId="0" borderId="12" xfId="0" applyFont="1" applyBorder="1" applyAlignment="1">
      <alignment horizontal="center" vertical="center"/>
    </xf>
    <xf numFmtId="0" fontId="0" fillId="0" borderId="21" xfId="0" applyBorder="1" applyAlignment="1">
      <alignment vertical="center"/>
    </xf>
    <xf numFmtId="0" fontId="0" fillId="0" borderId="3" xfId="0" applyBorder="1" applyAlignment="1">
      <alignment horizontal="left" vertical="center" wrapText="1"/>
    </xf>
    <xf numFmtId="49" fontId="0" fillId="0" borderId="3" xfId="0" applyNumberFormat="1" applyBorder="1" applyAlignment="1">
      <alignment horizontal="left" vertical="center" wrapText="1"/>
    </xf>
    <xf numFmtId="0" fontId="0" fillId="4" borderId="3" xfId="0" applyFill="1" applyBorder="1" applyAlignment="1">
      <alignment horizontal="left" wrapText="1"/>
    </xf>
    <xf numFmtId="0" fontId="6" fillId="0" borderId="0" xfId="0" applyFont="1"/>
    <xf numFmtId="49" fontId="35" fillId="22" borderId="3" xfId="4" applyNumberFormat="1" applyFont="1" applyFill="1" applyBorder="1" applyAlignment="1">
      <alignment horizontal="center" vertical="center" wrapText="1"/>
    </xf>
    <xf numFmtId="0" fontId="36" fillId="11" borderId="3" xfId="4" applyFont="1" applyFill="1" applyBorder="1" applyAlignment="1">
      <alignment horizontal="center" vertical="center"/>
    </xf>
    <xf numFmtId="0" fontId="36" fillId="11" borderId="3" xfId="4" applyFont="1" applyFill="1" applyBorder="1" applyAlignment="1">
      <alignment vertical="center"/>
    </xf>
    <xf numFmtId="0" fontId="36" fillId="0" borderId="10" xfId="4" applyFont="1" applyBorder="1" applyAlignment="1">
      <alignment vertical="center"/>
    </xf>
    <xf numFmtId="0" fontId="36" fillId="0" borderId="19" xfId="4" applyFont="1" applyBorder="1" applyAlignment="1">
      <alignment vertical="center"/>
    </xf>
    <xf numFmtId="0" fontId="0" fillId="5" borderId="3" xfId="0" quotePrefix="1" applyFill="1" applyBorder="1" applyAlignment="1">
      <alignment vertical="center" wrapText="1"/>
    </xf>
    <xf numFmtId="0" fontId="0" fillId="5" borderId="10" xfId="0" applyFill="1" applyBorder="1" applyAlignment="1">
      <alignment horizontal="center" vertical="center"/>
    </xf>
    <xf numFmtId="0" fontId="19" fillId="0" borderId="3" xfId="0" applyFont="1" applyBorder="1" applyAlignment="1">
      <alignment horizontal="center" vertical="center" wrapText="1"/>
    </xf>
    <xf numFmtId="0" fontId="19" fillId="0" borderId="3" xfId="0" applyFont="1" applyBorder="1" applyAlignment="1">
      <alignment vertical="center" wrapText="1"/>
    </xf>
    <xf numFmtId="0" fontId="19" fillId="0" borderId="3" xfId="0" applyFont="1" applyBorder="1" applyAlignment="1">
      <alignment vertical="center"/>
    </xf>
    <xf numFmtId="0" fontId="19" fillId="0" borderId="3" xfId="0" applyFont="1" applyBorder="1" applyAlignment="1">
      <alignment horizontal="center" vertical="center"/>
    </xf>
    <xf numFmtId="0" fontId="19" fillId="5" borderId="3" xfId="0" applyFont="1" applyFill="1" applyBorder="1" applyAlignment="1">
      <alignment horizontal="center" vertical="center" wrapText="1"/>
    </xf>
    <xf numFmtId="49" fontId="19" fillId="0" borderId="3" xfId="0" applyNumberFormat="1" applyFont="1" applyBorder="1" applyAlignment="1">
      <alignment vertical="center" wrapText="1"/>
    </xf>
    <xf numFmtId="0" fontId="45" fillId="0" borderId="3" xfId="0" applyFont="1" applyBorder="1" applyAlignment="1">
      <alignment horizontal="left" vertical="center" wrapText="1"/>
    </xf>
    <xf numFmtId="0" fontId="0" fillId="4" borderId="3" xfId="0" applyFill="1" applyBorder="1" applyAlignment="1">
      <alignment vertical="center"/>
    </xf>
    <xf numFmtId="0" fontId="0" fillId="5" borderId="3" xfId="0" applyFill="1" applyBorder="1" applyAlignment="1">
      <alignment horizontal="left" wrapText="1"/>
    </xf>
    <xf numFmtId="0" fontId="41" fillId="5" borderId="4" xfId="0" applyFont="1" applyFill="1" applyBorder="1" applyAlignment="1">
      <alignment horizontal="center" vertical="center"/>
    </xf>
    <xf numFmtId="0" fontId="42" fillId="0" borderId="17" xfId="0" applyFont="1" applyBorder="1" applyAlignment="1">
      <alignment horizontal="center" vertical="center"/>
    </xf>
    <xf numFmtId="0" fontId="41" fillId="0" borderId="19" xfId="0" applyFont="1" applyBorder="1" applyAlignment="1">
      <alignment vertical="center" wrapText="1"/>
    </xf>
    <xf numFmtId="0" fontId="41" fillId="5" borderId="5" xfId="0" applyFont="1" applyFill="1" applyBorder="1" applyAlignment="1">
      <alignment horizontal="center" vertical="center"/>
    </xf>
    <xf numFmtId="0" fontId="41" fillId="0" borderId="25" xfId="0" applyFont="1" applyBorder="1" applyAlignment="1">
      <alignment horizontal="left" vertical="center" wrapText="1"/>
    </xf>
    <xf numFmtId="0" fontId="41" fillId="0" borderId="7" xfId="0" applyFont="1" applyBorder="1" applyAlignment="1">
      <alignment horizontal="center" vertical="center"/>
    </xf>
    <xf numFmtId="0" fontId="41" fillId="0" borderId="25" xfId="0" applyFont="1" applyBorder="1" applyAlignment="1">
      <alignment vertical="center" wrapText="1"/>
    </xf>
    <xf numFmtId="0" fontId="0" fillId="5" borderId="18" xfId="0" applyFill="1" applyBorder="1" applyAlignment="1">
      <alignment horizontal="center" vertical="center"/>
    </xf>
    <xf numFmtId="0" fontId="36" fillId="20" borderId="3" xfId="4" applyFont="1" applyFill="1" applyBorder="1" applyAlignment="1">
      <alignment horizontal="center" vertical="center" wrapText="1"/>
    </xf>
    <xf numFmtId="0" fontId="36" fillId="0" borderId="9" xfId="4" applyFont="1" applyBorder="1" applyAlignment="1">
      <alignment horizontal="center" vertical="center" wrapText="1"/>
    </xf>
    <xf numFmtId="0" fontId="36" fillId="11" borderId="9" xfId="4" applyFont="1" applyFill="1" applyBorder="1" applyAlignment="1">
      <alignment horizontal="center" vertical="center" wrapText="1"/>
    </xf>
    <xf numFmtId="0" fontId="36" fillId="0" borderId="6" xfId="4" applyFont="1" applyBorder="1" applyAlignment="1">
      <alignment horizontal="center" vertical="center" wrapText="1"/>
    </xf>
    <xf numFmtId="0" fontId="36" fillId="0" borderId="10" xfId="4" applyFont="1" applyBorder="1" applyAlignment="1">
      <alignment horizontal="center" vertical="center" wrapText="1"/>
    </xf>
    <xf numFmtId="0" fontId="40" fillId="0" borderId="11" xfId="3" applyFont="1" applyBorder="1" applyAlignment="1">
      <alignment horizontal="center" vertical="center" wrapText="1"/>
    </xf>
    <xf numFmtId="0" fontId="37" fillId="0" borderId="11" xfId="3" applyFont="1" applyBorder="1" applyAlignment="1">
      <alignment horizontal="center" vertical="center" wrapText="1"/>
    </xf>
    <xf numFmtId="0" fontId="37" fillId="11" borderId="11" xfId="3" applyFont="1" applyFill="1" applyBorder="1" applyAlignment="1">
      <alignment horizontal="center" vertical="center" wrapText="1"/>
    </xf>
    <xf numFmtId="0" fontId="40" fillId="0" borderId="18" xfId="3" applyFont="1" applyBorder="1" applyAlignment="1">
      <alignment horizontal="center" vertical="center" wrapText="1"/>
    </xf>
    <xf numFmtId="0" fontId="0" fillId="24" borderId="3" xfId="0" applyFill="1" applyBorder="1" applyAlignment="1">
      <alignment vertical="center"/>
    </xf>
    <xf numFmtId="0" fontId="47" fillId="23" borderId="3" xfId="0" applyFont="1" applyFill="1" applyBorder="1" applyAlignment="1">
      <alignment horizontal="center" vertical="center"/>
    </xf>
    <xf numFmtId="15" fontId="36" fillId="0" borderId="3" xfId="4" applyNumberFormat="1" applyFont="1" applyBorder="1" applyAlignment="1">
      <alignment horizontal="center" vertical="center"/>
    </xf>
    <xf numFmtId="0" fontId="36" fillId="0" borderId="12" xfId="4" applyFont="1" applyBorder="1" applyAlignment="1">
      <alignment vertical="center" wrapText="1"/>
    </xf>
    <xf numFmtId="0" fontId="29" fillId="0" borderId="3" xfId="3" applyFont="1" applyBorder="1" applyAlignment="1">
      <alignment vertical="center"/>
    </xf>
    <xf numFmtId="0" fontId="22" fillId="0" borderId="3" xfId="2" applyBorder="1" applyAlignment="1">
      <alignment vertical="center" wrapText="1"/>
    </xf>
    <xf numFmtId="0" fontId="21" fillId="3" borderId="4" xfId="3" applyFont="1" applyFill="1" applyBorder="1" applyAlignment="1">
      <alignment vertical="center"/>
    </xf>
    <xf numFmtId="0" fontId="36" fillId="11" borderId="12" xfId="4" applyFont="1" applyFill="1" applyBorder="1" applyAlignment="1">
      <alignment horizontal="center" vertical="center" wrapText="1"/>
    </xf>
    <xf numFmtId="0" fontId="36" fillId="0" borderId="7" xfId="4" applyFont="1" applyBorder="1" applyAlignment="1">
      <alignment horizontal="center" vertical="center"/>
    </xf>
    <xf numFmtId="0" fontId="38" fillId="0" borderId="23" xfId="4" applyFont="1" applyBorder="1" applyAlignment="1">
      <alignment horizontal="center" vertical="center"/>
    </xf>
    <xf numFmtId="0" fontId="39" fillId="0" borderId="23" xfId="4" applyFont="1" applyBorder="1" applyAlignment="1">
      <alignment horizontal="center" vertical="center" wrapText="1"/>
    </xf>
    <xf numFmtId="166" fontId="36" fillId="0" borderId="23" xfId="4" applyNumberFormat="1" applyFont="1" applyBorder="1" applyAlignment="1">
      <alignment horizontal="center" vertical="center" wrapText="1"/>
    </xf>
    <xf numFmtId="0" fontId="36" fillId="0" borderId="23" xfId="4" applyFont="1" applyBorder="1" applyAlignment="1">
      <alignment horizontal="center" vertical="center"/>
    </xf>
    <xf numFmtId="166" fontId="36" fillId="0" borderId="21" xfId="4" applyNumberFormat="1" applyFont="1" applyBorder="1" applyAlignment="1">
      <alignment horizontal="center" vertical="center" wrapText="1"/>
    </xf>
    <xf numFmtId="0" fontId="36" fillId="0" borderId="21" xfId="4" applyFont="1" applyBorder="1" applyAlignment="1">
      <alignment horizontal="center" vertical="center" wrapText="1"/>
    </xf>
    <xf numFmtId="0" fontId="36" fillId="0" borderId="28" xfId="4" applyFont="1" applyBorder="1" applyAlignment="1">
      <alignment vertical="center"/>
    </xf>
    <xf numFmtId="0" fontId="36" fillId="0" borderId="21" xfId="4" applyFont="1" applyBorder="1" applyAlignment="1">
      <alignment vertical="center"/>
    </xf>
    <xf numFmtId="0" fontId="41" fillId="20" borderId="3" xfId="0" applyFont="1" applyFill="1" applyBorder="1" applyAlignment="1">
      <alignment horizontal="center" vertical="center"/>
    </xf>
    <xf numFmtId="0" fontId="48" fillId="0" borderId="3" xfId="0" applyFont="1" applyBorder="1" applyAlignment="1">
      <alignment vertical="center"/>
    </xf>
    <xf numFmtId="0" fontId="48" fillId="0" borderId="12" xfId="0" applyFont="1" applyBorder="1" applyAlignment="1">
      <alignment vertical="center"/>
    </xf>
    <xf numFmtId="49" fontId="20" fillId="0" borderId="12" xfId="1" applyNumberFormat="1" applyBorder="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36" fillId="0" borderId="21" xfId="4" applyFont="1" applyBorder="1" applyAlignment="1">
      <alignment horizontal="center" vertical="center"/>
    </xf>
    <xf numFmtId="0" fontId="39" fillId="0" borderId="21" xfId="4" applyFont="1" applyBorder="1" applyAlignment="1">
      <alignment horizontal="center" vertical="center" wrapText="1"/>
    </xf>
    <xf numFmtId="166" fontId="36" fillId="0" borderId="21" xfId="4" applyNumberFormat="1" applyFont="1" applyBorder="1" applyAlignment="1">
      <alignment horizontal="center" vertical="center"/>
    </xf>
    <xf numFmtId="0" fontId="36" fillId="0" borderId="23" xfId="4" applyFont="1" applyBorder="1" applyAlignment="1">
      <alignment vertical="center" wrapText="1"/>
    </xf>
    <xf numFmtId="0" fontId="36" fillId="0" borderId="2" xfId="4" applyFont="1" applyBorder="1" applyAlignment="1">
      <alignment horizontal="center" vertical="center" wrapText="1"/>
    </xf>
    <xf numFmtId="0" fontId="1" fillId="0" borderId="3" xfId="0" applyFont="1" applyBorder="1" applyAlignment="1">
      <alignment vertical="center"/>
    </xf>
    <xf numFmtId="0" fontId="1" fillId="19" borderId="3" xfId="0" applyFont="1" applyFill="1" applyBorder="1" applyAlignment="1">
      <alignment horizontal="center" vertical="center" wrapText="1"/>
    </xf>
    <xf numFmtId="49" fontId="1" fillId="19" borderId="3" xfId="0" applyNumberFormat="1" applyFont="1" applyFill="1" applyBorder="1" applyAlignment="1">
      <alignment horizontal="center" vertical="center" wrapText="1"/>
    </xf>
    <xf numFmtId="0" fontId="1" fillId="20"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0" borderId="18" xfId="0" applyFont="1" applyBorder="1" applyAlignment="1">
      <alignment horizontal="center" vertical="center" wrapText="1"/>
    </xf>
    <xf numFmtId="0" fontId="1" fillId="0" borderId="3" xfId="0" applyFont="1" applyBorder="1" applyAlignment="1">
      <alignment horizontal="center" vertical="center"/>
    </xf>
    <xf numFmtId="0" fontId="4" fillId="23" borderId="3" xfId="0" applyFont="1" applyFill="1" applyBorder="1" applyAlignment="1">
      <alignment horizontal="center" vertical="center"/>
    </xf>
    <xf numFmtId="0" fontId="4" fillId="0" borderId="0" xfId="0" applyFont="1" applyAlignment="1">
      <alignment vertical="center"/>
    </xf>
    <xf numFmtId="0" fontId="1" fillId="19" borderId="1" xfId="4" applyFont="1" applyFill="1" applyBorder="1" applyAlignment="1">
      <alignment horizontal="center" vertical="center"/>
    </xf>
    <xf numFmtId="0" fontId="1" fillId="19" borderId="1" xfId="4" applyFont="1" applyFill="1" applyBorder="1" applyAlignment="1">
      <alignment horizontal="center" vertical="center" wrapText="1"/>
    </xf>
    <xf numFmtId="0" fontId="1" fillId="0" borderId="1" xfId="4" applyFont="1" applyBorder="1" applyAlignment="1">
      <alignment vertical="center"/>
    </xf>
    <xf numFmtId="1" fontId="1" fillId="0" borderId="1" xfId="4" applyNumberFormat="1" applyFont="1" applyBorder="1" applyAlignment="1">
      <alignment horizontal="center" vertical="center"/>
    </xf>
    <xf numFmtId="1" fontId="1" fillId="0" borderId="4" xfId="4" applyNumberFormat="1" applyFont="1" applyBorder="1" applyAlignment="1">
      <alignment horizontal="center" vertical="center"/>
    </xf>
    <xf numFmtId="0" fontId="8" fillId="14" borderId="12" xfId="0" applyFont="1" applyFill="1" applyBorder="1" applyAlignment="1">
      <alignment horizontal="center" vertical="center" wrapText="1"/>
    </xf>
    <xf numFmtId="164" fontId="22" fillId="19" borderId="1" xfId="2" applyNumberFormat="1" applyFill="1" applyBorder="1" applyAlignment="1">
      <alignment horizontal="center" vertical="center" wrapText="1"/>
    </xf>
    <xf numFmtId="0" fontId="22" fillId="19" borderId="1" xfId="2" applyFill="1" applyBorder="1" applyAlignment="1">
      <alignment horizontal="center" vertical="center" wrapText="1"/>
    </xf>
    <xf numFmtId="0" fontId="22" fillId="19" borderId="1" xfId="2" applyFill="1" applyBorder="1" applyAlignment="1">
      <alignment horizontal="center" vertical="center"/>
    </xf>
    <xf numFmtId="0" fontId="22" fillId="0" borderId="1" xfId="2" applyBorder="1" applyAlignment="1">
      <alignment vertical="center" wrapText="1"/>
    </xf>
    <xf numFmtId="0" fontId="22" fillId="0" borderId="1" xfId="2" applyBorder="1" applyAlignment="1">
      <alignment horizontal="center" vertical="center" wrapText="1"/>
    </xf>
    <xf numFmtId="0" fontId="22" fillId="0" borderId="1" xfId="2" applyBorder="1" applyAlignment="1">
      <alignment horizontal="left" vertical="center"/>
    </xf>
    <xf numFmtId="0" fontId="22" fillId="0" borderId="1" xfId="2" applyBorder="1" applyAlignment="1">
      <alignment vertical="center"/>
    </xf>
    <xf numFmtId="0" fontId="22" fillId="0" borderId="0" xfId="2" applyAlignment="1">
      <alignment horizontal="center" vertical="center"/>
    </xf>
    <xf numFmtId="0" fontId="22" fillId="0" borderId="3" xfId="2" applyBorder="1" applyAlignment="1">
      <alignment horizontal="left" vertical="center"/>
    </xf>
    <xf numFmtId="164" fontId="22" fillId="0" borderId="3" xfId="2" applyNumberFormat="1" applyBorder="1" applyAlignment="1">
      <alignment horizontal="center" vertical="center"/>
    </xf>
    <xf numFmtId="0" fontId="22" fillId="0" borderId="12" xfId="2" applyBorder="1" applyAlignment="1">
      <alignment vertical="center"/>
    </xf>
    <xf numFmtId="0" fontId="22" fillId="0" borderId="12" xfId="2" applyBorder="1" applyAlignment="1">
      <alignment vertical="center" wrapText="1"/>
    </xf>
    <xf numFmtId="0" fontId="22" fillId="0" borderId="12" xfId="2" applyBorder="1" applyAlignment="1">
      <alignment horizontal="center" vertical="center"/>
    </xf>
    <xf numFmtId="0" fontId="22" fillId="0" borderId="12" xfId="2" applyBorder="1" applyAlignment="1">
      <alignment horizontal="center" vertical="center" wrapText="1"/>
    </xf>
    <xf numFmtId="164" fontId="22" fillId="0" borderId="12" xfId="2" applyNumberFormat="1" applyBorder="1" applyAlignment="1">
      <alignment horizontal="center" vertical="center"/>
    </xf>
    <xf numFmtId="0" fontId="22" fillId="0" borderId="19" xfId="2" applyBorder="1" applyAlignment="1">
      <alignment horizontal="left" vertical="center"/>
    </xf>
    <xf numFmtId="0" fontId="39" fillId="0" borderId="3" xfId="0" applyFont="1" applyBorder="1" applyAlignment="1">
      <alignment horizontal="center" vertical="center" wrapText="1"/>
    </xf>
    <xf numFmtId="49" fontId="22" fillId="0" borderId="1" xfId="2" applyNumberFormat="1" applyBorder="1" applyAlignment="1">
      <alignment vertical="center" wrapText="1"/>
    </xf>
    <xf numFmtId="0" fontId="22" fillId="3" borderId="4" xfId="2" applyFill="1" applyBorder="1" applyAlignment="1">
      <alignment vertical="center" wrapText="1"/>
    </xf>
    <xf numFmtId="0" fontId="22" fillId="3" borderId="4" xfId="2" applyFill="1" applyBorder="1" applyAlignment="1">
      <alignment horizontal="center" vertical="center"/>
    </xf>
    <xf numFmtId="49" fontId="22" fillId="3" borderId="4" xfId="2" applyNumberFormat="1" applyFill="1" applyBorder="1" applyAlignment="1">
      <alignment vertical="center" wrapText="1"/>
    </xf>
    <xf numFmtId="0" fontId="22" fillId="3" borderId="4" xfId="2" applyFill="1" applyBorder="1" applyAlignment="1">
      <alignment horizontal="left" vertical="center"/>
    </xf>
    <xf numFmtId="0" fontId="22" fillId="3" borderId="4" xfId="2" applyFill="1" applyBorder="1" applyAlignment="1">
      <alignment vertical="center"/>
    </xf>
    <xf numFmtId="0" fontId="22" fillId="0" borderId="3" xfId="2" applyBorder="1" applyAlignment="1">
      <alignment horizontal="left" vertical="center" wrapText="1"/>
    </xf>
    <xf numFmtId="49" fontId="22" fillId="3" borderId="3" xfId="2" quotePrefix="1" applyNumberFormat="1" applyFill="1" applyBorder="1" applyAlignment="1">
      <alignment horizontal="center" vertical="center" wrapText="1"/>
    </xf>
    <xf numFmtId="0" fontId="22" fillId="3" borderId="0" xfId="2" applyFill="1" applyAlignment="1">
      <alignment vertical="center"/>
    </xf>
    <xf numFmtId="0" fontId="22" fillId="5" borderId="3" xfId="2" applyFill="1" applyBorder="1" applyAlignment="1">
      <alignment vertical="center"/>
    </xf>
    <xf numFmtId="0" fontId="8" fillId="15" borderId="5" xfId="0" applyFont="1" applyFill="1" applyBorder="1"/>
    <xf numFmtId="0" fontId="8" fillId="15" borderId="16" xfId="0" applyFont="1" applyFill="1" applyBorder="1"/>
    <xf numFmtId="0" fontId="8" fillId="15" borderId="15" xfId="0" applyFont="1" applyFill="1" applyBorder="1"/>
    <xf numFmtId="0" fontId="8" fillId="15" borderId="1" xfId="0" applyFont="1" applyFill="1" applyBorder="1"/>
    <xf numFmtId="0" fontId="8" fillId="15" borderId="11" xfId="0" applyFont="1" applyFill="1" applyBorder="1"/>
    <xf numFmtId="0" fontId="8" fillId="15" borderId="13" xfId="0" applyFont="1" applyFill="1" applyBorder="1"/>
    <xf numFmtId="0" fontId="8" fillId="0" borderId="5" xfId="0" applyFont="1" applyBorder="1"/>
    <xf numFmtId="0" fontId="8" fillId="13" borderId="5" xfId="0" applyFont="1" applyFill="1" applyBorder="1"/>
    <xf numFmtId="0" fontId="8" fillId="6" borderId="15" xfId="0" applyFont="1" applyFill="1" applyBorder="1"/>
    <xf numFmtId="0" fontId="8" fillId="6" borderId="8" xfId="0" applyFont="1" applyFill="1" applyBorder="1"/>
    <xf numFmtId="0" fontId="8" fillId="14" borderId="8" xfId="0" applyFont="1" applyFill="1" applyBorder="1"/>
    <xf numFmtId="0" fontId="8" fillId="0" borderId="16" xfId="0" applyFont="1" applyBorder="1"/>
    <xf numFmtId="0" fontId="8" fillId="13" borderId="11" xfId="0" applyFont="1" applyFill="1" applyBorder="1"/>
    <xf numFmtId="0" fontId="8" fillId="6" borderId="13" xfId="0" applyFont="1" applyFill="1" applyBorder="1"/>
    <xf numFmtId="0" fontId="8" fillId="0" borderId="11" xfId="0" applyFont="1" applyBorder="1"/>
    <xf numFmtId="0" fontId="8" fillId="13" borderId="16" xfId="0" applyFont="1" applyFill="1" applyBorder="1"/>
    <xf numFmtId="0" fontId="8" fillId="4" borderId="16" xfId="0" applyFont="1" applyFill="1" applyBorder="1"/>
    <xf numFmtId="0" fontId="8" fillId="8" borderId="16" xfId="0" applyFont="1" applyFill="1" applyBorder="1"/>
    <xf numFmtId="0" fontId="8" fillId="17" borderId="5" xfId="0" applyFont="1" applyFill="1" applyBorder="1"/>
    <xf numFmtId="0" fontId="8" fillId="17" borderId="16" xfId="0" applyFont="1" applyFill="1" applyBorder="1"/>
    <xf numFmtId="0" fontId="8" fillId="17" borderId="11" xfId="0" applyFont="1" applyFill="1" applyBorder="1"/>
    <xf numFmtId="0" fontId="8" fillId="14" borderId="0" xfId="0" applyFont="1" applyFill="1"/>
    <xf numFmtId="0" fontId="8" fillId="14" borderId="15" xfId="0" applyFont="1" applyFill="1" applyBorder="1"/>
    <xf numFmtId="0" fontId="8" fillId="14" borderId="16" xfId="0" applyFont="1" applyFill="1" applyBorder="1"/>
    <xf numFmtId="0" fontId="8" fillId="14" borderId="11" xfId="0" applyFont="1" applyFill="1" applyBorder="1"/>
    <xf numFmtId="0" fontId="8" fillId="0" borderId="1" xfId="0" applyFont="1" applyBorder="1"/>
    <xf numFmtId="0" fontId="8" fillId="13" borderId="15" xfId="0" applyFont="1" applyFill="1" applyBorder="1"/>
    <xf numFmtId="0" fontId="8" fillId="14" borderId="5" xfId="0" applyFont="1" applyFill="1" applyBorder="1"/>
    <xf numFmtId="0" fontId="8" fillId="14" borderId="1" xfId="0" applyFont="1" applyFill="1" applyBorder="1"/>
    <xf numFmtId="0" fontId="8" fillId="0" borderId="15" xfId="0" applyFont="1" applyBorder="1"/>
    <xf numFmtId="0" fontId="8" fillId="0" borderId="8" xfId="0" applyFont="1" applyBorder="1"/>
    <xf numFmtId="0" fontId="8" fillId="0" borderId="2" xfId="0" applyFont="1" applyBorder="1"/>
    <xf numFmtId="0" fontId="8" fillId="0" borderId="0" xfId="0" applyFont="1"/>
    <xf numFmtId="0" fontId="8" fillId="0" borderId="7" xfId="0" applyFont="1" applyBorder="1"/>
    <xf numFmtId="0" fontId="8" fillId="14" borderId="17" xfId="0" applyFont="1" applyFill="1" applyBorder="1"/>
    <xf numFmtId="0" fontId="8" fillId="14" borderId="18" xfId="0" applyFont="1" applyFill="1" applyBorder="1"/>
    <xf numFmtId="0" fontId="8" fillId="0" borderId="21" xfId="0" applyFont="1" applyBorder="1"/>
    <xf numFmtId="0" fontId="8" fillId="16" borderId="21" xfId="0" applyFont="1" applyFill="1" applyBorder="1"/>
    <xf numFmtId="0" fontId="8" fillId="16" borderId="3" xfId="0" applyFont="1" applyFill="1" applyBorder="1"/>
    <xf numFmtId="0" fontId="8" fillId="16" borderId="0" xfId="0" applyFont="1" applyFill="1"/>
    <xf numFmtId="0" fontId="8" fillId="18" borderId="0" xfId="0" applyFont="1" applyFill="1"/>
    <xf numFmtId="0" fontId="8" fillId="25" borderId="3" xfId="0" applyFont="1" applyFill="1" applyBorder="1" applyAlignment="1">
      <alignment horizontal="center" vertical="center" wrapText="1"/>
    </xf>
    <xf numFmtId="0" fontId="8" fillId="25" borderId="3" xfId="0" applyFont="1" applyFill="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vertical="center"/>
    </xf>
    <xf numFmtId="0" fontId="8" fillId="0" borderId="12" xfId="0" applyFont="1" applyBorder="1" applyAlignment="1">
      <alignment horizontal="center" vertical="center"/>
    </xf>
    <xf numFmtId="0" fontId="47" fillId="0" borderId="3" xfId="0" applyFont="1" applyBorder="1" applyAlignment="1">
      <alignment horizontal="center" vertical="center"/>
    </xf>
    <xf numFmtId="0" fontId="47" fillId="0" borderId="3" xfId="0" applyFont="1" applyBorder="1" applyAlignment="1">
      <alignment vertical="center"/>
    </xf>
    <xf numFmtId="0" fontId="8" fillId="24" borderId="3" xfId="0" applyFont="1" applyFill="1" applyBorder="1" applyAlignment="1">
      <alignment vertical="center"/>
    </xf>
    <xf numFmtId="0" fontId="8" fillId="4" borderId="3" xfId="0" applyFont="1" applyFill="1" applyBorder="1" applyAlignment="1">
      <alignment vertical="center"/>
    </xf>
    <xf numFmtId="0" fontId="8" fillId="24" borderId="3" xfId="0" applyFont="1" applyFill="1" applyBorder="1" applyAlignment="1">
      <alignment vertical="center" wrapText="1"/>
    </xf>
    <xf numFmtId="0" fontId="8" fillId="24" borderId="3" xfId="0" quotePrefix="1" applyFont="1" applyFill="1" applyBorder="1" applyAlignment="1">
      <alignment vertical="center"/>
    </xf>
    <xf numFmtId="0" fontId="49" fillId="0" borderId="3" xfId="0" applyFont="1" applyBorder="1" applyAlignment="1">
      <alignment horizontal="center"/>
    </xf>
    <xf numFmtId="0" fontId="32" fillId="4" borderId="12" xfId="0" applyFont="1" applyFill="1" applyBorder="1" applyAlignment="1">
      <alignment horizontal="center" vertical="center"/>
    </xf>
    <xf numFmtId="0" fontId="32" fillId="4" borderId="19" xfId="0" applyFont="1" applyFill="1" applyBorder="1" applyAlignment="1">
      <alignment horizontal="center" vertical="center"/>
    </xf>
    <xf numFmtId="0" fontId="1" fillId="0" borderId="19"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6" fillId="20" borderId="0" xfId="4" applyFont="1" applyFill="1" applyAlignment="1">
      <alignment vertical="center"/>
    </xf>
    <xf numFmtId="0" fontId="20" fillId="11" borderId="27" xfId="1" applyFill="1" applyBorder="1" applyAlignment="1">
      <alignment horizontal="center" vertical="center" wrapText="1"/>
    </xf>
    <xf numFmtId="49" fontId="0" fillId="5" borderId="12" xfId="0" applyNumberFormat="1" applyFill="1" applyBorder="1" applyAlignment="1">
      <alignment horizontal="center" vertical="center" wrapText="1"/>
    </xf>
    <xf numFmtId="0" fontId="50" fillId="0" borderId="3" xfId="0" applyFont="1" applyBorder="1" applyAlignment="1">
      <alignment horizontal="center"/>
    </xf>
    <xf numFmtId="0" fontId="50" fillId="0" borderId="12" xfId="0" applyFont="1" applyBorder="1"/>
    <xf numFmtId="0" fontId="22" fillId="0" borderId="23" xfId="2" applyBorder="1" applyAlignment="1">
      <alignment horizontal="center" vertical="center"/>
    </xf>
    <xf numFmtId="0" fontId="22" fillId="0" borderId="23" xfId="2" applyBorder="1" applyAlignment="1">
      <alignment horizontal="center" vertical="center" wrapText="1"/>
    </xf>
    <xf numFmtId="0" fontId="36" fillId="4" borderId="3" xfId="4" applyFont="1" applyFill="1" applyBorder="1" applyAlignment="1">
      <alignment horizontal="center" vertical="center" wrapText="1"/>
    </xf>
    <xf numFmtId="0" fontId="36" fillId="4" borderId="3" xfId="4" applyFont="1" applyFill="1" applyBorder="1" applyAlignment="1">
      <alignment horizontal="center" vertical="center"/>
    </xf>
    <xf numFmtId="0" fontId="24" fillId="4" borderId="0" xfId="2" applyFont="1" applyFill="1" applyAlignment="1">
      <alignment vertical="center"/>
    </xf>
    <xf numFmtId="0" fontId="24" fillId="8" borderId="0" xfId="2" applyFont="1" applyFill="1" applyAlignment="1">
      <alignment vertical="center"/>
    </xf>
    <xf numFmtId="0" fontId="22" fillId="8" borderId="3" xfId="2" applyFill="1" applyBorder="1" applyAlignment="1">
      <alignment vertical="center"/>
    </xf>
    <xf numFmtId="0" fontId="22" fillId="8" borderId="3" xfId="2" applyFill="1" applyBorder="1" applyAlignment="1">
      <alignment horizontal="center" vertical="center"/>
    </xf>
    <xf numFmtId="0" fontId="22" fillId="8" borderId="3" xfId="2" applyFill="1" applyBorder="1" applyAlignment="1">
      <alignment vertical="center" wrapText="1"/>
    </xf>
    <xf numFmtId="0" fontId="22" fillId="8" borderId="3" xfId="2" applyFill="1" applyBorder="1" applyAlignment="1">
      <alignment horizontal="center" vertical="center" wrapText="1"/>
    </xf>
    <xf numFmtId="0" fontId="6" fillId="4" borderId="3" xfId="2" applyFont="1" applyFill="1" applyBorder="1"/>
    <xf numFmtId="0" fontId="20" fillId="4" borderId="3" xfId="1" applyFill="1" applyBorder="1"/>
    <xf numFmtId="0" fontId="27" fillId="4" borderId="3" xfId="2" applyFont="1" applyFill="1" applyBorder="1" applyAlignment="1">
      <alignment vertical="center"/>
    </xf>
    <xf numFmtId="0" fontId="21" fillId="4" borderId="3" xfId="3" applyFont="1" applyFill="1" applyBorder="1" applyAlignment="1">
      <alignment vertical="center"/>
    </xf>
    <xf numFmtId="49" fontId="22" fillId="4" borderId="3" xfId="2" applyNumberFormat="1" applyFill="1" applyBorder="1" applyAlignment="1">
      <alignment horizontal="center" vertical="center" wrapText="1"/>
    </xf>
    <xf numFmtId="0" fontId="22" fillId="4" borderId="3" xfId="2" applyFill="1" applyBorder="1" applyAlignment="1">
      <alignment horizontal="left" vertical="center"/>
    </xf>
    <xf numFmtId="0" fontId="0" fillId="8" borderId="3" xfId="0" applyFill="1" applyBorder="1" applyAlignment="1">
      <alignment horizontal="center" vertical="center" wrapText="1"/>
    </xf>
    <xf numFmtId="0" fontId="20" fillId="8" borderId="3" xfId="1" applyFill="1" applyBorder="1" applyAlignment="1">
      <alignment vertical="center"/>
    </xf>
    <xf numFmtId="0" fontId="21" fillId="8" borderId="3" xfId="3" applyFont="1" applyFill="1" applyBorder="1" applyAlignment="1">
      <alignment vertical="center"/>
    </xf>
    <xf numFmtId="49" fontId="22" fillId="8" borderId="3" xfId="2" quotePrefix="1" applyNumberFormat="1" applyFill="1" applyBorder="1" applyAlignment="1">
      <alignment horizontal="center" vertical="center" wrapText="1"/>
    </xf>
    <xf numFmtId="0" fontId="22" fillId="8" borderId="3" xfId="2" applyFill="1" applyBorder="1" applyAlignment="1">
      <alignment horizontal="left" vertical="center" wrapText="1"/>
    </xf>
    <xf numFmtId="0" fontId="6" fillId="4" borderId="3" xfId="0" applyFont="1" applyFill="1" applyBorder="1"/>
    <xf numFmtId="14" fontId="34" fillId="4" borderId="3" xfId="0" applyNumberFormat="1" applyFont="1" applyFill="1" applyBorder="1" applyAlignment="1">
      <alignment horizontal="center" vertical="center"/>
    </xf>
    <xf numFmtId="0" fontId="22" fillId="4" borderId="0" xfId="2" applyFill="1" applyAlignment="1">
      <alignment vertical="center"/>
    </xf>
    <xf numFmtId="164" fontId="22" fillId="4" borderId="3" xfId="2" applyNumberFormat="1" applyFill="1" applyBorder="1" applyAlignment="1">
      <alignment horizontal="center" vertical="center"/>
    </xf>
    <xf numFmtId="0" fontId="51" fillId="0" borderId="0" xfId="0" applyFont="1"/>
    <xf numFmtId="0" fontId="36" fillId="0" borderId="2" xfId="4" applyFont="1" applyBorder="1" applyAlignment="1">
      <alignment horizontal="center" vertical="center"/>
    </xf>
    <xf numFmtId="0" fontId="36" fillId="0" borderId="19" xfId="4" applyFont="1" applyBorder="1" applyAlignment="1">
      <alignment horizontal="center" vertical="center" wrapText="1"/>
    </xf>
    <xf numFmtId="0" fontId="40" fillId="0" borderId="20" xfId="3" applyFont="1" applyBorder="1" applyAlignment="1">
      <alignment horizontal="center" vertical="center" wrapText="1"/>
    </xf>
    <xf numFmtId="0" fontId="20" fillId="0" borderId="18" xfId="1" applyBorder="1" applyAlignment="1">
      <alignment horizontal="center" vertical="center" wrapText="1"/>
    </xf>
    <xf numFmtId="0" fontId="28" fillId="0" borderId="3" xfId="3" applyFont="1" applyBorder="1" applyAlignment="1">
      <alignment vertical="center"/>
    </xf>
    <xf numFmtId="0" fontId="26" fillId="4" borderId="3" xfId="2" applyFont="1" applyFill="1" applyBorder="1" applyAlignment="1">
      <alignment vertical="center"/>
    </xf>
    <xf numFmtId="0" fontId="25" fillId="4" borderId="3" xfId="3" applyFill="1" applyBorder="1" applyAlignment="1">
      <alignment horizontal="left" vertical="center"/>
    </xf>
    <xf numFmtId="0" fontId="25" fillId="8" borderId="3" xfId="3" applyFill="1" applyBorder="1" applyAlignment="1">
      <alignment vertical="center"/>
    </xf>
    <xf numFmtId="0" fontId="26" fillId="8" borderId="3" xfId="2" applyFont="1" applyFill="1" applyBorder="1" applyAlignment="1">
      <alignment vertical="center"/>
    </xf>
    <xf numFmtId="49" fontId="22" fillId="8" borderId="3" xfId="2" applyNumberFormat="1" applyFill="1" applyBorder="1" applyAlignment="1">
      <alignment horizontal="center" vertical="center" wrapText="1"/>
    </xf>
    <xf numFmtId="0" fontId="27" fillId="8" borderId="3" xfId="2" applyFont="1" applyFill="1" applyBorder="1" applyAlignment="1">
      <alignment vertical="center"/>
    </xf>
    <xf numFmtId="164" fontId="22" fillId="4" borderId="3" xfId="2" applyNumberFormat="1" applyFill="1" applyBorder="1" applyAlignment="1">
      <alignment horizontal="center" vertical="center" wrapText="1"/>
    </xf>
    <xf numFmtId="164" fontId="22" fillId="0" borderId="3" xfId="2" applyNumberFormat="1" applyBorder="1" applyAlignment="1">
      <alignment horizontal="center" vertical="center" wrapText="1"/>
    </xf>
    <xf numFmtId="164" fontId="22" fillId="4" borderId="3" xfId="2" quotePrefix="1" applyNumberFormat="1" applyFill="1" applyBorder="1" applyAlignment="1">
      <alignment horizontal="center" vertical="center" wrapText="1"/>
    </xf>
    <xf numFmtId="164" fontId="22" fillId="0" borderId="3" xfId="2" quotePrefix="1" applyNumberFormat="1" applyBorder="1" applyAlignment="1">
      <alignment horizontal="center" vertical="center" wrapText="1"/>
    </xf>
    <xf numFmtId="0" fontId="27" fillId="0" borderId="3" xfId="2" applyFont="1" applyBorder="1" applyAlignment="1">
      <alignment vertical="center"/>
    </xf>
    <xf numFmtId="164" fontId="22" fillId="3" borderId="3" xfId="2" applyNumberFormat="1" applyFill="1" applyBorder="1" applyAlignment="1">
      <alignment horizontal="center" vertical="center" wrapText="1"/>
    </xf>
    <xf numFmtId="0" fontId="22" fillId="3" borderId="3" xfId="2" applyFill="1" applyBorder="1" applyAlignment="1">
      <alignment horizontal="left" vertical="center"/>
    </xf>
    <xf numFmtId="0" fontId="22" fillId="4" borderId="11" xfId="2" applyFill="1" applyBorder="1" applyAlignment="1">
      <alignment vertical="center"/>
    </xf>
    <xf numFmtId="0" fontId="22" fillId="8" borderId="0" xfId="2" applyFill="1" applyAlignment="1">
      <alignment vertical="center"/>
    </xf>
    <xf numFmtId="14" fontId="22" fillId="0" borderId="3" xfId="2" applyNumberFormat="1" applyBorder="1" applyAlignment="1">
      <alignment horizontal="center" vertical="center" wrapText="1"/>
    </xf>
    <xf numFmtId="0" fontId="0" fillId="0" borderId="3" xfId="0" applyBorder="1" applyAlignment="1">
      <alignment horizontal="left" vertical="center"/>
    </xf>
    <xf numFmtId="49" fontId="0" fillId="0" borderId="3" xfId="0" applyNumberFormat="1" applyBorder="1" applyAlignment="1">
      <alignment vertical="center"/>
    </xf>
    <xf numFmtId="0" fontId="8" fillId="0" borderId="3" xfId="0" applyFont="1" applyBorder="1" applyAlignment="1">
      <alignment horizontal="left"/>
    </xf>
    <xf numFmtId="0" fontId="19" fillId="0" borderId="3" xfId="0" applyFont="1" applyBorder="1"/>
    <xf numFmtId="0" fontId="53" fillId="0" borderId="3" xfId="0" applyFont="1" applyBorder="1"/>
    <xf numFmtId="0" fontId="9" fillId="0" borderId="3" xfId="0" applyFont="1" applyBorder="1" applyAlignment="1">
      <alignment horizontal="center" vertical="center"/>
    </xf>
    <xf numFmtId="0" fontId="41" fillId="0" borderId="18" xfId="0" applyFont="1" applyBorder="1" applyAlignment="1">
      <alignment vertical="center" wrapText="1"/>
    </xf>
    <xf numFmtId="0" fontId="41" fillId="5" borderId="21" xfId="0" applyFont="1" applyFill="1" applyBorder="1" applyAlignment="1">
      <alignment vertical="center" wrapText="1"/>
    </xf>
    <xf numFmtId="49" fontId="41" fillId="0" borderId="21" xfId="0" applyNumberFormat="1" applyFont="1" applyBorder="1" applyAlignment="1">
      <alignment horizontal="center" vertical="center" wrapText="1"/>
    </xf>
    <xf numFmtId="0" fontId="54" fillId="0" borderId="3" xfId="0" applyFont="1" applyBorder="1" applyAlignment="1">
      <alignment vertical="center" wrapText="1"/>
    </xf>
    <xf numFmtId="0" fontId="55" fillId="0" borderId="3" xfId="4" applyFont="1" applyBorder="1" applyAlignment="1">
      <alignment vertical="center"/>
    </xf>
    <xf numFmtId="0" fontId="55" fillId="0" borderId="3" xfId="4" applyFont="1" applyBorder="1" applyAlignment="1">
      <alignment vertical="center" wrapText="1"/>
    </xf>
    <xf numFmtId="0" fontId="55" fillId="0" borderId="3" xfId="4" applyFont="1" applyBorder="1" applyAlignment="1">
      <alignment horizontal="center" vertical="center"/>
    </xf>
    <xf numFmtId="0" fontId="54" fillId="0" borderId="3" xfId="0" applyFont="1" applyBorder="1" applyAlignment="1">
      <alignment horizontal="center" vertical="center" wrapText="1"/>
    </xf>
    <xf numFmtId="166" fontId="55" fillId="0" borderId="3" xfId="4" applyNumberFormat="1" applyFont="1" applyBorder="1" applyAlignment="1">
      <alignment horizontal="center" vertical="center" wrapText="1"/>
    </xf>
    <xf numFmtId="164" fontId="0" fillId="0" borderId="3" xfId="0" applyNumberFormat="1" applyBorder="1" applyAlignment="1">
      <alignment horizontal="center" vertical="center" wrapText="1"/>
    </xf>
    <xf numFmtId="0" fontId="54" fillId="5" borderId="3" xfId="0" applyFont="1" applyFill="1" applyBorder="1" applyAlignment="1">
      <alignment horizontal="center" vertical="center" wrapText="1"/>
    </xf>
    <xf numFmtId="0" fontId="41" fillId="4" borderId="12" xfId="0" applyFont="1" applyFill="1" applyBorder="1" applyAlignment="1">
      <alignment horizontal="center" vertical="center" wrapText="1"/>
    </xf>
    <xf numFmtId="0" fontId="41" fillId="4" borderId="5" xfId="0" applyFont="1" applyFill="1" applyBorder="1" applyAlignment="1">
      <alignment horizontal="center" vertical="center"/>
    </xf>
    <xf numFmtId="166" fontId="55" fillId="0" borderId="1" xfId="4" applyNumberFormat="1" applyFont="1" applyBorder="1" applyAlignment="1">
      <alignment horizontal="center" vertical="center" wrapText="1"/>
    </xf>
    <xf numFmtId="0" fontId="20" fillId="0" borderId="3" xfId="1" applyBorder="1" applyAlignment="1">
      <alignment wrapText="1"/>
    </xf>
    <xf numFmtId="167" fontId="22" fillId="0" borderId="3" xfId="2" applyNumberFormat="1" applyBorder="1" applyAlignment="1">
      <alignment vertical="center" wrapText="1"/>
    </xf>
    <xf numFmtId="0" fontId="21" fillId="0" borderId="4" xfId="3" applyFont="1" applyFill="1" applyBorder="1" applyAlignment="1">
      <alignment vertical="center"/>
    </xf>
    <xf numFmtId="164" fontId="22" fillId="0" borderId="4" xfId="2" quotePrefix="1" applyNumberFormat="1" applyBorder="1" applyAlignment="1">
      <alignment horizontal="center" vertical="center" wrapText="1"/>
    </xf>
    <xf numFmtId="0" fontId="24" fillId="0" borderId="3" xfId="2" applyFont="1" applyBorder="1" applyAlignment="1">
      <alignment horizontal="center" vertical="center"/>
    </xf>
    <xf numFmtId="0" fontId="24" fillId="0" borderId="3" xfId="2" applyFont="1" applyBorder="1" applyAlignment="1">
      <alignment vertical="center"/>
    </xf>
    <xf numFmtId="0" fontId="24" fillId="0" borderId="3" xfId="2" applyFont="1" applyBorder="1" applyAlignment="1">
      <alignment vertical="center" wrapText="1"/>
    </xf>
    <xf numFmtId="0" fontId="24" fillId="0" borderId="3" xfId="2" applyFont="1" applyBorder="1" applyAlignment="1">
      <alignment horizontal="center" vertical="center" wrapText="1"/>
    </xf>
    <xf numFmtId="164" fontId="24" fillId="0" borderId="3" xfId="2" applyNumberFormat="1" applyFont="1" applyBorder="1" applyAlignment="1">
      <alignment horizontal="center" vertical="center"/>
    </xf>
    <xf numFmtId="0" fontId="24" fillId="0" borderId="3" xfId="2" applyFont="1" applyBorder="1" applyAlignment="1">
      <alignment horizontal="left" vertical="center"/>
    </xf>
    <xf numFmtId="0" fontId="38" fillId="4" borderId="3" xfId="4" applyFont="1" applyFill="1" applyBorder="1" applyAlignment="1">
      <alignment horizontal="center" vertical="center"/>
    </xf>
    <xf numFmtId="0" fontId="38" fillId="5" borderId="1" xfId="4" applyFont="1" applyFill="1" applyBorder="1" applyAlignment="1">
      <alignment horizontal="center" vertical="center"/>
    </xf>
    <xf numFmtId="0" fontId="38" fillId="5" borderId="4" xfId="4" applyFont="1" applyFill="1" applyBorder="1" applyAlignment="1">
      <alignment horizontal="center" vertical="center"/>
    </xf>
    <xf numFmtId="0" fontId="56" fillId="0" borderId="3" xfId="0" applyFont="1" applyBorder="1"/>
    <xf numFmtId="0" fontId="35" fillId="22" borderId="3" xfId="4" applyFont="1" applyFill="1" applyBorder="1" applyAlignment="1">
      <alignment horizontal="center" vertical="center" wrapText="1"/>
    </xf>
    <xf numFmtId="165" fontId="35" fillId="22" borderId="3" xfId="4" applyNumberFormat="1" applyFont="1" applyFill="1" applyBorder="1" applyAlignment="1">
      <alignment horizontal="center" vertical="center" wrapText="1"/>
    </xf>
    <xf numFmtId="0" fontId="40" fillId="0" borderId="3" xfId="3" applyFont="1" applyBorder="1" applyAlignment="1">
      <alignment horizontal="center" vertical="center" wrapText="1"/>
    </xf>
    <xf numFmtId="0" fontId="36" fillId="20" borderId="3" xfId="4" applyFont="1" applyFill="1" applyBorder="1" applyAlignment="1">
      <alignment vertical="center"/>
    </xf>
    <xf numFmtId="0" fontId="8" fillId="0" borderId="3" xfId="0" applyFont="1" applyBorder="1" applyAlignment="1">
      <alignment wrapText="1"/>
    </xf>
    <xf numFmtId="0" fontId="36" fillId="20" borderId="12" xfId="4" applyFont="1" applyFill="1" applyBorder="1" applyAlignment="1">
      <alignment horizontal="center" vertical="center" wrapText="1"/>
    </xf>
    <xf numFmtId="0" fontId="36" fillId="0" borderId="27" xfId="4" applyFont="1" applyBorder="1" applyAlignment="1">
      <alignment horizontal="center" vertical="center"/>
    </xf>
    <xf numFmtId="0" fontId="38" fillId="4" borderId="4" xfId="4" applyFont="1" applyFill="1" applyBorder="1" applyAlignment="1">
      <alignment horizontal="center" vertical="center"/>
    </xf>
    <xf numFmtId="166" fontId="36" fillId="0" borderId="19" xfId="4" applyNumberFormat="1" applyFont="1" applyBorder="1" applyAlignment="1">
      <alignment horizontal="center" vertical="center" wrapText="1"/>
    </xf>
    <xf numFmtId="15" fontId="36" fillId="0" borderId="12" xfId="4" applyNumberFormat="1" applyFont="1" applyBorder="1" applyAlignment="1">
      <alignment horizontal="center" vertical="center"/>
    </xf>
    <xf numFmtId="0" fontId="38" fillId="5" borderId="12" xfId="4" applyFont="1" applyFill="1" applyBorder="1" applyAlignment="1">
      <alignment horizontal="center" vertical="center"/>
    </xf>
    <xf numFmtId="0" fontId="20" fillId="11" borderId="20" xfId="1" applyFill="1" applyBorder="1" applyAlignment="1">
      <alignment horizontal="center" vertical="center" wrapText="1"/>
    </xf>
    <xf numFmtId="0" fontId="38" fillId="0" borderId="5" xfId="4" applyFont="1" applyBorder="1" applyAlignment="1">
      <alignment horizontal="center" vertical="center"/>
    </xf>
    <xf numFmtId="0" fontId="39" fillId="0" borderId="5" xfId="4" applyFont="1" applyBorder="1" applyAlignment="1">
      <alignment horizontal="center" vertical="center" wrapText="1"/>
    </xf>
    <xf numFmtId="166" fontId="36" fillId="0" borderId="5" xfId="4" applyNumberFormat="1" applyFont="1" applyBorder="1" applyAlignment="1">
      <alignment horizontal="center" vertical="center" wrapText="1"/>
    </xf>
    <xf numFmtId="0" fontId="36" fillId="0" borderId="5" xfId="4" applyFont="1" applyBorder="1" applyAlignment="1">
      <alignment horizontal="center" vertical="center" wrapText="1"/>
    </xf>
    <xf numFmtId="0" fontId="36" fillId="0" borderId="5" xfId="4" applyFont="1" applyBorder="1" applyAlignment="1">
      <alignment horizontal="left" vertical="center" wrapText="1"/>
    </xf>
    <xf numFmtId="0" fontId="36" fillId="0" borderId="8" xfId="4" applyFont="1" applyBorder="1" applyAlignment="1">
      <alignment horizontal="center" vertical="center" wrapText="1"/>
    </xf>
    <xf numFmtId="0" fontId="40" fillId="0" borderId="16" xfId="3" applyFont="1" applyBorder="1" applyAlignment="1">
      <alignment horizontal="center" vertical="center" wrapText="1"/>
    </xf>
    <xf numFmtId="166" fontId="36" fillId="0" borderId="5" xfId="4" applyNumberFormat="1" applyFont="1" applyBorder="1" applyAlignment="1">
      <alignment horizontal="center" vertical="center"/>
    </xf>
    <xf numFmtId="0" fontId="36" fillId="0" borderId="8" xfId="4" applyFont="1" applyBorder="1" applyAlignment="1">
      <alignment horizontal="center" vertical="center"/>
    </xf>
    <xf numFmtId="0" fontId="36" fillId="11" borderId="5" xfId="4" applyFont="1" applyFill="1" applyBorder="1" applyAlignment="1">
      <alignment horizontal="center" vertical="center" wrapText="1"/>
    </xf>
    <xf numFmtId="0" fontId="40" fillId="0" borderId="22" xfId="3" applyFont="1" applyBorder="1" applyAlignment="1">
      <alignment horizontal="center" vertical="center" wrapText="1"/>
    </xf>
    <xf numFmtId="0" fontId="38" fillId="0" borderId="2" xfId="4" applyFont="1" applyBorder="1" applyAlignment="1">
      <alignment horizontal="center" vertical="center"/>
    </xf>
    <xf numFmtId="166" fontId="36" fillId="0" borderId="2" xfId="4" applyNumberFormat="1" applyFont="1" applyBorder="1" applyAlignment="1">
      <alignment horizontal="center" vertical="center" wrapText="1"/>
    </xf>
    <xf numFmtId="0" fontId="36" fillId="0" borderId="2" xfId="4" applyFont="1" applyBorder="1" applyAlignment="1">
      <alignment horizontal="left" vertical="center" wrapText="1"/>
    </xf>
    <xf numFmtId="0" fontId="36" fillId="0" borderId="7" xfId="4" applyFont="1" applyBorder="1" applyAlignment="1">
      <alignment horizontal="center" vertical="center" wrapText="1"/>
    </xf>
    <xf numFmtId="0" fontId="36" fillId="0" borderId="23" xfId="4" applyFont="1" applyBorder="1" applyAlignment="1">
      <alignment horizontal="center" vertical="center" wrapText="1"/>
    </xf>
    <xf numFmtId="0" fontId="36" fillId="20" borderId="23" xfId="4" applyFont="1" applyFill="1" applyBorder="1" applyAlignment="1">
      <alignment horizontal="center" vertical="center" wrapText="1"/>
    </xf>
    <xf numFmtId="0" fontId="40" fillId="0" borderId="24" xfId="3" applyFont="1" applyBorder="1" applyAlignment="1">
      <alignment horizontal="center" vertical="center" wrapText="1"/>
    </xf>
    <xf numFmtId="166" fontId="36" fillId="0" borderId="2" xfId="4" applyNumberFormat="1" applyFont="1" applyBorder="1" applyAlignment="1">
      <alignment horizontal="center" vertical="center"/>
    </xf>
    <xf numFmtId="0" fontId="36" fillId="0" borderId="23" xfId="4" applyFont="1" applyBorder="1" applyAlignment="1">
      <alignment vertical="center"/>
    </xf>
    <xf numFmtId="0" fontId="36" fillId="0" borderId="28" xfId="4" applyFont="1" applyBorder="1" applyAlignment="1">
      <alignment horizontal="center" vertical="center"/>
    </xf>
    <xf numFmtId="0" fontId="36" fillId="0" borderId="23" xfId="4" applyFont="1" applyBorder="1" applyAlignment="1">
      <alignment horizontal="left" vertical="center" wrapText="1"/>
    </xf>
    <xf numFmtId="0" fontId="36" fillId="0" borderId="24" xfId="4" applyFont="1" applyBorder="1" applyAlignment="1">
      <alignment horizontal="center" vertical="center" wrapText="1"/>
    </xf>
    <xf numFmtId="166" fontId="36" fillId="0" borderId="23" xfId="4" applyNumberFormat="1" applyFont="1" applyBorder="1" applyAlignment="1">
      <alignment horizontal="center" vertical="center"/>
    </xf>
    <xf numFmtId="14" fontId="36" fillId="0" borderId="23" xfId="4" applyNumberFormat="1" applyFont="1" applyBorder="1" applyAlignment="1">
      <alignment horizontal="center" vertical="center"/>
    </xf>
    <xf numFmtId="0" fontId="36" fillId="11" borderId="23" xfId="4" applyFont="1" applyFill="1" applyBorder="1" applyAlignment="1">
      <alignment horizontal="center" vertical="center" wrapText="1"/>
    </xf>
    <xf numFmtId="0" fontId="40" fillId="0" borderId="17" xfId="3" applyFont="1" applyBorder="1" applyAlignment="1">
      <alignment horizontal="center" vertical="center" wrapText="1"/>
    </xf>
    <xf numFmtId="0" fontId="38" fillId="0" borderId="21" xfId="4" applyFont="1" applyBorder="1" applyAlignment="1">
      <alignment horizontal="center" vertical="center"/>
    </xf>
    <xf numFmtId="0" fontId="36" fillId="0" borderId="25" xfId="4" applyFont="1" applyBorder="1" applyAlignment="1">
      <alignment horizontal="center" vertical="center" wrapText="1"/>
    </xf>
    <xf numFmtId="0" fontId="19" fillId="0" borderId="21" xfId="0" applyFont="1" applyBorder="1" applyAlignment="1">
      <alignment horizontal="left" vertical="center" wrapText="1"/>
    </xf>
    <xf numFmtId="0" fontId="41" fillId="26" borderId="3" xfId="0" applyFont="1" applyFill="1" applyBorder="1" applyAlignment="1">
      <alignment vertical="center" wrapText="1"/>
    </xf>
    <xf numFmtId="49" fontId="41" fillId="0" borderId="3" xfId="0" applyNumberFormat="1" applyFont="1" applyBorder="1" applyAlignment="1">
      <alignment horizontal="center" vertical="center"/>
    </xf>
    <xf numFmtId="0" fontId="42" fillId="0" borderId="3" xfId="0" applyFont="1" applyBorder="1" applyAlignment="1">
      <alignment wrapText="1"/>
    </xf>
    <xf numFmtId="0" fontId="44" fillId="0" borderId="3" xfId="0" applyFont="1" applyBorder="1" applyAlignment="1">
      <alignment horizontal="center" vertical="center"/>
    </xf>
    <xf numFmtId="0" fontId="41" fillId="0" borderId="3" xfId="0" quotePrefix="1" applyFont="1" applyBorder="1" applyAlignment="1">
      <alignment horizontal="center" vertical="center" wrapText="1"/>
    </xf>
    <xf numFmtId="0" fontId="44" fillId="0" borderId="3" xfId="0" applyFont="1" applyBorder="1" applyAlignment="1">
      <alignment horizontal="center" vertical="center" wrapText="1"/>
    </xf>
    <xf numFmtId="49" fontId="41" fillId="0" borderId="3" xfId="0" quotePrefix="1" applyNumberFormat="1" applyFont="1" applyBorder="1" applyAlignment="1">
      <alignment horizontal="center" vertical="center"/>
    </xf>
    <xf numFmtId="0" fontId="19" fillId="0" borderId="3" xfId="0" applyFont="1" applyBorder="1" applyAlignment="1">
      <alignment horizontal="left" vertical="center" wrapText="1"/>
    </xf>
    <xf numFmtId="0" fontId="19" fillId="0" borderId="3" xfId="0" quotePrefix="1" applyFont="1" applyBorder="1" applyAlignment="1">
      <alignment horizontal="left" vertical="center" wrapText="1"/>
    </xf>
    <xf numFmtId="0" fontId="41" fillId="4" borderId="4" xfId="0" applyFont="1" applyFill="1" applyBorder="1" applyAlignment="1">
      <alignment horizontal="center" vertical="center"/>
    </xf>
    <xf numFmtId="0" fontId="41" fillId="4" borderId="23" xfId="0" applyFont="1" applyFill="1" applyBorder="1" applyAlignment="1">
      <alignment horizontal="center" vertical="center" wrapText="1"/>
    </xf>
    <xf numFmtId="0" fontId="41" fillId="4" borderId="6" xfId="0" applyFont="1" applyFill="1" applyBorder="1" applyAlignment="1">
      <alignment horizontal="left" vertical="center" wrapText="1"/>
    </xf>
    <xf numFmtId="49" fontId="41" fillId="5" borderId="17" xfId="0" applyNumberFormat="1" applyFont="1" applyFill="1" applyBorder="1" applyAlignment="1">
      <alignment horizontal="center" vertical="center"/>
    </xf>
    <xf numFmtId="0" fontId="44" fillId="0" borderId="12" xfId="0" applyFont="1" applyBorder="1" applyAlignment="1">
      <alignment horizontal="center" vertical="center"/>
    </xf>
    <xf numFmtId="0" fontId="42" fillId="0" borderId="12" xfId="0" applyFont="1" applyBorder="1" applyAlignment="1">
      <alignment horizontal="center" vertical="center"/>
    </xf>
    <xf numFmtId="49" fontId="41" fillId="0" borderId="12" xfId="0" applyNumberFormat="1" applyFont="1" applyBorder="1" applyAlignment="1">
      <alignment horizontal="center" vertical="center" wrapText="1"/>
    </xf>
    <xf numFmtId="0" fontId="41" fillId="5" borderId="23" xfId="0" applyFont="1" applyFill="1" applyBorder="1" applyAlignment="1">
      <alignment horizontal="center" vertical="center" wrapText="1"/>
    </xf>
    <xf numFmtId="0" fontId="41" fillId="0" borderId="2" xfId="0" applyFont="1" applyBorder="1" applyAlignment="1">
      <alignment horizontal="center" vertical="center"/>
    </xf>
    <xf numFmtId="0" fontId="41" fillId="5" borderId="2" xfId="0" applyFont="1" applyFill="1" applyBorder="1" applyAlignment="1">
      <alignment horizontal="center" vertical="center"/>
    </xf>
    <xf numFmtId="0" fontId="41" fillId="5" borderId="2" xfId="0" applyFont="1" applyFill="1" applyBorder="1" applyAlignment="1">
      <alignment horizontal="center" vertical="center" wrapText="1"/>
    </xf>
    <xf numFmtId="0" fontId="41" fillId="0" borderId="28" xfId="0" applyFont="1" applyBorder="1" applyAlignment="1">
      <alignment horizontal="left" vertical="center" wrapText="1"/>
    </xf>
    <xf numFmtId="49" fontId="41" fillId="0" borderId="23" xfId="0" applyNumberFormat="1" applyFont="1" applyBorder="1" applyAlignment="1">
      <alignment vertical="center" wrapText="1"/>
    </xf>
    <xf numFmtId="0" fontId="41" fillId="0" borderId="23" xfId="0" applyFont="1" applyBorder="1" applyAlignment="1">
      <alignment vertical="center" wrapText="1"/>
    </xf>
    <xf numFmtId="0" fontId="41" fillId="0" borderId="28" xfId="0" applyFont="1" applyBorder="1" applyAlignment="1">
      <alignment vertical="center" wrapText="1"/>
    </xf>
    <xf numFmtId="0" fontId="41" fillId="4" borderId="21" xfId="0" applyFont="1" applyFill="1" applyBorder="1" applyAlignment="1">
      <alignment vertical="center" wrapText="1"/>
    </xf>
    <xf numFmtId="0" fontId="41" fillId="4" borderId="25" xfId="0" applyFont="1" applyFill="1" applyBorder="1" applyAlignment="1">
      <alignment vertical="center" wrapText="1"/>
    </xf>
    <xf numFmtId="0" fontId="41" fillId="0" borderId="17" xfId="0" applyFont="1" applyBorder="1" applyAlignment="1">
      <alignment horizontal="center" vertical="center"/>
    </xf>
    <xf numFmtId="0" fontId="41" fillId="0" borderId="2" xfId="0" applyFont="1" applyBorder="1" applyAlignment="1">
      <alignment horizontal="center" vertical="center" wrapText="1"/>
    </xf>
    <xf numFmtId="0" fontId="41" fillId="0" borderId="7" xfId="0" applyFont="1" applyBorder="1" applyAlignment="1">
      <alignment horizontal="left" vertical="center" wrapText="1"/>
    </xf>
    <xf numFmtId="0" fontId="41" fillId="4" borderId="23" xfId="0" applyFont="1" applyFill="1" applyBorder="1" applyAlignment="1">
      <alignment vertical="center" wrapText="1"/>
    </xf>
    <xf numFmtId="0" fontId="41" fillId="4" borderId="28" xfId="0" applyFont="1" applyFill="1" applyBorder="1" applyAlignment="1">
      <alignment vertical="center" wrapText="1"/>
    </xf>
    <xf numFmtId="0" fontId="41" fillId="4" borderId="8" xfId="0" applyFont="1" applyFill="1" applyBorder="1" applyAlignment="1">
      <alignment horizontal="left" vertical="center" wrapText="1"/>
    </xf>
    <xf numFmtId="0" fontId="43" fillId="0" borderId="21" xfId="0" applyFont="1" applyBorder="1" applyAlignment="1">
      <alignment horizontal="center" vertical="center"/>
    </xf>
    <xf numFmtId="0" fontId="44" fillId="0" borderId="21" xfId="0" applyFont="1" applyBorder="1" applyAlignment="1">
      <alignment horizontal="center" vertical="center"/>
    </xf>
    <xf numFmtId="0" fontId="41" fillId="0" borderId="24" xfId="0" applyFont="1" applyBorder="1" applyAlignment="1">
      <alignment horizontal="center" vertical="center"/>
    </xf>
    <xf numFmtId="0" fontId="41" fillId="0" borderId="23" xfId="0" applyFont="1" applyBorder="1" applyAlignment="1">
      <alignment horizontal="center" vertical="center"/>
    </xf>
    <xf numFmtId="0" fontId="19" fillId="0" borderId="5" xfId="0" applyFont="1" applyBorder="1" applyAlignment="1">
      <alignment horizontal="left" vertical="center" wrapText="1"/>
    </xf>
    <xf numFmtId="16" fontId="41" fillId="0" borderId="21" xfId="0" applyNumberFormat="1" applyFont="1" applyBorder="1" applyAlignment="1">
      <alignment horizontal="center" vertical="center" wrapText="1"/>
    </xf>
    <xf numFmtId="0" fontId="41" fillId="11" borderId="3" xfId="0" applyFont="1" applyFill="1" applyBorder="1" applyAlignment="1">
      <alignment horizontal="center" vertical="center" wrapText="1"/>
    </xf>
    <xf numFmtId="49" fontId="41" fillId="11" borderId="3" xfId="0" applyNumberFormat="1" applyFont="1" applyFill="1" applyBorder="1" applyAlignment="1">
      <alignment horizontal="center" vertical="center"/>
    </xf>
    <xf numFmtId="0" fontId="41" fillId="11" borderId="3" xfId="0" applyFont="1" applyFill="1" applyBorder="1" applyAlignment="1">
      <alignment horizontal="left" vertical="center" wrapText="1"/>
    </xf>
    <xf numFmtId="49" fontId="41" fillId="4" borderId="3" xfId="0" applyNumberFormat="1" applyFont="1" applyFill="1" applyBorder="1" applyAlignment="1">
      <alignment horizontal="center" vertical="center" wrapText="1"/>
    </xf>
    <xf numFmtId="49" fontId="41" fillId="5" borderId="3" xfId="0" applyNumberFormat="1" applyFont="1" applyFill="1" applyBorder="1" applyAlignment="1">
      <alignment horizontal="center" vertical="center" wrapText="1"/>
    </xf>
    <xf numFmtId="0" fontId="41" fillId="11" borderId="3" xfId="0" applyFont="1" applyFill="1" applyBorder="1" applyAlignment="1">
      <alignment horizontal="center" vertical="center"/>
    </xf>
    <xf numFmtId="0" fontId="10" fillId="0" borderId="3" xfId="0" applyFont="1" applyBorder="1"/>
    <xf numFmtId="0" fontId="46" fillId="0" borderId="3" xfId="0" applyFont="1" applyBorder="1"/>
    <xf numFmtId="0" fontId="42" fillId="0" borderId="3" xfId="0" applyFont="1" applyBorder="1"/>
    <xf numFmtId="0" fontId="52" fillId="0" borderId="3" xfId="0" applyFont="1" applyBorder="1"/>
    <xf numFmtId="49" fontId="41" fillId="0" borderId="12" xfId="0" applyNumberFormat="1" applyFont="1" applyBorder="1" applyAlignment="1">
      <alignment horizontal="center" vertical="center"/>
    </xf>
    <xf numFmtId="0" fontId="42" fillId="0" borderId="12" xfId="0" applyFont="1" applyBorder="1" applyAlignment="1">
      <alignment wrapText="1"/>
    </xf>
    <xf numFmtId="0" fontId="44" fillId="0" borderId="12" xfId="0" applyFont="1" applyBorder="1" applyAlignment="1">
      <alignment horizontal="center" vertical="center" wrapText="1"/>
    </xf>
    <xf numFmtId="49" fontId="41" fillId="0" borderId="21" xfId="0" applyNumberFormat="1" applyFont="1" applyBorder="1" applyAlignment="1">
      <alignment horizontal="center" vertical="center"/>
    </xf>
    <xf numFmtId="0" fontId="41" fillId="0" borderId="21" xfId="0" applyFont="1" applyBorder="1" applyAlignment="1">
      <alignment horizontal="left" vertical="center" wrapText="1"/>
    </xf>
    <xf numFmtId="49" fontId="41" fillId="0" borderId="23" xfId="0" applyNumberFormat="1" applyFont="1" applyBorder="1" applyAlignment="1">
      <alignment horizontal="center" vertical="center"/>
    </xf>
    <xf numFmtId="0" fontId="41" fillId="0" borderId="23" xfId="0" applyFont="1" applyBorder="1" applyAlignment="1">
      <alignment horizontal="left" vertical="center" wrapText="1"/>
    </xf>
    <xf numFmtId="0" fontId="42" fillId="0" borderId="21" xfId="0" applyFont="1" applyBorder="1" applyAlignment="1">
      <alignment wrapText="1"/>
    </xf>
    <xf numFmtId="0" fontId="43" fillId="0" borderId="23" xfId="0" applyFont="1" applyBorder="1" applyAlignment="1">
      <alignment horizontal="center" vertical="center"/>
    </xf>
    <xf numFmtId="0" fontId="54" fillId="0" borderId="21" xfId="0" applyFont="1" applyBorder="1" applyAlignment="1">
      <alignment horizontal="center" vertical="center" wrapText="1"/>
    </xf>
    <xf numFmtId="0" fontId="54" fillId="0" borderId="21" xfId="0" applyFont="1" applyBorder="1" applyAlignment="1">
      <alignment horizontal="center" vertical="center"/>
    </xf>
    <xf numFmtId="0" fontId="54" fillId="0" borderId="12" xfId="0" applyFont="1" applyBorder="1" applyAlignment="1">
      <alignment vertical="center" wrapText="1"/>
    </xf>
    <xf numFmtId="0" fontId="56" fillId="0" borderId="21" xfId="0" applyFont="1" applyBorder="1"/>
    <xf numFmtId="0" fontId="0" fillId="3" borderId="12" xfId="0" applyFill="1" applyBorder="1" applyAlignment="1">
      <alignment horizontal="left" vertical="center"/>
    </xf>
    <xf numFmtId="0" fontId="44" fillId="0" borderId="23" xfId="0" applyFont="1" applyBorder="1" applyAlignment="1">
      <alignment horizontal="center" vertical="center"/>
    </xf>
    <xf numFmtId="49" fontId="0" fillId="0" borderId="12" xfId="0" applyNumberFormat="1" applyBorder="1" applyAlignment="1">
      <alignment vertical="center"/>
    </xf>
    <xf numFmtId="49" fontId="41" fillId="5" borderId="12" xfId="0" applyNumberFormat="1" applyFont="1" applyFill="1" applyBorder="1" applyAlignment="1">
      <alignment horizontal="center" vertical="center"/>
    </xf>
    <xf numFmtId="49" fontId="41" fillId="5" borderId="21" xfId="0" applyNumberFormat="1" applyFont="1" applyFill="1" applyBorder="1" applyAlignment="1">
      <alignment horizontal="center" vertical="center"/>
    </xf>
    <xf numFmtId="49" fontId="41" fillId="0" borderId="17" xfId="0" applyNumberFormat="1" applyFont="1" applyBorder="1" applyAlignment="1">
      <alignment horizontal="center" vertical="center"/>
    </xf>
    <xf numFmtId="49" fontId="41" fillId="5" borderId="23" xfId="0" applyNumberFormat="1" applyFont="1" applyFill="1" applyBorder="1" applyAlignment="1">
      <alignment horizontal="center" vertical="center"/>
    </xf>
    <xf numFmtId="0" fontId="41" fillId="5" borderId="12" xfId="0" applyFont="1" applyFill="1" applyBorder="1" applyAlignment="1">
      <alignment horizontal="center" vertical="center"/>
    </xf>
    <xf numFmtId="0" fontId="41" fillId="5" borderId="23" xfId="0" applyFont="1" applyFill="1" applyBorder="1" applyAlignment="1">
      <alignment horizontal="center" vertical="center"/>
    </xf>
    <xf numFmtId="0" fontId="57" fillId="19" borderId="3" xfId="2" applyFont="1" applyFill="1" applyBorder="1" applyAlignment="1">
      <alignment horizontal="center" vertical="center"/>
    </xf>
    <xf numFmtId="0" fontId="57" fillId="19" borderId="3" xfId="2" applyFont="1" applyFill="1" applyBorder="1" applyAlignment="1">
      <alignment horizontal="center" vertical="center" wrapText="1"/>
    </xf>
    <xf numFmtId="164" fontId="58" fillId="19" borderId="3" xfId="2" applyNumberFormat="1" applyFont="1" applyFill="1" applyBorder="1" applyAlignment="1">
      <alignment horizontal="center" vertical="center" wrapText="1"/>
    </xf>
    <xf numFmtId="0" fontId="58" fillId="19" borderId="3" xfId="2" applyFont="1" applyFill="1" applyBorder="1" applyAlignment="1">
      <alignment horizontal="center" vertical="center" wrapText="1"/>
    </xf>
    <xf numFmtId="0" fontId="58" fillId="19" borderId="3" xfId="2" applyFont="1" applyFill="1" applyBorder="1" applyAlignment="1">
      <alignment horizontal="center" vertical="center"/>
    </xf>
    <xf numFmtId="0" fontId="58" fillId="0" borderId="3" xfId="2" applyFont="1" applyBorder="1" applyAlignment="1">
      <alignment horizontal="center" vertical="center"/>
    </xf>
    <xf numFmtId="0" fontId="59" fillId="5" borderId="3" xfId="0" applyFont="1" applyFill="1" applyBorder="1" applyAlignment="1">
      <alignment horizontal="center" vertical="center" wrapText="1"/>
    </xf>
    <xf numFmtId="0" fontId="60" fillId="3" borderId="3" xfId="1" applyFont="1" applyFill="1" applyBorder="1" applyAlignment="1">
      <alignment vertical="center"/>
    </xf>
    <xf numFmtId="0" fontId="61" fillId="0" borderId="3" xfId="3" applyFont="1" applyBorder="1" applyAlignment="1">
      <alignment vertical="center"/>
    </xf>
    <xf numFmtId="0" fontId="58" fillId="0" borderId="3" xfId="2" applyFont="1" applyBorder="1" applyAlignment="1">
      <alignment vertical="center" wrapText="1"/>
    </xf>
    <xf numFmtId="0" fontId="58" fillId="0" borderId="3" xfId="2" applyFont="1" applyBorder="1" applyAlignment="1">
      <alignment horizontal="center" vertical="center" wrapText="1"/>
    </xf>
    <xf numFmtId="164" fontId="58" fillId="0" borderId="3" xfId="2" applyNumberFormat="1" applyFont="1" applyBorder="1" applyAlignment="1">
      <alignment horizontal="center" vertical="center" wrapText="1"/>
    </xf>
    <xf numFmtId="0" fontId="58" fillId="0" borderId="3" xfId="2" applyFont="1" applyBorder="1" applyAlignment="1">
      <alignment horizontal="left" vertical="center"/>
    </xf>
    <xf numFmtId="0" fontId="58" fillId="0" borderId="3" xfId="2" applyFont="1" applyBorder="1" applyAlignment="1">
      <alignment vertical="center"/>
    </xf>
    <xf numFmtId="164" fontId="58" fillId="0" borderId="3" xfId="2" quotePrefix="1" applyNumberFormat="1" applyFont="1" applyBorder="1" applyAlignment="1">
      <alignment horizontal="center" vertical="center" wrapText="1"/>
    </xf>
    <xf numFmtId="0" fontId="61" fillId="3" borderId="3" xfId="3" applyFont="1" applyFill="1" applyBorder="1" applyAlignment="1">
      <alignment vertical="center"/>
    </xf>
    <xf numFmtId="0" fontId="58" fillId="3" borderId="3" xfId="2" applyFont="1" applyFill="1" applyBorder="1" applyAlignment="1">
      <alignment vertical="center" wrapText="1"/>
    </xf>
    <xf numFmtId="0" fontId="58" fillId="3" borderId="3" xfId="2" applyFont="1" applyFill="1" applyBorder="1" applyAlignment="1">
      <alignment horizontal="center" vertical="center"/>
    </xf>
    <xf numFmtId="0" fontId="58" fillId="3" borderId="3" xfId="2" applyFont="1" applyFill="1" applyBorder="1" applyAlignment="1">
      <alignment horizontal="center" vertical="center" wrapText="1"/>
    </xf>
    <xf numFmtId="164" fontId="58" fillId="3" borderId="3" xfId="2" quotePrefix="1" applyNumberFormat="1" applyFont="1" applyFill="1" applyBorder="1" applyAlignment="1">
      <alignment horizontal="center" vertical="center" wrapText="1"/>
    </xf>
    <xf numFmtId="0" fontId="58" fillId="3" borderId="3" xfId="2" applyFont="1" applyFill="1" applyBorder="1" applyAlignment="1">
      <alignment horizontal="left" vertical="center" wrapText="1"/>
    </xf>
    <xf numFmtId="0" fontId="58" fillId="3" borderId="3" xfId="2" applyFont="1" applyFill="1" applyBorder="1" applyAlignment="1">
      <alignment vertical="center"/>
    </xf>
    <xf numFmtId="164" fontId="58" fillId="3" borderId="3" xfId="2" applyNumberFormat="1" applyFont="1" applyFill="1" applyBorder="1" applyAlignment="1">
      <alignment horizontal="center" vertical="center" wrapText="1"/>
    </xf>
    <xf numFmtId="0" fontId="58" fillId="3" borderId="3" xfId="2" applyFont="1" applyFill="1" applyBorder="1" applyAlignment="1">
      <alignment horizontal="left" vertical="center"/>
    </xf>
    <xf numFmtId="0" fontId="61" fillId="0" borderId="3" xfId="3" applyFont="1" applyFill="1" applyBorder="1" applyAlignment="1">
      <alignment vertical="center"/>
    </xf>
    <xf numFmtId="0" fontId="58" fillId="0" borderId="3" xfId="2" applyFont="1" applyBorder="1" applyAlignment="1">
      <alignment horizontal="left" vertical="center" wrapText="1"/>
    </xf>
    <xf numFmtId="164" fontId="58" fillId="0" borderId="3" xfId="2" applyNumberFormat="1" applyFont="1" applyBorder="1" applyAlignment="1">
      <alignment horizontal="center" vertical="center"/>
    </xf>
    <xf numFmtId="0" fontId="59" fillId="0" borderId="3" xfId="2" applyFont="1" applyBorder="1" applyAlignment="1">
      <alignment vertical="center"/>
    </xf>
    <xf numFmtId="0" fontId="62" fillId="0" borderId="3" xfId="2" applyFont="1" applyBorder="1" applyAlignment="1">
      <alignment horizontal="center" vertical="center"/>
    </xf>
    <xf numFmtId="164" fontId="59" fillId="0" borderId="3" xfId="2" applyNumberFormat="1" applyFont="1" applyBorder="1" applyAlignment="1">
      <alignment horizontal="center" vertical="center"/>
    </xf>
    <xf numFmtId="0" fontId="59" fillId="0" borderId="3" xfId="2" applyFont="1" applyBorder="1" applyAlignment="1">
      <alignment vertical="center" wrapText="1"/>
    </xf>
    <xf numFmtId="0" fontId="60" fillId="0" borderId="3" xfId="1" applyFont="1" applyBorder="1" applyAlignment="1">
      <alignment vertical="center"/>
    </xf>
    <xf numFmtId="0" fontId="58" fillId="0" borderId="3" xfId="0" applyFont="1" applyBorder="1"/>
    <xf numFmtId="0" fontId="59" fillId="0" borderId="3" xfId="0" applyFont="1" applyBorder="1"/>
    <xf numFmtId="0" fontId="63" fillId="0" borderId="3" xfId="0" applyFont="1" applyBorder="1" applyAlignment="1">
      <alignment horizontal="center" vertical="center"/>
    </xf>
    <xf numFmtId="0" fontId="59" fillId="0" borderId="3" xfId="0" applyFont="1" applyBorder="1" applyAlignment="1">
      <alignment horizontal="center" vertical="center" wrapText="1"/>
    </xf>
    <xf numFmtId="0" fontId="63" fillId="0" borderId="3" xfId="0" applyFont="1" applyBorder="1" applyAlignment="1">
      <alignment horizontal="center"/>
    </xf>
    <xf numFmtId="0" fontId="63" fillId="0" borderId="3" xfId="0" applyFont="1" applyBorder="1"/>
    <xf numFmtId="0" fontId="64" fillId="0" borderId="3" xfId="0" applyFont="1" applyBorder="1"/>
    <xf numFmtId="15" fontId="58" fillId="0" borderId="3" xfId="2" applyNumberFormat="1" applyFont="1" applyBorder="1" applyAlignment="1">
      <alignment horizontal="center" vertical="center"/>
    </xf>
    <xf numFmtId="14" fontId="22" fillId="0" borderId="3" xfId="2" applyNumberFormat="1" applyBorder="1" applyAlignment="1">
      <alignment horizontal="center" vertical="center"/>
    </xf>
    <xf numFmtId="0" fontId="20" fillId="0" borderId="0" xfId="1"/>
    <xf numFmtId="0" fontId="4" fillId="0" borderId="3" xfId="0" applyFont="1" applyBorder="1"/>
    <xf numFmtId="0" fontId="65" fillId="3" borderId="3" xfId="0" applyFont="1" applyFill="1" applyBorder="1" applyAlignment="1">
      <alignment horizontal="left" wrapText="1"/>
    </xf>
    <xf numFmtId="0" fontId="4" fillId="0" borderId="0" xfId="0" applyFont="1" applyAlignment="1">
      <alignment horizontal="left"/>
    </xf>
    <xf numFmtId="0" fontId="0" fillId="27" borderId="3" xfId="0" applyFill="1" applyBorder="1" applyAlignment="1">
      <alignment horizontal="left"/>
    </xf>
    <xf numFmtId="0" fontId="0" fillId="27" borderId="12" xfId="0" applyFill="1" applyBorder="1" applyAlignment="1">
      <alignment horizontal="left"/>
    </xf>
    <xf numFmtId="0" fontId="0" fillId="0" borderId="10" xfId="0" applyBorder="1" applyAlignment="1">
      <alignment horizontal="left"/>
    </xf>
    <xf numFmtId="0" fontId="19" fillId="0" borderId="10" xfId="1" applyFont="1" applyBorder="1" applyAlignment="1">
      <alignment horizontal="left"/>
    </xf>
    <xf numFmtId="0" fontId="0" fillId="27" borderId="19" xfId="0" applyFill="1" applyBorder="1" applyAlignment="1">
      <alignment horizontal="left"/>
    </xf>
    <xf numFmtId="0" fontId="0" fillId="0" borderId="10" xfId="0" applyBorder="1" applyAlignment="1">
      <alignment horizontal="left" wrapText="1"/>
    </xf>
    <xf numFmtId="0" fontId="0" fillId="27" borderId="3" xfId="0" applyFill="1" applyBorder="1"/>
    <xf numFmtId="0" fontId="59" fillId="19" borderId="3" xfId="0" applyFont="1" applyFill="1" applyBorder="1" applyAlignment="1">
      <alignment horizontal="center" vertical="center" wrapText="1"/>
    </xf>
    <xf numFmtId="0" fontId="59" fillId="0" borderId="3" xfId="0" applyFont="1" applyBorder="1" applyAlignment="1">
      <alignment vertical="center" wrapText="1"/>
    </xf>
    <xf numFmtId="0" fontId="59" fillId="0" borderId="3" xfId="0" applyFont="1" applyBorder="1" applyAlignment="1">
      <alignment vertical="center"/>
    </xf>
    <xf numFmtId="0" fontId="59" fillId="0" borderId="3" xfId="0" applyFont="1" applyBorder="1" applyAlignment="1">
      <alignment horizontal="center" vertical="center"/>
    </xf>
    <xf numFmtId="0" fontId="59" fillId="5" borderId="3" xfId="0" applyFont="1" applyFill="1" applyBorder="1" applyAlignment="1">
      <alignment horizontal="center" vertical="center"/>
    </xf>
    <xf numFmtId="0" fontId="59" fillId="5" borderId="3" xfId="0" applyFont="1" applyFill="1" applyBorder="1" applyAlignment="1">
      <alignment vertical="center" wrapText="1"/>
    </xf>
    <xf numFmtId="0" fontId="59" fillId="0" borderId="21" xfId="0" applyFont="1" applyBorder="1" applyAlignment="1">
      <alignment vertical="center"/>
    </xf>
    <xf numFmtId="0" fontId="66" fillId="0" borderId="1" xfId="0" applyFont="1" applyBorder="1"/>
    <xf numFmtId="0" fontId="67" fillId="3" borderId="3" xfId="0" applyFont="1" applyFill="1" applyBorder="1" applyAlignment="1">
      <alignment horizontal="left" vertical="center" wrapText="1"/>
    </xf>
    <xf numFmtId="0" fontId="64" fillId="0" borderId="3" xfId="0" applyFont="1" applyBorder="1" applyAlignment="1">
      <alignment horizontal="center" vertical="center" wrapText="1"/>
    </xf>
    <xf numFmtId="49" fontId="59" fillId="0" borderId="3" xfId="0" applyNumberFormat="1" applyFont="1" applyBorder="1" applyAlignment="1">
      <alignment horizontal="left" vertical="center" wrapText="1"/>
    </xf>
    <xf numFmtId="0" fontId="59" fillId="4" borderId="3" xfId="0" applyFont="1" applyFill="1" applyBorder="1" applyAlignment="1">
      <alignment horizontal="center" vertical="center" wrapText="1"/>
    </xf>
    <xf numFmtId="49" fontId="59" fillId="4" borderId="26" xfId="0" quotePrefix="1" applyNumberFormat="1" applyFont="1" applyFill="1" applyBorder="1" applyAlignment="1">
      <alignment vertical="center" wrapText="1"/>
    </xf>
    <xf numFmtId="0" fontId="59" fillId="0" borderId="21" xfId="0" applyFont="1" applyBorder="1" applyAlignment="1">
      <alignment horizontal="center" vertical="center" wrapText="1"/>
    </xf>
    <xf numFmtId="49" fontId="59" fillId="5" borderId="3" xfId="0" applyNumberFormat="1" applyFont="1" applyFill="1" applyBorder="1" applyAlignment="1">
      <alignment vertical="center" wrapText="1"/>
    </xf>
    <xf numFmtId="0" fontId="59" fillId="5" borderId="3" xfId="0" applyFont="1" applyFill="1" applyBorder="1" applyAlignment="1">
      <alignment vertical="center"/>
    </xf>
    <xf numFmtId="49" fontId="59" fillId="4" borderId="3" xfId="0" applyNumberFormat="1" applyFont="1" applyFill="1" applyBorder="1" applyAlignment="1">
      <alignment vertical="center" wrapText="1"/>
    </xf>
    <xf numFmtId="0" fontId="59" fillId="0" borderId="3" xfId="0" applyFont="1" applyBorder="1" applyAlignment="1">
      <alignment horizontal="left" vertical="center" wrapText="1"/>
    </xf>
    <xf numFmtId="0" fontId="62" fillId="5" borderId="0" xfId="0" applyFont="1" applyFill="1" applyAlignment="1">
      <alignment horizontal="center" vertical="center"/>
    </xf>
    <xf numFmtId="0" fontId="59" fillId="0" borderId="18" xfId="0" applyFont="1" applyBorder="1" applyAlignment="1">
      <alignment horizontal="center" vertical="center" wrapText="1"/>
    </xf>
    <xf numFmtId="0" fontId="59" fillId="0" borderId="20" xfId="0" applyFont="1" applyBorder="1" applyAlignment="1">
      <alignment horizontal="center" vertical="center" wrapText="1"/>
    </xf>
    <xf numFmtId="0" fontId="59" fillId="0" borderId="12" xfId="0" applyFont="1" applyBorder="1" applyAlignment="1">
      <alignment horizontal="center" vertical="center" wrapText="1"/>
    </xf>
    <xf numFmtId="0" fontId="62" fillId="0" borderId="20" xfId="0" applyFont="1" applyBorder="1" applyAlignment="1">
      <alignment vertical="center" wrapText="1"/>
    </xf>
    <xf numFmtId="0" fontId="62" fillId="0" borderId="12" xfId="0" applyFont="1" applyBorder="1" applyAlignment="1">
      <alignment vertical="center" wrapText="1"/>
    </xf>
    <xf numFmtId="0" fontId="59" fillId="5" borderId="18" xfId="0" applyFont="1" applyFill="1" applyBorder="1" applyAlignment="1">
      <alignment vertical="center" wrapText="1"/>
    </xf>
    <xf numFmtId="0" fontId="59" fillId="5" borderId="3" xfId="0" quotePrefix="1" applyFont="1" applyFill="1" applyBorder="1" applyAlignment="1">
      <alignment vertical="center" wrapText="1"/>
    </xf>
    <xf numFmtId="0" fontId="59" fillId="0" borderId="20" xfId="0" applyFont="1" applyBorder="1" applyAlignment="1">
      <alignment vertical="center" wrapText="1"/>
    </xf>
    <xf numFmtId="0" fontId="59" fillId="0" borderId="12" xfId="0" applyFont="1" applyBorder="1" applyAlignment="1">
      <alignment vertical="center" wrapText="1"/>
    </xf>
    <xf numFmtId="0" fontId="59" fillId="0" borderId="18" xfId="0" applyFont="1" applyBorder="1" applyAlignment="1">
      <alignment vertical="center" wrapText="1"/>
    </xf>
    <xf numFmtId="0" fontId="59" fillId="5" borderId="21" xfId="0" applyFont="1" applyFill="1" applyBorder="1" applyAlignment="1">
      <alignment horizontal="center" vertical="center" wrapText="1"/>
    </xf>
    <xf numFmtId="0" fontId="59" fillId="0" borderId="21" xfId="0" applyFont="1" applyBorder="1" applyAlignment="1">
      <alignment vertical="center" wrapText="1"/>
    </xf>
    <xf numFmtId="0" fontId="59" fillId="0" borderId="23" xfId="0" applyFont="1" applyBorder="1" applyAlignment="1">
      <alignment horizontal="center" vertical="center" wrapText="1"/>
    </xf>
    <xf numFmtId="0" fontId="59" fillId="0" borderId="22" xfId="0" applyFont="1" applyBorder="1" applyAlignment="1">
      <alignment horizontal="center" vertical="center" wrapText="1"/>
    </xf>
    <xf numFmtId="0" fontId="59" fillId="8" borderId="3" xfId="0" applyFont="1" applyFill="1" applyBorder="1" applyAlignment="1">
      <alignment horizontal="center" vertical="center" wrapText="1"/>
    </xf>
    <xf numFmtId="0" fontId="59" fillId="0" borderId="1" xfId="0" applyFont="1" applyBorder="1" applyAlignment="1">
      <alignment horizontal="center" vertical="center"/>
    </xf>
    <xf numFmtId="0" fontId="59" fillId="0" borderId="10" xfId="0" applyFont="1" applyBorder="1" applyAlignment="1">
      <alignment horizontal="center" vertical="center" wrapText="1"/>
    </xf>
    <xf numFmtId="49" fontId="59" fillId="5" borderId="11" xfId="0" applyNumberFormat="1" applyFont="1" applyFill="1" applyBorder="1" applyAlignment="1">
      <alignment horizontal="center" vertical="center"/>
    </xf>
    <xf numFmtId="0" fontId="59" fillId="5" borderId="1" xfId="0" applyFont="1" applyFill="1" applyBorder="1" applyAlignment="1">
      <alignment horizontal="center" vertical="center"/>
    </xf>
    <xf numFmtId="0" fontId="59" fillId="5" borderId="1" xfId="0" applyFont="1" applyFill="1" applyBorder="1" applyAlignment="1">
      <alignment horizontal="center" vertical="center" wrapText="1"/>
    </xf>
    <xf numFmtId="0" fontId="59" fillId="0" borderId="10" xfId="0" applyFont="1" applyBorder="1" applyAlignment="1">
      <alignment horizontal="left" vertical="center" wrapText="1"/>
    </xf>
    <xf numFmtId="49" fontId="0" fillId="5" borderId="0" xfId="0" applyNumberFormat="1" applyFill="1" applyAlignment="1">
      <alignment vertical="center" wrapText="1"/>
    </xf>
    <xf numFmtId="0" fontId="59" fillId="0" borderId="0" xfId="0" applyFont="1" applyAlignment="1">
      <alignment horizontal="center" wrapText="1"/>
    </xf>
    <xf numFmtId="0" fontId="0" fillId="5" borderId="21" xfId="0" applyFill="1" applyBorder="1" applyAlignment="1">
      <alignment horizontal="center" vertical="center" wrapText="1"/>
    </xf>
    <xf numFmtId="0" fontId="6" fillId="0" borderId="0" xfId="0" applyFont="1" applyAlignment="1">
      <alignment horizontal="center" vertical="center"/>
    </xf>
    <xf numFmtId="0" fontId="23" fillId="19" borderId="3" xfId="2" applyFont="1" applyFill="1" applyBorder="1" applyAlignment="1">
      <alignment horizontal="center" vertical="center"/>
    </xf>
    <xf numFmtId="0" fontId="22" fillId="19" borderId="3" xfId="2" applyFill="1" applyBorder="1" applyAlignment="1">
      <alignment horizontal="center" vertical="center" wrapText="1"/>
    </xf>
    <xf numFmtId="0" fontId="22" fillId="0" borderId="3" xfId="2" applyBorder="1" applyAlignment="1">
      <alignment horizontal="center" vertical="center"/>
    </xf>
    <xf numFmtId="0" fontId="23" fillId="19" borderId="3" xfId="2" applyFont="1" applyFill="1" applyBorder="1" applyAlignment="1">
      <alignment horizontal="center" vertical="center" wrapText="1"/>
    </xf>
    <xf numFmtId="49" fontId="22" fillId="19" borderId="3" xfId="2" applyNumberFormat="1" applyFill="1" applyBorder="1" applyAlignment="1">
      <alignment horizontal="center" vertical="center" wrapText="1"/>
    </xf>
    <xf numFmtId="0" fontId="0" fillId="0" borderId="12" xfId="0" applyBorder="1" applyAlignment="1">
      <alignment horizontal="center" vertical="center" wrapText="1"/>
    </xf>
    <xf numFmtId="0" fontId="0" fillId="0" borderId="23" xfId="0" applyBorder="1" applyAlignment="1">
      <alignment horizontal="center" vertical="center" wrapText="1"/>
    </xf>
    <xf numFmtId="0" fontId="0" fillId="0" borderId="21" xfId="0" applyBorder="1" applyAlignment="1">
      <alignment horizontal="center" vertical="center" wrapText="1"/>
    </xf>
    <xf numFmtId="0" fontId="0" fillId="0" borderId="3" xfId="0" applyBorder="1" applyAlignment="1">
      <alignment horizontal="left" vertical="center"/>
    </xf>
    <xf numFmtId="0" fontId="0" fillId="0" borderId="12" xfId="0" applyBorder="1" applyAlignment="1">
      <alignment vertical="center" wrapText="1"/>
    </xf>
    <xf numFmtId="0" fontId="0" fillId="0" borderId="21" xfId="0" applyBorder="1" applyAlignment="1">
      <alignment vertical="center" wrapText="1"/>
    </xf>
    <xf numFmtId="0" fontId="0" fillId="0" borderId="12" xfId="0" applyBorder="1" applyAlignment="1">
      <alignment vertical="center"/>
    </xf>
    <xf numFmtId="0" fontId="0" fillId="0" borderId="23" xfId="0" applyBorder="1" applyAlignment="1">
      <alignment vertical="center"/>
    </xf>
    <xf numFmtId="0" fontId="0" fillId="0" borderId="21" xfId="0" applyBorder="1" applyAlignment="1">
      <alignment vertical="center"/>
    </xf>
    <xf numFmtId="0" fontId="19" fillId="0" borderId="12" xfId="0" applyFont="1" applyBorder="1" applyAlignment="1">
      <alignment horizontal="left" vertical="center" wrapText="1"/>
    </xf>
    <xf numFmtId="0" fontId="19" fillId="0" borderId="23" xfId="0" applyFont="1" applyBorder="1" applyAlignment="1">
      <alignment horizontal="left" vertical="center" wrapText="1"/>
    </xf>
    <xf numFmtId="0" fontId="19" fillId="0" borderId="21" xfId="0" applyFont="1" applyBorder="1" applyAlignment="1">
      <alignment horizontal="left" vertical="center" wrapText="1"/>
    </xf>
    <xf numFmtId="0" fontId="8" fillId="13" borderId="9" xfId="0" applyFont="1" applyFill="1" applyBorder="1" applyAlignment="1">
      <alignment horizontal="center"/>
    </xf>
    <xf numFmtId="0" fontId="8" fillId="13" borderId="13" xfId="0" applyFont="1" applyFill="1" applyBorder="1" applyAlignment="1">
      <alignment horizontal="center"/>
    </xf>
    <xf numFmtId="0" fontId="8" fillId="13" borderId="11" xfId="0" applyFont="1" applyFill="1" applyBorder="1" applyAlignment="1">
      <alignment horizontal="center"/>
    </xf>
    <xf numFmtId="0" fontId="8" fillId="13" borderId="6" xfId="0" applyFont="1" applyFill="1" applyBorder="1" applyAlignment="1">
      <alignment horizontal="center"/>
    </xf>
    <xf numFmtId="0" fontId="8" fillId="13" borderId="14" xfId="0" applyFont="1" applyFill="1" applyBorder="1" applyAlignment="1">
      <alignment horizontal="center"/>
    </xf>
    <xf numFmtId="0" fontId="0" fillId="5" borderId="20" xfId="0" applyFill="1" applyBorder="1" applyAlignment="1">
      <alignment horizontal="center" vertical="center"/>
    </xf>
    <xf numFmtId="0" fontId="0" fillId="5" borderId="24" xfId="0" applyFill="1" applyBorder="1" applyAlignment="1">
      <alignment horizontal="center" vertical="center"/>
    </xf>
    <xf numFmtId="0" fontId="0" fillId="5" borderId="22" xfId="0" applyFill="1" applyBorder="1" applyAlignment="1">
      <alignment horizontal="center" vertical="center"/>
    </xf>
    <xf numFmtId="0" fontId="0" fillId="5" borderId="12" xfId="0" applyFill="1" applyBorder="1" applyAlignment="1">
      <alignment horizontal="center" vertical="center"/>
    </xf>
    <xf numFmtId="0" fontId="0" fillId="5" borderId="23" xfId="0" applyFill="1" applyBorder="1" applyAlignment="1">
      <alignment horizontal="center" vertical="center"/>
    </xf>
    <xf numFmtId="0" fontId="0" fillId="5" borderId="21" xfId="0" applyFill="1" applyBorder="1" applyAlignment="1">
      <alignment horizontal="center" vertical="center"/>
    </xf>
    <xf numFmtId="0" fontId="8" fillId="12" borderId="9" xfId="0" applyFont="1" applyFill="1" applyBorder="1" applyAlignment="1"/>
    <xf numFmtId="0" fontId="8" fillId="12" borderId="13" xfId="0" applyFont="1" applyFill="1" applyBorder="1" applyAlignment="1"/>
    <xf numFmtId="0" fontId="8" fillId="12" borderId="11" xfId="0" applyFont="1" applyFill="1" applyBorder="1" applyAlignment="1"/>
  </cellXfs>
  <cellStyles count="5">
    <cellStyle name="Hyperlink" xfId="1" xr:uid="{00000000-000B-0000-0000-000008000000}"/>
    <cellStyle name="Hyperlink 2" xfId="3" xr:uid="{5DFC4742-865E-4CA3-8D6A-DDD1299FBB33}"/>
    <cellStyle name="Normal" xfId="0" builtinId="0"/>
    <cellStyle name="Normal 2" xfId="2" xr:uid="{E72D5D9D-5C76-4DB9-8F07-3CBC114F628E}"/>
    <cellStyle name="Normal 3" xfId="4" xr:uid="{EE7CFE7F-3E6F-41C9-9FED-CDE2741E3894}"/>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ill>
        <patternFill>
          <bgColor theme="2"/>
        </patternFill>
      </fill>
    </dxf>
    <dxf>
      <font>
        <color theme="1" tint="0.499984740745262"/>
      </font>
      <fill>
        <patternFill patternType="solid">
          <bgColor theme="2" tint="-9.9978637043366805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uong Huu Quan" id="{A91975B1-FDC7-4469-8211-F306ADCAC769}" userId="S::quan.luonghuu@map.co.id::594a10be-db63-4ad7-a336-5789f7d40995" providerId="AD"/>
  <person displayName="Pham Trung Hieu" id="{42258690-1445-4A42-AB6A-968CD387885C}" userId="S::hieu.phamtrung@map.co.id::e2b004dd-4287-436d-9a70-36591a3c0b8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8094F9-2F9E-4D25-AE51-82B8D4B0C964}" name="Table43" displayName="Table43" ref="B1:AO113" totalsRowShown="0">
  <autoFilter ref="B1:AO113" xr:uid="{6C8094F9-2F9E-4D25-AE51-82B8D4B0C964}">
    <filterColumn colId="38">
      <filters>
        <filter val="Active"/>
      </filters>
    </filterColumn>
  </autoFilter>
  <sortState xmlns:xlrd2="http://schemas.microsoft.com/office/spreadsheetml/2017/richdata2" ref="B2:AN112">
    <sortCondition ref="AM1:AM112"/>
  </sortState>
  <tableColumns count="40">
    <tableColumn id="1" xr3:uid="{D088350D-69D5-4316-B64C-4127D570C0CB}" name="Username"/>
    <tableColumn id="2" xr3:uid="{C9A5A25E-B5C0-46CF-8244-CBEF93079C40}" name="User principal name"/>
    <tableColumn id="3" xr3:uid="{1D901DEA-9DFA-4CF8-8CCB-168C6297000A}" name="Alias"/>
    <tableColumn id="4" xr3:uid="{4E65F19F-A8D6-4ECD-8999-A0354C9C66F5}" name="Domain"/>
    <tableColumn id="5" xr3:uid="{BBC8F123-D01E-4C35-B43E-3B79E47760A8}" name="Store Code"/>
    <tableColumn id="6" xr3:uid="{D4C46403-FC85-410A-9D5A-D83D269CAF84}" name="Block credential"/>
    <tableColumn id="7" xr3:uid="{4513D8D0-BD50-4C49-9FB7-370B3A68BABF}" name="City"/>
    <tableColumn id="8" xr3:uid="{4CD0C146-8FF6-4FB1-BEB0-3E1C4FD423F6}" name="Country/Region"/>
    <tableColumn id="9" xr3:uid="{9B7980A6-CE21-439F-AB13-ADC8D0E7E559}" name="Department"/>
    <tableColumn id="10" xr3:uid="{5DF6EB59-79B9-46AB-8B84-D9AFA7B9FDF9}" name="DirSyncEnabled"/>
    <tableColumn id="11" xr3:uid="{BFEA5FD8-1EB8-4466-B932-D9407194353C}" name="Display name"/>
    <tableColumn id="12" xr3:uid="{9DA0998E-16CA-4231-AFB3-1BA85B97DA1F}" name="Fax"/>
    <tableColumn id="13" xr3:uid="{C01354F2-B993-4CA4-8D4A-0DCD4029D46C}" name="First name"/>
    <tableColumn id="14" xr3:uid="{A36E970B-3898-408E-8560-39F6B4BB62F1}" name="Last dirsync time"/>
    <tableColumn id="15" xr3:uid="{170FCDEA-4832-4DE0-8752-EF80715C0730}" name="Last name"/>
    <tableColumn id="16" xr3:uid="{5D99AB25-4743-4104-9163-36CD277D97B4}" name="Last password change time stamp"/>
    <tableColumn id="17" xr3:uid="{2C3EFA3E-67DD-4C00-88FB-0577C6DADA39}" name="License assignment details"/>
    <tableColumn id="18" xr3:uid="{F12EAAB8-F9A8-4CF4-8F67-730EE954DA9C}" name="Licenses"/>
    <tableColumn id="19" xr3:uid="{A1C37039-DDA0-4305-989A-89683BC344D9}" name="Mobile Phone"/>
    <tableColumn id="20" xr3:uid="{229BF965-A14C-4BA0-AACE-1A8EADC60F4E}" name="Oath token meta data"/>
    <tableColumn id="21" xr3:uid="{28BF6942-8A89-4C43-AE78-55305903619B}" name="Object Id"/>
    <tableColumn id="22" xr3:uid="{E0012C81-962F-40A4-9560-62563FE39080}" name="Office"/>
    <tableColumn id="23" xr3:uid="{61FE5DA6-5C3E-44DB-AFD9-0B32F3ECD7F3}" name="Password never expires"/>
    <tableColumn id="24" xr3:uid="{F8812745-6280-4889-BD38-AAB7DAA854F6}" name="Phone number"/>
    <tableColumn id="25" xr3:uid="{40BBC1FC-3961-454C-9ACD-198F9F272B0F}" name="Postal code"/>
    <tableColumn id="26" xr3:uid="{EC2C8923-63A9-4E39-A7CA-BE80505BB869}" name="Preferred data location"/>
    <tableColumn id="27" xr3:uid="{F3E9B2A0-850C-4BEA-BD1F-4CC99917EF16}" name="Preferred language"/>
    <tableColumn id="28" xr3:uid="{CDD3B67D-D132-4256-87F6-F0923652D503}" name="Proxy addresses"/>
    <tableColumn id="29" xr3:uid="{B3EA18B8-331D-4F44-A0AB-7027A472A877}" name="Release track"/>
    <tableColumn id="30" xr3:uid="{A14A1BD5-38CB-4476-847F-98DEAD2C8B72}" name="Soft deletion time stamp"/>
    <tableColumn id="31" xr3:uid="{2F182476-8810-45A8-9780-EFFB2B8381AB}" name="State"/>
    <tableColumn id="32" xr3:uid="{A1EAF4E0-69B7-4DE7-8BAC-553A93A1BF98}" name="Street address"/>
    <tableColumn id="33" xr3:uid="{E9B14473-9A9B-476D-9CA1-22AF25C6C100}" name="Strong password required"/>
    <tableColumn id="34" xr3:uid="{A67FDD1F-E71F-409C-8594-5E5B687E838F}" name="Title"/>
    <tableColumn id="35" xr3:uid="{5CCD4A04-1469-4D8A-8951-F8799758438A}" name="Usage location"/>
    <tableColumn id="36" xr3:uid="{DEEE05E9-0142-413C-94DA-201FFE2700F2}" name="User principal name2"/>
    <tableColumn id="37" xr3:uid="{8547444B-9B0C-480F-944A-E29FFAB86838}" name="When created"/>
    <tableColumn id="38" xr3:uid="{9A5B3FD2-BE6C-4815-8C7C-A5FB781C361F}" name="Place"/>
    <tableColumn id="39" xr3:uid="{242AD3C9-B212-4417-A0B3-5ACC2BC6FBC1}" name="Status"/>
    <tableColumn id="40" xr3:uid="{D5ABD8DF-1124-4D5F-8799-69D4EEABD4EF}"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28" dT="2023-11-03T08:52:25.10" personId="{42258690-1445-4A42-AB6A-968CD387885C}" id="{9DFF5F5A-615C-4EAD-A8CD-81F4D7CDDEA9}">
    <text>USB ports faulty</text>
  </threadedComment>
  <threadedComment ref="W40" dT="2023-11-03T08:52:28.46" personId="{42258690-1445-4A42-AB6A-968CD387885C}" id="{B0384A5E-8AE0-44A8-ADCA-934FF0BB4356}">
    <text>USB ports faulty</text>
  </threadedComment>
  <threadedComment ref="M49" dT="2024-02-18T06:17:38.13" personId="{A91975B1-FDC7-4469-8211-F306ADCAC769}" id="{E8119DF3-D781-43F1-9908-CC8B9C8D06A9}">
    <text>Anh Đạt note đã đổi cho store Scaning gun với serial number SNG23C76551</text>
  </threadedComment>
  <threadedComment ref="D54" dT="2023-11-03T08:52:50.25" personId="{42258690-1445-4A42-AB6A-968CD387885C}" id="{9282B909-CC75-4D6B-8813-02972771A17D}">
    <text>need to check data clearance</text>
  </threadedComment>
  <threadedComment ref="D75" dT="2023-11-03T08:52:54.59" personId="{42258690-1445-4A42-AB6A-968CD387885C}" id="{3417E49A-FD3D-471B-88B8-09F1D079C140}">
    <text>need to check data clearance</text>
  </threadedComment>
  <threadedComment ref="D449" dT="2024-04-09T06:55:14.72" personId="{42258690-1445-4A42-AB6A-968CD387885C}" id="{A04F04D0-A794-483E-ACD0-D67421B3EEF1}">
    <text>at Khang COE (resigned) table</text>
  </threadedComment>
</ThreadedComments>
</file>

<file path=xl/threadedComments/threadedComment2.xml><?xml version="1.0" encoding="utf-8"?>
<ThreadedComments xmlns="http://schemas.microsoft.com/office/spreadsheetml/2018/threadedcomments" xmlns:x="http://schemas.openxmlformats.org/spreadsheetml/2006/main">
  <threadedComment ref="M17" dT="2024-03-11T05:05:52.50" personId="{42258690-1445-4A42-AB6A-968CD387885C}" id="{12A45809-2674-4F77-BF72-DD10B2F0E6F1}">
    <text>Use 4G from ZV07</text>
  </threadedComment>
  <threadedComment ref="P66" dT="2024-08-12T04:43:14.77" personId="{42258690-1445-4A42-AB6A-968CD387885C}" id="{1E202E03-4C70-4A13-B60B-3C887A5B161C}">
    <text>will transfer O2O assets to NEW BALANCE SAIGON CENTER (VA15)</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mailto:minh.letranthien@mapactive.vn%20%20resigned%20thy.nguyenhoanganh%20resigned%20chi%20Mai%20gi&#7919;%20m&#225;y"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anh.nguyenngoclan@mapactive.vn" TargetMode="External"/><Relationship Id="rId18" Type="http://schemas.openxmlformats.org/officeDocument/2006/relationships/hyperlink" Target="mailto:syed.umairhassan@mapactive.vn" TargetMode="External"/><Relationship Id="rId26" Type="http://schemas.openxmlformats.org/officeDocument/2006/relationships/hyperlink" Target="mailto:dien.tranduy@mapactive.vn" TargetMode="External"/><Relationship Id="rId39" Type="http://schemas.openxmlformats.org/officeDocument/2006/relationships/hyperlink" Target="mailto:tram.lengocbich@mapactive.vn" TargetMode="External"/><Relationship Id="rId21" Type="http://schemas.openxmlformats.org/officeDocument/2006/relationships/hyperlink" Target="mailto:xuan.vothihoanganh@mapactive.vn" TargetMode="External"/><Relationship Id="rId34" Type="http://schemas.openxmlformats.org/officeDocument/2006/relationships/hyperlink" Target="mailto:mai.nguyenthihuynh@mapactive.vn" TargetMode="External"/><Relationship Id="rId42" Type="http://schemas.openxmlformats.org/officeDocument/2006/relationships/hyperlink" Target="mailto:mma.hotline@mapactive.vn" TargetMode="External"/><Relationship Id="rId47" Type="http://schemas.openxmlformats.org/officeDocument/2006/relationships/hyperlink" Target="mailto:mac.hotline@mapactive.kh" TargetMode="External"/><Relationship Id="rId50" Type="http://schemas.openxmlformats.org/officeDocument/2006/relationships/hyperlink" Target="mailto:chau.lehongbao@mapactive.vn" TargetMode="External"/><Relationship Id="rId55" Type="http://schemas.openxmlformats.org/officeDocument/2006/relationships/hyperlink" Target="mailto:uyen.vuxuan@mapactive.vn" TargetMode="External"/><Relationship Id="rId7" Type="http://schemas.openxmlformats.org/officeDocument/2006/relationships/hyperlink" Target="mailto:tuan.ngoanh@mapactive.vn" TargetMode="External"/><Relationship Id="rId2" Type="http://schemas.openxmlformats.org/officeDocument/2006/relationships/hyperlink" Target="mailto:them.quanthanh@mapactive.vn" TargetMode="External"/><Relationship Id="rId16" Type="http://schemas.openxmlformats.org/officeDocument/2006/relationships/hyperlink" Target="mailto:lan.nguyenphuong@mapactive.vn" TargetMode="External"/><Relationship Id="rId29" Type="http://schemas.openxmlformats.org/officeDocument/2006/relationships/hyperlink" Target="mailto:duyen.lethanh@mapactive.vn" TargetMode="External"/><Relationship Id="rId11" Type="http://schemas.openxmlformats.org/officeDocument/2006/relationships/hyperlink" Target="mailto:binh.ngotieu@mapactive.vn" TargetMode="External"/><Relationship Id="rId24" Type="http://schemas.openxmlformats.org/officeDocument/2006/relationships/hyperlink" Target="mailto:van.nghiemthihong@mapactive.vn" TargetMode="External"/><Relationship Id="rId32" Type="http://schemas.openxmlformats.org/officeDocument/2006/relationships/hyperlink" Target="mailto:footlocker.vietnam@mapactive.vn" TargetMode="External"/><Relationship Id="rId37" Type="http://schemas.openxmlformats.org/officeDocument/2006/relationships/hyperlink" Target="mailto:ngoc.ngo@mapactive.vn" TargetMode="External"/><Relationship Id="rId40" Type="http://schemas.openxmlformats.org/officeDocument/2006/relationships/hyperlink" Target="mailto:dat.volamminh@mapactive.vn" TargetMode="External"/><Relationship Id="rId45" Type="http://schemas.openxmlformats.org/officeDocument/2006/relationships/hyperlink" Target="mailto:anh.nguyensi@mapactive.vn" TargetMode="External"/><Relationship Id="rId53" Type="http://schemas.openxmlformats.org/officeDocument/2006/relationships/hyperlink" Target="mailto:du.nguyenbao@mapactive.vn" TargetMode="External"/><Relationship Id="rId58" Type="http://schemas.openxmlformats.org/officeDocument/2006/relationships/hyperlink" Target="mailto:nhung.nguyenthituyet@mapactive.vn" TargetMode="External"/><Relationship Id="rId5" Type="http://schemas.openxmlformats.org/officeDocument/2006/relationships/hyperlink" Target="mailto:linh.lecam@mapactive.vn" TargetMode="External"/><Relationship Id="rId61" Type="http://schemas.openxmlformats.org/officeDocument/2006/relationships/hyperlink" Target="mailto:Tuan.Coanh@mapactive.vn" TargetMode="External"/><Relationship Id="rId19" Type="http://schemas.openxmlformats.org/officeDocument/2006/relationships/hyperlink" Target="mailto:mong.nguyenthithuy@mapactive.vn" TargetMode="External"/><Relationship Id="rId14" Type="http://schemas.openxmlformats.org/officeDocument/2006/relationships/hyperlink" Target="mailto:trinh.tranngocdoan@mapactive.vn" TargetMode="External"/><Relationship Id="rId22" Type="http://schemas.openxmlformats.org/officeDocument/2006/relationships/hyperlink" Target="mailto:phung.tietnha@mapactive.vn" TargetMode="External"/><Relationship Id="rId27" Type="http://schemas.openxmlformats.org/officeDocument/2006/relationships/hyperlink" Target="mailto:thu.nguyenthanhanh@mapactive.vn" TargetMode="External"/><Relationship Id="rId30" Type="http://schemas.openxmlformats.org/officeDocument/2006/relationships/hyperlink" Target="mailto:ngoc.nguyenduyen@mapactive.vn" TargetMode="External"/><Relationship Id="rId35" Type="http://schemas.openxmlformats.org/officeDocument/2006/relationships/hyperlink" Target="mailto:thu.pham@mapactive.vn" TargetMode="External"/><Relationship Id="rId43" Type="http://schemas.openxmlformats.org/officeDocument/2006/relationships/hyperlink" Target="mailto:mac.hotline@mapactive.kh" TargetMode="External"/><Relationship Id="rId48" Type="http://schemas.openxmlformats.org/officeDocument/2006/relationships/hyperlink" Target="mailto:minh.vanduc@mapactive.vn" TargetMode="External"/><Relationship Id="rId56" Type="http://schemas.openxmlformats.org/officeDocument/2006/relationships/hyperlink" Target="mailto:trang.taquynh@mapactive.vn" TargetMode="External"/><Relationship Id="rId8" Type="http://schemas.openxmlformats.org/officeDocument/2006/relationships/hyperlink" Target="mailto:thang.nguyennam@mapactive.vn" TargetMode="External"/><Relationship Id="rId51" Type="http://schemas.openxmlformats.org/officeDocument/2006/relationships/hyperlink" Target="mailto:binh.nguyenmy@mapactive.vn" TargetMode="External"/><Relationship Id="rId3" Type="http://schemas.openxmlformats.org/officeDocument/2006/relationships/hyperlink" Target="mailto:nghia.thoihuu@mapactive.vn" TargetMode="External"/><Relationship Id="rId12" Type="http://schemas.openxmlformats.org/officeDocument/2006/relationships/hyperlink" Target="mailto:duyen.nguyenngocxuan@mapactive.vn" TargetMode="External"/><Relationship Id="rId17" Type="http://schemas.openxmlformats.org/officeDocument/2006/relationships/hyperlink" Target="mailto:quan.luonghuu@mapactive.vn" TargetMode="External"/><Relationship Id="rId25" Type="http://schemas.openxmlformats.org/officeDocument/2006/relationships/hyperlink" Target="mailto:qui.nguyenthi@mapactive.vn" TargetMode="External"/><Relationship Id="rId33" Type="http://schemas.openxmlformats.org/officeDocument/2006/relationships/hyperlink" Target="mailto:HR.Recruitment@mapactive.vn" TargetMode="External"/><Relationship Id="rId38" Type="http://schemas.openxmlformats.org/officeDocument/2006/relationships/hyperlink" Target="mailto:nguyen.thieu@mapactive.vn" TargetMode="External"/><Relationship Id="rId46" Type="http://schemas.openxmlformats.org/officeDocument/2006/relationships/hyperlink" Target="mailto:mma.hotline@mapactive.vn" TargetMode="External"/><Relationship Id="rId59" Type="http://schemas.openxmlformats.org/officeDocument/2006/relationships/hyperlink" Target="mailto:giang.trana@mapactive.vn" TargetMode="External"/><Relationship Id="rId20" Type="http://schemas.openxmlformats.org/officeDocument/2006/relationships/hyperlink" Target="mailto:nhan.huynhtuan@mapactive.vn" TargetMode="External"/><Relationship Id="rId41" Type="http://schemas.openxmlformats.org/officeDocument/2006/relationships/hyperlink" Target="mailto:minh.lengocbao@mapactive.vn" TargetMode="External"/><Relationship Id="rId54" Type="http://schemas.openxmlformats.org/officeDocument/2006/relationships/hyperlink" Target="mailto:dung.nguyenthiphuong@mapactive.vn" TargetMode="External"/><Relationship Id="rId62" Type="http://schemas.openxmlformats.org/officeDocument/2006/relationships/printerSettings" Target="../printerSettings/printerSettings2.bin"/><Relationship Id="rId1" Type="http://schemas.openxmlformats.org/officeDocument/2006/relationships/hyperlink" Target="mailto:van.luugiangcam@mapactive.vn" TargetMode="External"/><Relationship Id="rId6" Type="http://schemas.openxmlformats.org/officeDocument/2006/relationships/hyperlink" Target="mailto:tram.ngothibich@mapactive.vn" TargetMode="External"/><Relationship Id="rId15" Type="http://schemas.openxmlformats.org/officeDocument/2006/relationships/hyperlink" Target="mailto:nhi.tranthiyen@mapactive.vn" TargetMode="External"/><Relationship Id="rId23" Type="http://schemas.openxmlformats.org/officeDocument/2006/relationships/hyperlink" Target="mailto:uyen.nguyenhaphuong@mapactive.vn" TargetMode="External"/><Relationship Id="rId28" Type="http://schemas.openxmlformats.org/officeDocument/2006/relationships/hyperlink" Target="mailto:Huy.daoduc@mapactive.vn" TargetMode="External"/><Relationship Id="rId36" Type="http://schemas.openxmlformats.org/officeDocument/2006/relationships/hyperlink" Target="mailto:quan.vu@mapactive.vn" TargetMode="External"/><Relationship Id="rId49" Type="http://schemas.openxmlformats.org/officeDocument/2006/relationships/hyperlink" Target="mailto:nhung.nguyenthihong01@mapactive.vn" TargetMode="External"/><Relationship Id="rId57" Type="http://schemas.openxmlformats.org/officeDocument/2006/relationships/hyperlink" Target="mailto:uyen.nguyenhaphuong@mapactive.vn" TargetMode="External"/><Relationship Id="rId10" Type="http://schemas.openxmlformats.org/officeDocument/2006/relationships/hyperlink" Target="mailto:thang.nguyenquyet@mapactive.vn" TargetMode="External"/><Relationship Id="rId31" Type="http://schemas.openxmlformats.org/officeDocument/2006/relationships/hyperlink" Target="mailto:mma.it@mapactive.vn" TargetMode="External"/><Relationship Id="rId44" Type="http://schemas.openxmlformats.org/officeDocument/2006/relationships/hyperlink" Target="mailto:chi.tranvukim@mapactive.vn" TargetMode="External"/><Relationship Id="rId52" Type="http://schemas.openxmlformats.org/officeDocument/2006/relationships/hyperlink" Target="mailto:ngan.vongocthanh@mapactive.vn" TargetMode="External"/><Relationship Id="rId60" Type="http://schemas.openxmlformats.org/officeDocument/2006/relationships/hyperlink" Target="mailto:Doan.An@mapactive.vn" TargetMode="External"/><Relationship Id="rId4" Type="http://schemas.openxmlformats.org/officeDocument/2006/relationships/hyperlink" Target="mailto:tuyen.vothuyminh@mapactive.vn" TargetMode="External"/><Relationship Id="rId9" Type="http://schemas.openxmlformats.org/officeDocument/2006/relationships/hyperlink" Target="mailto:danh.huynhmy@mapactive.vn"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huong.tranquocthien@mapactive.vn" TargetMode="External"/><Relationship Id="rId18" Type="http://schemas.openxmlformats.org/officeDocument/2006/relationships/hyperlink" Target="mailto:alun.hughes@mapactive.vn" TargetMode="External"/><Relationship Id="rId26" Type="http://schemas.openxmlformats.org/officeDocument/2006/relationships/hyperlink" Target="mailto:son.vuxuan@mapactive.vn" TargetMode="External"/><Relationship Id="rId39" Type="http://schemas.openxmlformats.org/officeDocument/2006/relationships/hyperlink" Target="mailto:luong.lactuan@mapactive.vn" TargetMode="External"/><Relationship Id="rId21" Type="http://schemas.openxmlformats.org/officeDocument/2006/relationships/hyperlink" Target="mailto:quynh.phungnhu@mapactive.vn" TargetMode="External"/><Relationship Id="rId34" Type="http://schemas.openxmlformats.org/officeDocument/2006/relationships/hyperlink" Target="mailto:nhung.nguyenthituyet@mapactive.vn" TargetMode="External"/><Relationship Id="rId42" Type="http://schemas.openxmlformats.org/officeDocument/2006/relationships/hyperlink" Target="mailto:thy.nguyenhoanganh@mapactive.vn" TargetMode="External"/><Relationship Id="rId47" Type="http://schemas.openxmlformats.org/officeDocument/2006/relationships/hyperlink" Target="mailto:trang.khongthithuy@mapactive.vn" TargetMode="External"/><Relationship Id="rId50" Type="http://schemas.openxmlformats.org/officeDocument/2006/relationships/hyperlink" Target="mailto:Hong.lethikim@mapactive.vn" TargetMode="External"/><Relationship Id="rId55" Type="http://schemas.openxmlformats.org/officeDocument/2006/relationships/hyperlink" Target="mailto:hien.lethithu@mapactive.vn" TargetMode="External"/><Relationship Id="rId63" Type="http://schemas.openxmlformats.org/officeDocument/2006/relationships/hyperlink" Target="mailto:Ngoc.nguyenbao@mapactive.vn" TargetMode="External"/><Relationship Id="rId7" Type="http://schemas.openxmlformats.org/officeDocument/2006/relationships/hyperlink" Target="mailto:duong.nguyenthihai@mapactive.vn" TargetMode="External"/><Relationship Id="rId2" Type="http://schemas.openxmlformats.org/officeDocument/2006/relationships/hyperlink" Target="mailto:ngoc.voleminh@mapactive.vn" TargetMode="External"/><Relationship Id="rId16" Type="http://schemas.openxmlformats.org/officeDocument/2006/relationships/hyperlink" Target="mailto:quynh.tranthilam@mapactive.vn" TargetMode="External"/><Relationship Id="rId29" Type="http://schemas.openxmlformats.org/officeDocument/2006/relationships/hyperlink" Target="mailto:hoa.mailecam@mapactive.vn" TargetMode="External"/><Relationship Id="rId11" Type="http://schemas.openxmlformats.org/officeDocument/2006/relationships/hyperlink" Target="mailto:tri.dangquoc@mapactive.vn" TargetMode="External"/><Relationship Id="rId24" Type="http://schemas.openxmlformats.org/officeDocument/2006/relationships/hyperlink" Target="mailto:hau.lenguyentrung@mapactive.vn" TargetMode="External"/><Relationship Id="rId32" Type="http://schemas.openxmlformats.org/officeDocument/2006/relationships/hyperlink" Target="mailto:hien.nguyendo@mapactive.vn" TargetMode="External"/><Relationship Id="rId37" Type="http://schemas.openxmlformats.org/officeDocument/2006/relationships/hyperlink" Target="mailto:trang.huynhthimy@mapactive.vn" TargetMode="External"/><Relationship Id="rId40" Type="http://schemas.openxmlformats.org/officeDocument/2006/relationships/hyperlink" Target="mailto:tram.nguyenthibich@mapactive.vn" TargetMode="External"/><Relationship Id="rId45" Type="http://schemas.openxmlformats.org/officeDocument/2006/relationships/hyperlink" Target="mailto:duy.lehuynh@mapactive.vn" TargetMode="External"/><Relationship Id="rId53" Type="http://schemas.openxmlformats.org/officeDocument/2006/relationships/hyperlink" Target="mailto:darryl.peacock@mapactive.vn" TargetMode="External"/><Relationship Id="rId58" Type="http://schemas.openxmlformats.org/officeDocument/2006/relationships/hyperlink" Target="mailto:bao.nguyenthanh@mapactive.vn" TargetMode="External"/><Relationship Id="rId5" Type="http://schemas.openxmlformats.org/officeDocument/2006/relationships/hyperlink" Target="mailto:do.nguyentri@mapactive.vn" TargetMode="External"/><Relationship Id="rId61" Type="http://schemas.openxmlformats.org/officeDocument/2006/relationships/hyperlink" Target="mailto:thu.nguyenthiminh@mapactive.vn" TargetMode="External"/><Relationship Id="rId19" Type="http://schemas.openxmlformats.org/officeDocument/2006/relationships/hyperlink" Target="mailto:dung.phamthimy@mapactive.vn" TargetMode="External"/><Relationship Id="rId14" Type="http://schemas.openxmlformats.org/officeDocument/2006/relationships/hyperlink" Target="mailto:tien.phanthithuy@mapactive.vn" TargetMode="External"/><Relationship Id="rId22" Type="http://schemas.openxmlformats.org/officeDocument/2006/relationships/hyperlink" Target="mailto:ha.dangthivan@mapactive.vn" TargetMode="External"/><Relationship Id="rId27" Type="http://schemas.openxmlformats.org/officeDocument/2006/relationships/hyperlink" Target="mailto:ngan.huynhthibich@mpactive.vn" TargetMode="External"/><Relationship Id="rId30" Type="http://schemas.openxmlformats.org/officeDocument/2006/relationships/hyperlink" Target="mailto:linh.thainhat@mapactive.vn" TargetMode="External"/><Relationship Id="rId35" Type="http://schemas.openxmlformats.org/officeDocument/2006/relationships/hyperlink" Target="mailto:Tuyet.tranthikim@mapactive.vn" TargetMode="External"/><Relationship Id="rId43" Type="http://schemas.openxmlformats.org/officeDocument/2006/relationships/hyperlink" Target="mailto:my.nguyenthao@mapactive.vn" TargetMode="External"/><Relationship Id="rId48" Type="http://schemas.openxmlformats.org/officeDocument/2006/relationships/hyperlink" Target="mailto:nam.vonguyenhoang@mapactive.vn" TargetMode="External"/><Relationship Id="rId56" Type="http://schemas.openxmlformats.org/officeDocument/2006/relationships/hyperlink" Target="mailto:linh.hoangdieu@mapactive.vn" TargetMode="External"/><Relationship Id="rId8" Type="http://schemas.openxmlformats.org/officeDocument/2006/relationships/hyperlink" Target="mailto:thuy.dangtranthu@mapactive.vn" TargetMode="External"/><Relationship Id="rId51" Type="http://schemas.openxmlformats.org/officeDocument/2006/relationships/hyperlink" Target="mailto:coe.vn@mapactive.vn" TargetMode="External"/><Relationship Id="rId3" Type="http://schemas.openxmlformats.org/officeDocument/2006/relationships/hyperlink" Target="mailto:trung.lehominh@mapactive.vn" TargetMode="External"/><Relationship Id="rId12" Type="http://schemas.openxmlformats.org/officeDocument/2006/relationships/hyperlink" Target="mailto:hoang.phanbao@mapactive.vn" TargetMode="External"/><Relationship Id="rId17" Type="http://schemas.openxmlformats.org/officeDocument/2006/relationships/hyperlink" Target="mailto:khoa.trandanganh@mapactive.vn" TargetMode="External"/><Relationship Id="rId25" Type="http://schemas.openxmlformats.org/officeDocument/2006/relationships/hyperlink" Target="mailto:nghia.letrong@mapactive.vn" TargetMode="External"/><Relationship Id="rId33" Type="http://schemas.openxmlformats.org/officeDocument/2006/relationships/hyperlink" Target="mailto:huan.lenam@mapactive.vn" TargetMode="External"/><Relationship Id="rId38" Type="http://schemas.openxmlformats.org/officeDocument/2006/relationships/hyperlink" Target="mailto:dung.huynhkim@mapactive.vn" TargetMode="External"/><Relationship Id="rId46" Type="http://schemas.openxmlformats.org/officeDocument/2006/relationships/hyperlink" Target="mailto:tam.minh@mapactive.vn" TargetMode="External"/><Relationship Id="rId59" Type="http://schemas.openxmlformats.org/officeDocument/2006/relationships/hyperlink" Target="mailto:thai.huynhquang@map.co.id" TargetMode="External"/><Relationship Id="rId20" Type="http://schemas.openxmlformats.org/officeDocument/2006/relationships/hyperlink" Target="mailto:dang.hohai@mapactive.vn" TargetMode="External"/><Relationship Id="rId41" Type="http://schemas.openxmlformats.org/officeDocument/2006/relationships/hyperlink" Target="mailto:vy.huynhnguyenlan@mapactive.vn" TargetMode="External"/><Relationship Id="rId54" Type="http://schemas.openxmlformats.org/officeDocument/2006/relationships/hyperlink" Target="mailto:minh.vuba@mapactive.vn" TargetMode="External"/><Relationship Id="rId62" Type="http://schemas.openxmlformats.org/officeDocument/2006/relationships/hyperlink" Target="mailto:hai.nguyenthanh@mapactive.vn" TargetMode="External"/><Relationship Id="rId1" Type="http://schemas.openxmlformats.org/officeDocument/2006/relationships/hyperlink" Target="mailto:loan.lethikim@mapactive.vn" TargetMode="External"/><Relationship Id="rId6" Type="http://schemas.openxmlformats.org/officeDocument/2006/relationships/hyperlink" Target="mailto:tram.nguyhuynhmai@mapactive.vn" TargetMode="External"/><Relationship Id="rId15" Type="http://schemas.openxmlformats.org/officeDocument/2006/relationships/hyperlink" Target="mailto:vothea.iem@map.co.id" TargetMode="External"/><Relationship Id="rId23" Type="http://schemas.openxmlformats.org/officeDocument/2006/relationships/hyperlink" Target="mailto:hieu.nguyenvutrung@mapactive.vn" TargetMode="External"/><Relationship Id="rId28" Type="http://schemas.openxmlformats.org/officeDocument/2006/relationships/hyperlink" Target="mailto:tra.truongvantin@mapactive.vn" TargetMode="External"/><Relationship Id="rId36" Type="http://schemas.openxmlformats.org/officeDocument/2006/relationships/hyperlink" Target="mailto:uyen.vuthuy@mapactive.vn" TargetMode="External"/><Relationship Id="rId49" Type="http://schemas.openxmlformats.org/officeDocument/2006/relationships/hyperlink" Target="mailto:khen.hoanghong@mapactive.vn" TargetMode="External"/><Relationship Id="rId57" Type="http://schemas.openxmlformats.org/officeDocument/2006/relationships/hyperlink" Target="mailto:my.nguyenthituyet@mapactive.vn" TargetMode="External"/><Relationship Id="rId10" Type="http://schemas.openxmlformats.org/officeDocument/2006/relationships/hyperlink" Target="mailto:hieu.trantrung@mapactive.vn" TargetMode="External"/><Relationship Id="rId31" Type="http://schemas.openxmlformats.org/officeDocument/2006/relationships/hyperlink" Target="mailto:loan.nguyenhoang@mapactive.vn" TargetMode="External"/><Relationship Id="rId44" Type="http://schemas.openxmlformats.org/officeDocument/2006/relationships/hyperlink" Target="mailto:an.nguyenhuu@mapactive.vn" TargetMode="External"/><Relationship Id="rId52" Type="http://schemas.openxmlformats.org/officeDocument/2006/relationships/hyperlink" Target="mailto:tam.minh@mapactive.vn" TargetMode="External"/><Relationship Id="rId60" Type="http://schemas.openxmlformats.org/officeDocument/2006/relationships/hyperlink" Target="mailto:Ngoc.nguyenbao@mapactive.vn" TargetMode="External"/><Relationship Id="rId4" Type="http://schemas.openxmlformats.org/officeDocument/2006/relationships/hyperlink" Target="mailto:nhung.nguyenhong@mapactive.vn" TargetMode="External"/><Relationship Id="rId9" Type="http://schemas.openxmlformats.org/officeDocument/2006/relationships/hyperlink" Target="mailto:giang.nguyenthiquynh@map.co.id"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vnwh.operation5@mapactive.vn" TargetMode="External"/><Relationship Id="rId3" Type="http://schemas.openxmlformats.org/officeDocument/2006/relationships/hyperlink" Target="mailto:vnwh.inventory1@mapactive.vn" TargetMode="External"/><Relationship Id="rId7" Type="http://schemas.openxmlformats.org/officeDocument/2006/relationships/hyperlink" Target="mailto:vnwh.operation3@mapactive.vn" TargetMode="External"/><Relationship Id="rId2" Type="http://schemas.openxmlformats.org/officeDocument/2006/relationships/hyperlink" Target="mailto:vnwh.adminoutbound1@mapactive.vn" TargetMode="External"/><Relationship Id="rId1" Type="http://schemas.openxmlformats.org/officeDocument/2006/relationships/hyperlink" Target="mailto:vnwh.admininbound1@mapactive.vn" TargetMode="External"/><Relationship Id="rId6" Type="http://schemas.openxmlformats.org/officeDocument/2006/relationships/hyperlink" Target="mailto:vnwh.operation2@mapactive.vn" TargetMode="External"/><Relationship Id="rId5" Type="http://schemas.openxmlformats.org/officeDocument/2006/relationships/hyperlink" Target="mailto:vnwh.operation1@mapactive.vn" TargetMode="External"/><Relationship Id="rId4" Type="http://schemas.openxmlformats.org/officeDocument/2006/relationships/hyperlink" Target="mailto:vnwh.management1@mapactive.vn" TargetMode="External"/><Relationship Id="rId9" Type="http://schemas.openxmlformats.org/officeDocument/2006/relationships/hyperlink" Target="mailto:vnwh.operation4@mapactive.vn"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mailto:hnve03@mapactive.vn" TargetMode="External"/><Relationship Id="rId18" Type="http://schemas.openxmlformats.org/officeDocument/2006/relationships/hyperlink" Target="mailto:hcmvi01@mapactive.vn" TargetMode="External"/><Relationship Id="rId26" Type="http://schemas.openxmlformats.org/officeDocument/2006/relationships/hyperlink" Target="mailto:hcmpo01@mapactive.vn" TargetMode="External"/><Relationship Id="rId39" Type="http://schemas.openxmlformats.org/officeDocument/2006/relationships/hyperlink" Target="mailto:sgnvn27@mapactive.vn" TargetMode="External"/><Relationship Id="rId21" Type="http://schemas.openxmlformats.org/officeDocument/2006/relationships/hyperlink" Target="mailto:hnvn17@mapactive.vn" TargetMode="External"/><Relationship Id="rId34" Type="http://schemas.openxmlformats.org/officeDocument/2006/relationships/hyperlink" Target="mailto:Hanva10@mapactive.vn" TargetMode="External"/><Relationship Id="rId42" Type="http://schemas.openxmlformats.org/officeDocument/2006/relationships/hyperlink" Target="mailto:vtvava04@mapactive.vn" TargetMode="External"/><Relationship Id="rId47" Type="http://schemas.openxmlformats.org/officeDocument/2006/relationships/hyperlink" Target="mailto:sgnva20@mapactive.vn" TargetMode="External"/><Relationship Id="rId50" Type="http://schemas.openxmlformats.org/officeDocument/2006/relationships/vmlDrawing" Target="../drawings/vmlDrawing2.vml"/><Relationship Id="rId7" Type="http://schemas.openxmlformats.org/officeDocument/2006/relationships/hyperlink" Target="mailto:hnvc04@mapactive.vn" TargetMode="External"/><Relationship Id="rId2" Type="http://schemas.openxmlformats.org/officeDocument/2006/relationships/hyperlink" Target="mailto:hcmvc01@mapactive.vn" TargetMode="External"/><Relationship Id="rId16" Type="http://schemas.openxmlformats.org/officeDocument/2006/relationships/hyperlink" Target="mailto:hcmvi02@mapactive.vn" TargetMode="External"/><Relationship Id="rId29" Type="http://schemas.openxmlformats.org/officeDocument/2006/relationships/hyperlink" Target="mailto:bhvn18@mapactive.vn" TargetMode="External"/><Relationship Id="rId11" Type="http://schemas.openxmlformats.org/officeDocument/2006/relationships/hyperlink" Target="mailto:hnvn01@mapactive.vn" TargetMode="External"/><Relationship Id="rId24" Type="http://schemas.openxmlformats.org/officeDocument/2006/relationships/hyperlink" Target="mailto:hcmvn03@mapactive.vn" TargetMode="External"/><Relationship Id="rId32" Type="http://schemas.openxmlformats.org/officeDocument/2006/relationships/hyperlink" Target="mailto:vtgvn24@mapactive.vn" TargetMode="External"/><Relationship Id="rId37" Type="http://schemas.openxmlformats.org/officeDocument/2006/relationships/hyperlink" Target="mailto:hcmvc05@mapactive.vn" TargetMode="External"/><Relationship Id="rId40" Type="http://schemas.openxmlformats.org/officeDocument/2006/relationships/hyperlink" Target="mailto:hanzv07@mapactive.vn" TargetMode="External"/><Relationship Id="rId45" Type="http://schemas.openxmlformats.org/officeDocument/2006/relationships/hyperlink" Target="mailto:sgnva13@mapactive.vn" TargetMode="External"/><Relationship Id="rId5" Type="http://schemas.openxmlformats.org/officeDocument/2006/relationships/hyperlink" Target="mailto:hpvc03@mapactive.vn" TargetMode="External"/><Relationship Id="rId15" Type="http://schemas.openxmlformats.org/officeDocument/2006/relationships/hyperlink" Target="mailto:hnvn06@mapactive.vn" TargetMode="External"/><Relationship Id="rId23" Type="http://schemas.openxmlformats.org/officeDocument/2006/relationships/hyperlink" Target="mailto:hcmvr02@mapactive.vn" TargetMode="External"/><Relationship Id="rId28" Type="http://schemas.openxmlformats.org/officeDocument/2006/relationships/hyperlink" Target="mailto:ntvi04@mapactive.vn" TargetMode="External"/><Relationship Id="rId36" Type="http://schemas.openxmlformats.org/officeDocument/2006/relationships/hyperlink" Target="mailto:hcmva06@mapactive.vn" TargetMode="External"/><Relationship Id="rId49" Type="http://schemas.openxmlformats.org/officeDocument/2006/relationships/printerSettings" Target="../printerSettings/printerSettings3.bin"/><Relationship Id="rId10" Type="http://schemas.openxmlformats.org/officeDocument/2006/relationships/hyperlink" Target="mailto:hnvc08@mapactive.vn" TargetMode="External"/><Relationship Id="rId19" Type="http://schemas.openxmlformats.org/officeDocument/2006/relationships/hyperlink" Target="mailto:hcmvn05@mapactive.vn" TargetMode="External"/><Relationship Id="rId31" Type="http://schemas.openxmlformats.org/officeDocument/2006/relationships/hyperlink" Target="mailto:hcmvi06@mapactive.vn" TargetMode="External"/><Relationship Id="rId44" Type="http://schemas.openxmlformats.org/officeDocument/2006/relationships/hyperlink" Target="mailto:sgnva16@mapactive.vn" TargetMode="External"/><Relationship Id="rId52" Type="http://schemas.microsoft.com/office/2017/10/relationships/threadedComment" Target="../threadedComments/threadedComment2.xml"/><Relationship Id="rId4" Type="http://schemas.openxmlformats.org/officeDocument/2006/relationships/hyperlink" Target="mailto:hcmkn01@mapactive.vn" TargetMode="External"/><Relationship Id="rId9" Type="http://schemas.openxmlformats.org/officeDocument/2006/relationships/hyperlink" Target="mailto:ntvc06@mapactive.vn" TargetMode="External"/><Relationship Id="rId14" Type="http://schemas.openxmlformats.org/officeDocument/2006/relationships/hyperlink" Target="mailto:hnvn04@mapactive.vn" TargetMode="External"/><Relationship Id="rId22" Type="http://schemas.openxmlformats.org/officeDocument/2006/relationships/hyperlink" Target="mailto:hcmvn10@mapactive.vn" TargetMode="External"/><Relationship Id="rId27" Type="http://schemas.openxmlformats.org/officeDocument/2006/relationships/hyperlink" Target="mailto:ntvn19@mapactive.vn" TargetMode="External"/><Relationship Id="rId30" Type="http://schemas.openxmlformats.org/officeDocument/2006/relationships/hyperlink" Target="mailto:hcmvn20@mapactive.vn" TargetMode="External"/><Relationship Id="rId35" Type="http://schemas.openxmlformats.org/officeDocument/2006/relationships/hyperlink" Target="mailto:hcmve06@mapactive.vn" TargetMode="External"/><Relationship Id="rId43" Type="http://schemas.openxmlformats.org/officeDocument/2006/relationships/hyperlink" Target="mailto:sgnva15@mapactive.vn" TargetMode="External"/><Relationship Id="rId48" Type="http://schemas.openxmlformats.org/officeDocument/2006/relationships/hyperlink" Target="mailto:hanva23@mapactive.vn" TargetMode="External"/><Relationship Id="rId8" Type="http://schemas.openxmlformats.org/officeDocument/2006/relationships/hyperlink" Target="mailto:hcmvi03@mapactive.vn" TargetMode="External"/><Relationship Id="rId51" Type="http://schemas.openxmlformats.org/officeDocument/2006/relationships/comments" Target="../comments2.xml"/><Relationship Id="rId3" Type="http://schemas.openxmlformats.org/officeDocument/2006/relationships/hyperlink" Target="mailto:hcmvf02@mapactive.vn" TargetMode="External"/><Relationship Id="rId12" Type="http://schemas.openxmlformats.org/officeDocument/2006/relationships/hyperlink" Target="mailto:hnve04@mapactive.vn" TargetMode="External"/><Relationship Id="rId17" Type="http://schemas.openxmlformats.org/officeDocument/2006/relationships/hyperlink" Target="mailto:hcmkn05@mapactive.vn" TargetMode="External"/><Relationship Id="rId25" Type="http://schemas.openxmlformats.org/officeDocument/2006/relationships/hyperlink" Target="mailto:tgvn13@mapactive.vn" TargetMode="External"/><Relationship Id="rId33" Type="http://schemas.openxmlformats.org/officeDocument/2006/relationships/hyperlink" Target="mailto:Hcmva02@mapactive.vn" TargetMode="External"/><Relationship Id="rId38" Type="http://schemas.openxmlformats.org/officeDocument/2006/relationships/hyperlink" Target="mailto:hcmvc02@mapactive.vn" TargetMode="External"/><Relationship Id="rId46" Type="http://schemas.openxmlformats.org/officeDocument/2006/relationships/hyperlink" Target="mailto:sgnva13@mapactive.vn" TargetMode="External"/><Relationship Id="rId20" Type="http://schemas.openxmlformats.org/officeDocument/2006/relationships/hyperlink" Target="mailto:hcmvn07@mapactive.vn" TargetMode="External"/><Relationship Id="rId41" Type="http://schemas.openxmlformats.org/officeDocument/2006/relationships/hyperlink" Target="mailto:vfknkn10@mapactive.vn" TargetMode="External"/><Relationship Id="rId1" Type="http://schemas.openxmlformats.org/officeDocument/2006/relationships/hyperlink" Target="mailto:hcmpo02@mapactive.vn" TargetMode="External"/><Relationship Id="rId6" Type="http://schemas.openxmlformats.org/officeDocument/2006/relationships/hyperlink" Target="mailto:hpve01@mapactive.vn"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sokim.thav@map.co.id" TargetMode="External"/><Relationship Id="rId2" Type="http://schemas.openxmlformats.org/officeDocument/2006/relationships/hyperlink" Target="mailto:ratheany.seng@map.co.id" TargetMode="External"/><Relationship Id="rId1" Type="http://schemas.openxmlformats.org/officeDocument/2006/relationships/hyperlink" Target="mailto:ho.to@map.co.id" TargetMode="External"/><Relationship Id="rId6" Type="http://schemas.openxmlformats.org/officeDocument/2006/relationships/hyperlink" Target="mailto:Sreynoch.Sem@mapactive.kh" TargetMode="External"/><Relationship Id="rId5" Type="http://schemas.openxmlformats.org/officeDocument/2006/relationships/hyperlink" Target="mailto:david.dy@map.co.id" TargetMode="External"/><Relationship Id="rId4" Type="http://schemas.openxmlformats.org/officeDocument/2006/relationships/hyperlink" Target="mailto:panha.nol@map.co.id"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14.ActiveVN3.Room@mapactive.vn" TargetMode="External"/><Relationship Id="rId2" Type="http://schemas.openxmlformats.org/officeDocument/2006/relationships/hyperlink" Target="mailto:14.ActiveVN2.Room@mapactive.vn" TargetMode="External"/><Relationship Id="rId1" Type="http://schemas.openxmlformats.org/officeDocument/2006/relationships/hyperlink" Target="mailto:14.ActiveVN1.Room@mapactive.vn"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footlocker.vietnam@mapactive.vn" TargetMode="External"/><Relationship Id="rId1" Type="http://schemas.openxmlformats.org/officeDocument/2006/relationships/hyperlink" Target="mailto:alun.hughes@mapactive.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287B-3992-47F2-86D1-2A871106319D}">
  <dimension ref="A1:H10"/>
  <sheetViews>
    <sheetView workbookViewId="0">
      <selection activeCell="D11" sqref="D11"/>
    </sheetView>
  </sheetViews>
  <sheetFormatPr defaultColWidth="8.75" defaultRowHeight="13.5"/>
  <cols>
    <col min="1" max="1" width="6.25" style="172" customWidth="1"/>
    <col min="2" max="2" width="44.375" style="167" customWidth="1"/>
    <col min="3" max="3" width="5.875" style="172" customWidth="1"/>
    <col min="4" max="4" width="11.75" style="167" customWidth="1"/>
    <col min="5" max="5" width="8.75" style="167"/>
    <col min="6" max="6" width="19.125" style="167" customWidth="1"/>
    <col min="7" max="7" width="8.75" style="167"/>
    <col min="8" max="8" width="17.25" style="167" customWidth="1"/>
    <col min="9" max="16384" width="8.75" style="167"/>
  </cols>
  <sheetData>
    <row r="1" spans="1:8" s="172" customFormat="1" ht="26.25">
      <c r="A1" s="173" t="s">
        <v>0</v>
      </c>
      <c r="B1" s="173" t="s">
        <v>1</v>
      </c>
      <c r="C1" s="173" t="s">
        <v>2</v>
      </c>
      <c r="D1" s="173" t="s">
        <v>3</v>
      </c>
      <c r="E1" s="394" t="s">
        <v>4</v>
      </c>
      <c r="F1" s="395" t="s">
        <v>5</v>
      </c>
      <c r="G1" s="394" t="s">
        <v>6</v>
      </c>
      <c r="H1" s="395" t="s">
        <v>7</v>
      </c>
    </row>
    <row r="2" spans="1:8" ht="15" customHeight="1">
      <c r="A2" s="174">
        <v>1</v>
      </c>
      <c r="B2" s="396" t="s">
        <v>8</v>
      </c>
      <c r="C2" s="397">
        <f>COUNTIFS(Store_Info_VN!D:D,"Open",Store_Info_VN!K:K,"Store") + COUNTIFS(Store_Info_VN!D:D,"Open",Store_Info_VN!K:K,"Multi PC") + COUNTIFS(Store_Info_VN!D:D,"Open",Store_Info_VN!K:K,"Mono") + COUNTIFS(Store_Info_VN!D:D,"Open",Store_Info_VN!K:K,"SIS")</f>
        <v>1</v>
      </c>
      <c r="D2" s="175"/>
      <c r="E2" s="397">
        <f xml:space="preserve"> COUNTIFS(Store_Info_VN!D:D,"Open",Store_Info_VN!K:K,"Store",Store_Info_VN!F:F,"Ho Chi Minh City") + COUNTIFS(Store_Info_VN!D:D,"Open",Store_Info_VN!K:K,"Mono",Store_Info_VN!F:F,"Ho Chi Minh City") + COUNTIFS(Store_Info_VN!D:D,"Open",Store_Info_VN!K:K,"SIS",Store_Info_VN!F:F,"Ho Chi Minh City")</f>
        <v>1</v>
      </c>
      <c r="F2" s="397">
        <f xml:space="preserve"> (COUNTIFS(Store_Info_VN!D:D,"Open",Store_Info_VN!K:K,"Store",Store_Info_VN!G:G,"South") + COUNTIFS(Store_Info_VN!D:D,"Open",Store_Info_VN!K:K,"Mono",Store_Info_VN!G:G,"South") + COUNTIFS(Store_Info_VN!D:D,"Open",Store_Info_VN!K:K,"SIS",Store_Info_VN!G:G,"South"))-E2</f>
        <v>-1</v>
      </c>
      <c r="G2" s="397">
        <f xml:space="preserve"> COUNTIFS(Store_Info_VN!D:D,"Open",Store_Info_VN!K:K,"Store",Store_Info_VN!F:F,"Ha Noi") + COUNTIFS(Store_Info_VN!D:D,"Open",Store_Info_VN!K:K,"Mono",Store_Info_VN!F:F,"Ha Noi") + COUNTIFS(Store_Info_VN!D:D,"Open",Store_Info_VN!K:K,"SIS",Store_Info_VN!F:F,"Ha Noi")</f>
        <v>0</v>
      </c>
      <c r="H2" s="397">
        <f xml:space="preserve"> (COUNTIFS(Store_Info_VN!D:D,"Open",Store_Info_VN!K:K,"Store",Store_Info_VN!G:G,"North") + COUNTIFS(Store_Info_VN!D:D,"Open",Store_Info_VN!K:K,"Mono",Store_Info_VN!G:G,"North") + COUNTIFS(Store_Info_VN!D:D,"Open",Store_Info_VN!K:K,"SIS",Store_Info_VN!G:G,"North"))-G2</f>
        <v>1</v>
      </c>
    </row>
    <row r="3" spans="1:8">
      <c r="A3" s="174">
        <f t="shared" ref="A3:A9" si="0">A2+1</f>
        <v>2</v>
      </c>
      <c r="B3" s="175" t="s">
        <v>9</v>
      </c>
      <c r="C3" s="397">
        <f>COUNTIFS(Store_Info_VN!D:D,"Open",Store_Info_VN!K:K,"Bazaar")</f>
        <v>14</v>
      </c>
      <c r="D3" s="175"/>
    </row>
    <row r="4" spans="1:8">
      <c r="A4" s="174">
        <f t="shared" si="0"/>
        <v>3</v>
      </c>
      <c r="B4" s="175" t="s">
        <v>10</v>
      </c>
      <c r="C4" s="397" cm="1">
        <f t="array" ref="C4">SUM(COUNTIFS(Store_Info_VN!D:D,"Open",Store_Info_VN!K:K,{"EVENT","PRIVATE SALE"}))</f>
        <v>1</v>
      </c>
      <c r="D4" s="175"/>
    </row>
    <row r="5" spans="1:8">
      <c r="A5" s="174">
        <f t="shared" si="0"/>
        <v>4</v>
      </c>
      <c r="B5" s="175" t="s">
        <v>11</v>
      </c>
      <c r="C5" s="397">
        <f>SUM(C2:C4)</f>
        <v>16</v>
      </c>
      <c r="D5" s="175"/>
    </row>
    <row r="6" spans="1:8">
      <c r="A6" s="170">
        <f t="shared" si="0"/>
        <v>5</v>
      </c>
      <c r="B6" s="171" t="s">
        <v>12</v>
      </c>
      <c r="C6" s="397">
        <f>COUNTIFS(Store_Info_VN!D:D,"Open",Store_Info_VN!L:L,"Need to deploy (FG-40F)")</f>
        <v>27</v>
      </c>
      <c r="D6" s="171"/>
    </row>
    <row r="7" spans="1:8">
      <c r="A7" s="168">
        <f t="shared" si="0"/>
        <v>6</v>
      </c>
      <c r="B7" s="169" t="s">
        <v>13</v>
      </c>
      <c r="C7" s="397">
        <f>COUNTIFS(Store_Info_VN!L:L,"Need to deploy (FG-60F)")</f>
        <v>0</v>
      </c>
      <c r="D7" s="169"/>
    </row>
    <row r="8" spans="1:8">
      <c r="A8" s="168">
        <f t="shared" si="0"/>
        <v>7</v>
      </c>
      <c r="B8" s="169" t="s">
        <v>14</v>
      </c>
      <c r="C8" s="397">
        <f>COUNTIFS(Store_Info_VN!D:D,"Open",Store_Info_VN!K:K,"Store") + COUNTIFS(Store_Info_VN!D:D,"Open",Store_Info_VN!K:K,"Mono")</f>
        <v>0</v>
      </c>
      <c r="D8" s="169"/>
    </row>
    <row r="9" spans="1:8">
      <c r="A9" s="249">
        <f t="shared" si="0"/>
        <v>8</v>
      </c>
      <c r="B9" s="250" t="s">
        <v>15</v>
      </c>
      <c r="C9" s="398">
        <f>COUNTIFS(Store_Info_VN!D:D,"Open",Store_Info_VN!K:K,"Store") + COUNTIFS(Store_Info_VN!D:D,"Open",Store_Info_VN!K:K,"SIS")</f>
        <v>1</v>
      </c>
      <c r="D9" s="250"/>
    </row>
    <row r="10" spans="1:8">
      <c r="A10" s="248">
        <f>A9+1</f>
        <v>9</v>
      </c>
      <c r="B10" s="169" t="s">
        <v>16</v>
      </c>
      <c r="C10" s="251">
        <f>COUNTIFS(Store_Info_VN!D:D,"Open",Store_Info_VN!P:P,"Yes")</f>
        <v>10</v>
      </c>
      <c r="D10" s="16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B09C-EB81-4188-8C94-76D13FDAB33A}">
  <dimension ref="A1:B10"/>
  <sheetViews>
    <sheetView workbookViewId="0">
      <selection activeCell="B3" sqref="B3"/>
    </sheetView>
  </sheetViews>
  <sheetFormatPr defaultColWidth="9.25" defaultRowHeight="13.5"/>
  <cols>
    <col min="1" max="1" width="61.5" style="66" customWidth="1"/>
    <col min="2" max="2" width="5.5" style="8" bestFit="1" customWidth="1"/>
    <col min="3" max="16384" width="9.25" style="50"/>
  </cols>
  <sheetData>
    <row r="1" spans="1:2">
      <c r="A1" s="117" t="s">
        <v>1</v>
      </c>
      <c r="B1" s="69" t="s">
        <v>17</v>
      </c>
    </row>
    <row r="2" spans="1:2">
      <c r="A2" s="68" t="s">
        <v>18</v>
      </c>
      <c r="B2" s="14">
        <f>COUNTIFS(Asset_Office!J:J,"Laptop")+COUNTIFS(Asset_Office!J:J,"Desktop")</f>
        <v>103</v>
      </c>
    </row>
    <row r="3" spans="1:2">
      <c r="A3" s="68" t="s">
        <v>19</v>
      </c>
      <c r="B3" s="14">
        <f>COUNTIF(Asset_Office!Y:Y,"DONE")</f>
        <v>90</v>
      </c>
    </row>
    <row r="4" spans="1:2" ht="26.25">
      <c r="A4" s="118" t="s">
        <v>20</v>
      </c>
      <c r="B4" s="119">
        <f>B2-B3</f>
        <v>13</v>
      </c>
    </row>
    <row r="5" spans="1:2">
      <c r="A5" s="68" t="s">
        <v>21</v>
      </c>
      <c r="B5" s="14">
        <v>5</v>
      </c>
    </row>
    <row r="6" spans="1:2">
      <c r="A6" s="68" t="s">
        <v>22</v>
      </c>
      <c r="B6" s="14">
        <v>0</v>
      </c>
    </row>
    <row r="7" spans="1:2" ht="26.25">
      <c r="A7" s="115" t="s">
        <v>23</v>
      </c>
      <c r="B7" s="116">
        <f>B5-B6</f>
        <v>5</v>
      </c>
    </row>
    <row r="8" spans="1:2">
      <c r="A8" s="68" t="s">
        <v>24</v>
      </c>
      <c r="B8" s="14">
        <v>6</v>
      </c>
    </row>
    <row r="9" spans="1:2">
      <c r="A9" s="68" t="s">
        <v>25</v>
      </c>
      <c r="B9" s="14">
        <v>6</v>
      </c>
    </row>
    <row r="10" spans="1:2" ht="26.25">
      <c r="A10" s="118" t="s">
        <v>26</v>
      </c>
      <c r="B10" s="14">
        <f>B8-B9</f>
        <v>0</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B82D6-13E6-4F48-A19F-FC5065F99335}">
  <sheetPr filterMode="1"/>
  <dimension ref="A1:AB612"/>
  <sheetViews>
    <sheetView workbookViewId="0">
      <pane xSplit="7" ySplit="2" topLeftCell="L385" activePane="bottomRight" state="frozen"/>
      <selection pane="bottomRight" activeCell="A114" sqref="A114"/>
      <selection pane="bottomLeft" activeCell="A2" sqref="A2"/>
      <selection pane="topRight" activeCell="G1" sqref="G1"/>
    </sheetView>
  </sheetViews>
  <sheetFormatPr defaultColWidth="9.25" defaultRowHeight="13.5"/>
  <cols>
    <col min="1" max="1" width="4.625" style="258" customWidth="1"/>
    <col min="2" max="2" width="20.875" style="276" customWidth="1"/>
    <col min="3" max="3" width="9.5" style="271" customWidth="1"/>
    <col min="4" max="4" width="20.75" style="258" customWidth="1"/>
    <col min="5" max="5" width="43.125" style="258" customWidth="1"/>
    <col min="6" max="6" width="10.875" style="271" bestFit="1" customWidth="1"/>
    <col min="7" max="7" width="29.625" style="258" customWidth="1"/>
    <col min="8" max="8" width="6.625" style="258" customWidth="1"/>
    <col min="9" max="9" width="36.125" style="258" customWidth="1"/>
    <col min="10" max="10" width="12" style="258" customWidth="1"/>
    <col min="11" max="11" width="42.125" style="258" customWidth="1"/>
    <col min="12" max="12" width="17.5" style="258" bestFit="1" customWidth="1"/>
    <col min="13" max="13" width="36.625" style="304" customWidth="1"/>
    <col min="14" max="15" width="13.375" style="258" bestFit="1" customWidth="1"/>
    <col min="16" max="16" width="14.875" style="258" customWidth="1"/>
    <col min="17" max="17" width="30.875" style="258" customWidth="1"/>
    <col min="18" max="18" width="16.125" style="271" bestFit="1" customWidth="1"/>
    <col min="19" max="19" width="16.125" style="271" customWidth="1"/>
    <col min="20" max="20" width="28.5" style="278" customWidth="1"/>
    <col min="21" max="21" width="35.25" style="268" customWidth="1"/>
    <col min="22" max="22" width="28.5" style="258" customWidth="1"/>
    <col min="23" max="23" width="28" style="258" customWidth="1"/>
    <col min="24" max="24" width="13.625" style="271" customWidth="1"/>
    <col min="25" max="25" width="9.25" style="271"/>
    <col min="26" max="26" width="16.625" style="271" customWidth="1"/>
    <col min="27" max="16384" width="9.25" style="271"/>
  </cols>
  <sheetData>
    <row r="1" spans="1:28" ht="39">
      <c r="A1" s="258" t="s">
        <v>0</v>
      </c>
      <c r="B1" s="258" t="s">
        <v>27</v>
      </c>
      <c r="C1" s="258" t="s">
        <v>28</v>
      </c>
      <c r="D1" s="258" t="s">
        <v>29</v>
      </c>
      <c r="E1" s="258" t="s">
        <v>30</v>
      </c>
      <c r="F1" s="258" t="s">
        <v>31</v>
      </c>
      <c r="G1" s="258" t="s">
        <v>32</v>
      </c>
      <c r="H1" s="258" t="s">
        <v>2</v>
      </c>
      <c r="I1" s="258" t="s">
        <v>33</v>
      </c>
      <c r="J1" s="258" t="s">
        <v>34</v>
      </c>
      <c r="K1" s="258" t="s">
        <v>35</v>
      </c>
      <c r="L1" s="258" t="s">
        <v>36</v>
      </c>
      <c r="M1" s="304" t="s">
        <v>37</v>
      </c>
      <c r="N1" s="258" t="s">
        <v>38</v>
      </c>
      <c r="O1" s="258" t="s">
        <v>39</v>
      </c>
      <c r="P1" s="258" t="s">
        <v>40</v>
      </c>
      <c r="Q1" s="258" t="s">
        <v>41</v>
      </c>
      <c r="R1" s="258" t="s">
        <v>42</v>
      </c>
      <c r="S1" s="258" t="s">
        <v>43</v>
      </c>
      <c r="T1" s="258" t="s">
        <v>44</v>
      </c>
      <c r="U1" s="304" t="s">
        <v>45</v>
      </c>
      <c r="V1" s="258" t="s">
        <v>46</v>
      </c>
      <c r="W1" s="258" t="s">
        <v>47</v>
      </c>
      <c r="X1" s="258" t="s">
        <v>48</v>
      </c>
      <c r="Y1" s="271" t="s">
        <v>49</v>
      </c>
      <c r="Z1" s="271" t="s">
        <v>50</v>
      </c>
      <c r="AA1" s="271" t="s">
        <v>51</v>
      </c>
      <c r="AB1" s="544"/>
    </row>
    <row r="2" spans="1:28" s="257" customFormat="1" hidden="1">
      <c r="A2" s="296"/>
      <c r="B2" s="630" t="s">
        <v>52</v>
      </c>
      <c r="C2" s="630"/>
      <c r="D2" s="631"/>
      <c r="E2" s="296" t="e">
        <f>VLOOKUP(D2,Store_Info_VN!B:P,2,0)</f>
        <v>#N/A</v>
      </c>
      <c r="F2" s="296"/>
      <c r="G2" s="296" t="str">
        <f t="shared" ref="G2:G7" si="0">I2&amp;" "&amp;J2&amp;" "&amp;K2</f>
        <v xml:space="preserve">  </v>
      </c>
      <c r="H2" s="317"/>
      <c r="I2" s="296"/>
      <c r="J2" s="296"/>
      <c r="K2" s="306"/>
      <c r="L2" s="296"/>
      <c r="M2" s="626"/>
      <c r="N2" s="632"/>
      <c r="O2" s="632"/>
      <c r="P2" s="633"/>
      <c r="Q2" s="633"/>
      <c r="R2" s="296"/>
      <c r="S2" s="296"/>
      <c r="T2" s="634"/>
      <c r="U2" s="635"/>
      <c r="V2" s="296"/>
      <c r="W2" s="341"/>
      <c r="X2" s="345"/>
      <c r="Y2" s="636"/>
      <c r="Z2" s="637"/>
      <c r="AA2" s="636"/>
    </row>
    <row r="3" spans="1:28" ht="14.25">
      <c r="A3" s="258">
        <v>1</v>
      </c>
      <c r="B3" s="258" t="s">
        <v>53</v>
      </c>
      <c r="C3" s="258" t="s">
        <v>54</v>
      </c>
      <c r="D3" s="277" t="s">
        <v>55</v>
      </c>
      <c r="E3" s="258" t="str">
        <f>VLOOKUP(D3,Store_Info_VN!B:P,2,0)</f>
        <v>BIRKENSTOCK ESTELLA</v>
      </c>
      <c r="F3" s="258" t="s">
        <v>56</v>
      </c>
      <c r="G3" s="258" t="str">
        <f>I3&amp;" "&amp;J3&amp;" "&amp;K3</f>
        <v>Desktop HP ProDesk 400 G4 DM</v>
      </c>
      <c r="H3" s="258">
        <v>1</v>
      </c>
      <c r="I3" s="258" t="s">
        <v>57</v>
      </c>
      <c r="J3" s="258" t="s">
        <v>58</v>
      </c>
      <c r="K3" s="258" t="s">
        <v>59</v>
      </c>
      <c r="M3" s="615" t="s">
        <v>60</v>
      </c>
      <c r="N3" s="277">
        <v>8</v>
      </c>
      <c r="O3" s="277">
        <v>500</v>
      </c>
      <c r="P3" s="258" t="s">
        <v>61</v>
      </c>
      <c r="Q3" s="258" t="s">
        <v>62</v>
      </c>
      <c r="R3" s="258"/>
      <c r="S3" s="258"/>
      <c r="V3" s="258" t="s">
        <v>63</v>
      </c>
      <c r="W3" s="308" t="s">
        <v>63</v>
      </c>
      <c r="X3" s="277" t="s">
        <v>64</v>
      </c>
      <c r="Y3" s="271" t="s">
        <v>64</v>
      </c>
      <c r="Z3" s="271" t="s">
        <v>64</v>
      </c>
    </row>
    <row r="4" spans="1:28" ht="14.25" hidden="1">
      <c r="A4" s="281">
        <f>A3+1</f>
        <v>2</v>
      </c>
      <c r="B4" s="281" t="s">
        <v>53</v>
      </c>
      <c r="C4" s="281" t="s">
        <v>65</v>
      </c>
      <c r="D4" s="279" t="s">
        <v>66</v>
      </c>
      <c r="E4" s="673" t="s">
        <v>67</v>
      </c>
      <c r="F4" s="279" t="s">
        <v>56</v>
      </c>
      <c r="G4" s="675" t="s">
        <v>68</v>
      </c>
      <c r="H4" s="279">
        <v>1</v>
      </c>
      <c r="I4" s="279" t="s">
        <v>57</v>
      </c>
      <c r="J4" s="279" t="s">
        <v>58</v>
      </c>
      <c r="K4" s="279" t="s">
        <v>69</v>
      </c>
      <c r="L4" s="279"/>
      <c r="M4" s="677" t="s">
        <v>70</v>
      </c>
      <c r="N4" s="279"/>
      <c r="O4" s="279"/>
      <c r="P4" s="279"/>
      <c r="Q4" s="279"/>
      <c r="R4" s="284"/>
      <c r="S4" s="284"/>
      <c r="T4" s="285"/>
      <c r="U4" s="286"/>
      <c r="V4" s="279" t="s">
        <v>55</v>
      </c>
      <c r="W4" s="279"/>
      <c r="X4" s="284"/>
      <c r="Y4" s="284"/>
      <c r="Z4" s="284"/>
      <c r="AA4" s="284"/>
    </row>
    <row r="5" spans="1:28" s="257" customFormat="1" ht="14.25" hidden="1">
      <c r="A5" s="259">
        <f>A4+1</f>
        <v>3</v>
      </c>
      <c r="B5" s="554" t="s">
        <v>71</v>
      </c>
      <c r="C5" s="259" t="s">
        <v>65</v>
      </c>
      <c r="D5" s="258" t="s">
        <v>72</v>
      </c>
      <c r="E5" s="542" t="s">
        <v>73</v>
      </c>
      <c r="F5" s="258" t="s">
        <v>56</v>
      </c>
      <c r="G5" s="538" t="s">
        <v>68</v>
      </c>
      <c r="H5" s="258">
        <v>1</v>
      </c>
      <c r="I5" s="258" t="s">
        <v>57</v>
      </c>
      <c r="J5" s="258" t="s">
        <v>58</v>
      </c>
      <c r="K5" s="258" t="s">
        <v>69</v>
      </c>
      <c r="L5" s="258"/>
      <c r="M5" s="539" t="s">
        <v>74</v>
      </c>
      <c r="N5" s="258"/>
      <c r="O5" s="258"/>
      <c r="P5" s="258"/>
      <c r="Q5" s="258"/>
      <c r="R5" s="271"/>
      <c r="S5" s="271"/>
      <c r="T5" s="278"/>
      <c r="U5" s="268"/>
      <c r="V5" s="258"/>
      <c r="W5" s="258"/>
      <c r="X5" s="271"/>
      <c r="Y5" s="271"/>
      <c r="Z5" s="271"/>
      <c r="AA5" s="271"/>
    </row>
    <row r="6" spans="1:28" s="257" customFormat="1" ht="28.5">
      <c r="A6" s="296">
        <v>2</v>
      </c>
      <c r="B6" s="296" t="s">
        <v>75</v>
      </c>
      <c r="C6" s="296" t="s">
        <v>54</v>
      </c>
      <c r="D6" s="631" t="s">
        <v>76</v>
      </c>
      <c r="E6" s="296" t="s">
        <v>77</v>
      </c>
      <c r="F6" s="296" t="s">
        <v>56</v>
      </c>
      <c r="G6" s="317" t="str">
        <f>I6&amp;" "&amp;J6&amp;" "&amp;K6</f>
        <v>Desktop HP ProDesk 400 G4 DM</v>
      </c>
      <c r="H6" s="317">
        <v>1</v>
      </c>
      <c r="I6" s="296" t="s">
        <v>57</v>
      </c>
      <c r="J6" s="296" t="s">
        <v>58</v>
      </c>
      <c r="K6" s="306" t="s">
        <v>59</v>
      </c>
      <c r="L6" s="296"/>
      <c r="M6" s="680" t="s">
        <v>78</v>
      </c>
      <c r="N6" s="631">
        <v>8</v>
      </c>
      <c r="O6" s="631">
        <v>500</v>
      </c>
      <c r="P6" s="641" t="s">
        <v>79</v>
      </c>
      <c r="Q6" s="641" t="s">
        <v>80</v>
      </c>
      <c r="R6" s="641"/>
      <c r="S6" s="641"/>
      <c r="T6" s="642" t="s">
        <v>81</v>
      </c>
      <c r="U6" s="635" t="s">
        <v>82</v>
      </c>
      <c r="V6" s="296" t="s">
        <v>83</v>
      </c>
      <c r="W6" s="640" t="s">
        <v>83</v>
      </c>
      <c r="X6" s="636"/>
      <c r="Y6" s="636" t="s">
        <v>64</v>
      </c>
      <c r="Z6" s="637" t="s">
        <v>64</v>
      </c>
      <c r="AA6" s="636"/>
    </row>
    <row r="7" spans="1:28" ht="28.5">
      <c r="A7" s="258">
        <v>5</v>
      </c>
      <c r="B7" s="258" t="s">
        <v>84</v>
      </c>
      <c r="C7" s="258" t="s">
        <v>54</v>
      </c>
      <c r="D7" s="277" t="s">
        <v>85</v>
      </c>
      <c r="E7" s="258" t="str">
        <f>VLOOKUP(D7,Store_Info_VN!B:P,2,0)</f>
        <v>NEW BALANCE TAKASHIMAYA</v>
      </c>
      <c r="F7" s="258" t="s">
        <v>56</v>
      </c>
      <c r="G7" s="258" t="str">
        <f>I7&amp;" "&amp;J7&amp;" "&amp;K7</f>
        <v>Laptop HP ProBook 440 14 inch G9 Notebook PC</v>
      </c>
      <c r="H7" s="258">
        <v>1</v>
      </c>
      <c r="I7" s="258" t="s">
        <v>86</v>
      </c>
      <c r="J7" s="258" t="s">
        <v>58</v>
      </c>
      <c r="K7" s="258" t="s">
        <v>87</v>
      </c>
      <c r="M7" s="615" t="s">
        <v>88</v>
      </c>
      <c r="N7" s="277">
        <v>16</v>
      </c>
      <c r="O7" s="277">
        <v>487749</v>
      </c>
      <c r="P7" s="258" t="s">
        <v>79</v>
      </c>
      <c r="Q7" s="258" t="s">
        <v>89</v>
      </c>
      <c r="R7" s="258"/>
      <c r="S7" s="258"/>
      <c r="T7" s="278" t="s">
        <v>90</v>
      </c>
      <c r="V7" s="258" t="s">
        <v>91</v>
      </c>
      <c r="W7" s="277" t="s">
        <v>91</v>
      </c>
      <c r="Y7" s="271" t="s">
        <v>64</v>
      </c>
      <c r="Z7" s="271" t="s">
        <v>64</v>
      </c>
    </row>
    <row r="8" spans="1:28" ht="14.25">
      <c r="A8" s="258">
        <v>6</v>
      </c>
      <c r="B8" s="258"/>
      <c r="C8" s="258" t="s">
        <v>54</v>
      </c>
      <c r="D8" s="277" t="s">
        <v>85</v>
      </c>
      <c r="E8" s="258" t="str">
        <f>VLOOKUP(D8,Store_Info_VN!B:P,2,0)</f>
        <v>NEW BALANCE TAKASHIMAYA</v>
      </c>
      <c r="F8" s="258" t="s">
        <v>56</v>
      </c>
      <c r="G8" s="258" t="str">
        <f>I8&amp;" "&amp;J8&amp;" "&amp;K8</f>
        <v>Bill Printer Epson TM-T82III</v>
      </c>
      <c r="H8" s="258">
        <v>1</v>
      </c>
      <c r="I8" s="258" t="s">
        <v>92</v>
      </c>
      <c r="J8" s="258" t="s">
        <v>93</v>
      </c>
      <c r="K8" s="258" t="s">
        <v>94</v>
      </c>
      <c r="M8" s="615" t="s">
        <v>95</v>
      </c>
      <c r="N8" s="277"/>
      <c r="O8" s="277"/>
      <c r="R8" s="258"/>
      <c r="S8" s="258"/>
      <c r="W8" s="277"/>
    </row>
    <row r="9" spans="1:28" ht="14.25">
      <c r="A9" s="258">
        <v>7</v>
      </c>
      <c r="B9" s="258"/>
      <c r="C9" s="258" t="s">
        <v>54</v>
      </c>
      <c r="D9" s="277" t="s">
        <v>85</v>
      </c>
      <c r="E9" s="258" t="str">
        <f>VLOOKUP(D9,Store_Info_VN!B:P,2,0)</f>
        <v>NEW BALANCE TAKASHIMAYA</v>
      </c>
      <c r="F9" s="258" t="s">
        <v>56</v>
      </c>
      <c r="G9" s="258" t="str">
        <f>I9&amp;" "&amp;J9&amp;" "&amp;K9</f>
        <v>Scanner Datalogic QW2100</v>
      </c>
      <c r="H9" s="258">
        <v>1</v>
      </c>
      <c r="I9" s="258" t="s">
        <v>96</v>
      </c>
      <c r="J9" s="258" t="s">
        <v>97</v>
      </c>
      <c r="K9" s="258" t="s">
        <v>98</v>
      </c>
      <c r="M9" s="615" t="s">
        <v>88</v>
      </c>
      <c r="N9" s="277"/>
      <c r="O9" s="277"/>
      <c r="R9" s="258"/>
      <c r="S9" s="258"/>
      <c r="W9" s="277"/>
    </row>
    <row r="10" spans="1:28" ht="14.25">
      <c r="A10" s="258">
        <v>8</v>
      </c>
      <c r="B10" s="258"/>
      <c r="C10" s="258" t="s">
        <v>54</v>
      </c>
      <c r="D10" s="277" t="s">
        <v>85</v>
      </c>
      <c r="E10" s="258" t="str">
        <f>VLOOKUP(D10,Store_Info_VN!B:P,2,0)</f>
        <v>NEW BALANCE TAKASHIMAYA</v>
      </c>
      <c r="F10" s="258" t="s">
        <v>56</v>
      </c>
      <c r="G10" s="258" t="str">
        <f>I10&amp;" "&amp;J10&amp;" "&amp;K10</f>
        <v>A4 Printer Canon LBP 2900</v>
      </c>
      <c r="H10" s="258">
        <v>1</v>
      </c>
      <c r="I10" s="258" t="s">
        <v>99</v>
      </c>
      <c r="J10" s="258" t="s">
        <v>100</v>
      </c>
      <c r="K10" s="258" t="s">
        <v>101</v>
      </c>
      <c r="M10" s="615" t="s">
        <v>102</v>
      </c>
      <c r="N10" s="277"/>
      <c r="O10" s="277"/>
      <c r="R10" s="258"/>
      <c r="S10" s="258"/>
      <c r="W10" s="277"/>
    </row>
    <row r="11" spans="1:28" ht="14.25">
      <c r="A11" s="258">
        <v>9</v>
      </c>
      <c r="B11" s="258"/>
      <c r="C11" s="258" t="s">
        <v>54</v>
      </c>
      <c r="D11" s="277" t="s">
        <v>85</v>
      </c>
      <c r="E11" s="258" t="str">
        <f>VLOOKUP(D11,Store_Info_VN!B:P,2,0)</f>
        <v>NEW BALANCE TAKASHIMAYA</v>
      </c>
      <c r="F11" s="258" t="s">
        <v>56</v>
      </c>
      <c r="G11" s="258" t="str">
        <f>I11&amp;" "&amp;J11&amp;" "&amp;K11</f>
        <v>USB Kingston 32GB</v>
      </c>
      <c r="H11" s="258">
        <v>1</v>
      </c>
      <c r="I11" s="258" t="s">
        <v>103</v>
      </c>
      <c r="J11" s="258" t="s">
        <v>104</v>
      </c>
      <c r="K11" s="258" t="s">
        <v>105</v>
      </c>
      <c r="M11" s="615"/>
      <c r="N11" s="277"/>
      <c r="O11" s="277"/>
      <c r="R11" s="258"/>
      <c r="S11" s="258"/>
      <c r="W11" s="277"/>
    </row>
    <row r="12" spans="1:28" s="614" customFormat="1" ht="28.5">
      <c r="A12" s="258">
        <v>10</v>
      </c>
      <c r="B12" s="258" t="s">
        <v>106</v>
      </c>
      <c r="C12" s="258" t="s">
        <v>54</v>
      </c>
      <c r="D12" s="277" t="s">
        <v>107</v>
      </c>
      <c r="E12" s="258" t="str">
        <f>VLOOKUP(D12,Store_Info_VN!B:P,2,0)</f>
        <v>NEW BALANCE LOTTE HA NOI DEPARTMENT</v>
      </c>
      <c r="F12" s="258" t="s">
        <v>56</v>
      </c>
      <c r="G12" s="618" t="s">
        <v>108</v>
      </c>
      <c r="H12" s="258">
        <v>1</v>
      </c>
      <c r="I12" s="258" t="s">
        <v>86</v>
      </c>
      <c r="J12" s="258" t="s">
        <v>58</v>
      </c>
      <c r="K12" s="258" t="s">
        <v>87</v>
      </c>
      <c r="L12" s="258"/>
      <c r="M12" s="615" t="s">
        <v>109</v>
      </c>
      <c r="N12" s="277">
        <v>16</v>
      </c>
      <c r="O12" s="277">
        <v>487757</v>
      </c>
      <c r="P12" s="258" t="s">
        <v>79</v>
      </c>
      <c r="Q12" s="258" t="s">
        <v>89</v>
      </c>
      <c r="R12" s="258"/>
      <c r="S12" s="258"/>
      <c r="T12" s="278"/>
      <c r="U12" s="268"/>
      <c r="V12" s="258" t="s">
        <v>110</v>
      </c>
      <c r="W12" s="277" t="s">
        <v>110</v>
      </c>
      <c r="X12" s="271"/>
      <c r="Y12" s="271" t="s">
        <v>64</v>
      </c>
      <c r="Z12" s="271" t="s">
        <v>64</v>
      </c>
      <c r="AA12" s="271"/>
    </row>
    <row r="13" spans="1:28" s="614" customFormat="1" ht="14.25">
      <c r="A13" s="258">
        <v>11</v>
      </c>
      <c r="B13" s="271"/>
      <c r="C13" s="258" t="s">
        <v>54</v>
      </c>
      <c r="D13" s="277" t="s">
        <v>107</v>
      </c>
      <c r="E13" s="258" t="str">
        <f>VLOOKUP(D13,Store_Info_VN!B:P,2,0)</f>
        <v>NEW BALANCE LOTTE HA NOI DEPARTMENT</v>
      </c>
      <c r="F13" s="258" t="s">
        <v>56</v>
      </c>
      <c r="G13" s="258" t="str">
        <f>I13&amp;" "&amp;J13&amp;" "&amp;K13</f>
        <v>Bill Printer Epson TM-T82III</v>
      </c>
      <c r="H13" s="258">
        <v>1</v>
      </c>
      <c r="I13" s="258" t="s">
        <v>92</v>
      </c>
      <c r="J13" s="258" t="s">
        <v>93</v>
      </c>
      <c r="K13" s="258" t="s">
        <v>94</v>
      </c>
      <c r="L13" s="258"/>
      <c r="M13" s="615" t="s">
        <v>111</v>
      </c>
      <c r="N13" s="258"/>
      <c r="O13" s="258"/>
      <c r="P13" s="258"/>
      <c r="Q13" s="258"/>
      <c r="R13" s="271"/>
      <c r="S13" s="271"/>
      <c r="T13" s="278"/>
      <c r="U13" s="268"/>
      <c r="V13" s="258"/>
      <c r="W13" s="277"/>
      <c r="X13" s="271"/>
      <c r="Y13" s="271"/>
      <c r="Z13" s="271"/>
      <c r="AA13" s="271"/>
    </row>
    <row r="14" spans="1:28" s="614" customFormat="1" ht="14.25">
      <c r="A14" s="258">
        <v>12</v>
      </c>
      <c r="B14" s="271"/>
      <c r="C14" s="258" t="s">
        <v>54</v>
      </c>
      <c r="D14" s="277" t="s">
        <v>107</v>
      </c>
      <c r="E14" s="258" t="str">
        <f>VLOOKUP(D14,Store_Info_VN!B:P,2,0)</f>
        <v>NEW BALANCE LOTTE HA NOI DEPARTMENT</v>
      </c>
      <c r="F14" s="258" t="s">
        <v>56</v>
      </c>
      <c r="G14" s="258" t="str">
        <f>I14&amp;" "&amp;J14&amp;" "&amp;K14</f>
        <v>Scanner Datalogic QW2100</v>
      </c>
      <c r="H14" s="258">
        <v>1</v>
      </c>
      <c r="I14" s="258" t="s">
        <v>96</v>
      </c>
      <c r="J14" s="258" t="s">
        <v>97</v>
      </c>
      <c r="K14" s="258" t="s">
        <v>98</v>
      </c>
      <c r="L14" s="258"/>
      <c r="M14" s="615" t="s">
        <v>112</v>
      </c>
      <c r="N14" s="258"/>
      <c r="O14" s="258"/>
      <c r="P14" s="258"/>
      <c r="Q14" s="258"/>
      <c r="R14" s="271"/>
      <c r="S14" s="271"/>
      <c r="T14" s="278"/>
      <c r="U14" s="268"/>
      <c r="V14" s="258"/>
      <c r="W14" s="277"/>
      <c r="X14" s="271"/>
      <c r="Y14" s="271"/>
      <c r="Z14" s="271"/>
      <c r="AA14" s="271"/>
    </row>
    <row r="15" spans="1:28" s="614" customFormat="1" ht="14.25">
      <c r="A15" s="258">
        <v>13</v>
      </c>
      <c r="B15" s="271"/>
      <c r="C15" s="258" t="s">
        <v>54</v>
      </c>
      <c r="D15" s="277" t="s">
        <v>107</v>
      </c>
      <c r="E15" s="258" t="str">
        <f>VLOOKUP(D15,Store_Info_VN!B:P,2,0)</f>
        <v>NEW BALANCE LOTTE HA NOI DEPARTMENT</v>
      </c>
      <c r="F15" s="258" t="s">
        <v>56</v>
      </c>
      <c r="G15" s="258" t="str">
        <f>I15&amp;" "&amp;J15&amp;" "&amp;K15</f>
        <v>A4 Printer Canon LBP 2900</v>
      </c>
      <c r="H15" s="258">
        <v>1</v>
      </c>
      <c r="I15" s="258" t="s">
        <v>99</v>
      </c>
      <c r="J15" s="258" t="s">
        <v>100</v>
      </c>
      <c r="K15" s="258" t="s">
        <v>101</v>
      </c>
      <c r="L15" s="258"/>
      <c r="M15" s="615" t="s">
        <v>113</v>
      </c>
      <c r="N15" s="258"/>
      <c r="O15" s="258"/>
      <c r="P15" s="258"/>
      <c r="Q15" s="258"/>
      <c r="R15" s="271"/>
      <c r="S15" s="271"/>
      <c r="T15" s="278"/>
      <c r="U15" s="268"/>
      <c r="V15" s="258"/>
      <c r="W15" s="277"/>
      <c r="X15" s="271"/>
      <c r="Y15" s="271"/>
      <c r="Z15" s="271"/>
      <c r="AA15" s="271"/>
    </row>
    <row r="16" spans="1:28" s="614" customFormat="1" ht="14.25">
      <c r="A16" s="258">
        <v>14</v>
      </c>
      <c r="B16" s="271"/>
      <c r="C16" s="258" t="s">
        <v>54</v>
      </c>
      <c r="D16" s="277" t="s">
        <v>107</v>
      </c>
      <c r="E16" s="258" t="str">
        <f>VLOOKUP(D16,Store_Info_VN!B:P,2,0)</f>
        <v>NEW BALANCE LOTTE HA NOI DEPARTMENT</v>
      </c>
      <c r="F16" s="258" t="s">
        <v>56</v>
      </c>
      <c r="G16" s="258" t="str">
        <f>I16&amp;" "&amp;J16&amp;" "&amp;K16</f>
        <v xml:space="preserve">USB Kingston </v>
      </c>
      <c r="H16" s="258">
        <v>2</v>
      </c>
      <c r="I16" s="258" t="s">
        <v>103</v>
      </c>
      <c r="J16" s="258" t="s">
        <v>104</v>
      </c>
      <c r="K16" s="258"/>
      <c r="L16" s="258"/>
      <c r="M16" s="615"/>
      <c r="N16" s="258"/>
      <c r="O16" s="258"/>
      <c r="P16" s="258"/>
      <c r="Q16" s="258"/>
      <c r="R16" s="271"/>
      <c r="S16" s="271"/>
      <c r="T16" s="278"/>
      <c r="U16" s="268"/>
      <c r="V16" s="258"/>
      <c r="W16" s="277"/>
      <c r="X16" s="271"/>
      <c r="Y16" s="271"/>
      <c r="Z16" s="271"/>
      <c r="AA16" s="271"/>
    </row>
    <row r="17" spans="1:28" s="614" customFormat="1" ht="14.25">
      <c r="A17" s="258">
        <v>15</v>
      </c>
      <c r="B17" s="271"/>
      <c r="C17" s="258" t="s">
        <v>54</v>
      </c>
      <c r="D17" s="277" t="s">
        <v>107</v>
      </c>
      <c r="E17" s="258" t="str">
        <f>VLOOKUP(D17,Store_Info_VN!B:P,2,0)</f>
        <v>NEW BALANCE LOTTE HA NOI DEPARTMENT</v>
      </c>
      <c r="F17" s="258" t="s">
        <v>56</v>
      </c>
      <c r="G17" s="258" t="str">
        <f>I17&amp;" "&amp;J17&amp;" "&amp;K17</f>
        <v xml:space="preserve">Mouse HP </v>
      </c>
      <c r="H17" s="258">
        <v>1</v>
      </c>
      <c r="I17" s="258" t="s">
        <v>114</v>
      </c>
      <c r="J17" s="258" t="s">
        <v>58</v>
      </c>
      <c r="K17" s="258"/>
      <c r="L17" s="258"/>
      <c r="M17" s="615"/>
      <c r="N17" s="258"/>
      <c r="O17" s="258"/>
      <c r="P17" s="258"/>
      <c r="Q17" s="258"/>
      <c r="R17" s="271"/>
      <c r="S17" s="271"/>
      <c r="T17" s="278"/>
      <c r="U17" s="268"/>
      <c r="V17" s="258"/>
      <c r="W17" s="277"/>
      <c r="X17" s="271"/>
      <c r="Y17" s="271"/>
      <c r="Z17" s="271"/>
      <c r="AA17" s="271"/>
    </row>
    <row r="18" spans="1:28" ht="28.5">
      <c r="A18" s="258">
        <v>16</v>
      </c>
      <c r="B18" s="258"/>
      <c r="C18" s="258" t="s">
        <v>54</v>
      </c>
      <c r="D18" s="277" t="s">
        <v>115</v>
      </c>
      <c r="E18" s="258" t="str">
        <f>VLOOKUP(D18,Store_Info_VN!B:P,2,0)</f>
        <v>CHAMPION VINCOM DONG KHOI</v>
      </c>
      <c r="F18" s="258" t="s">
        <v>56</v>
      </c>
      <c r="G18" s="258" t="str">
        <f>I18&amp;" "&amp;J18&amp;" "&amp;K18</f>
        <v>Monitor HP V190</v>
      </c>
      <c r="H18" s="258">
        <v>1</v>
      </c>
      <c r="I18" s="258" t="s">
        <v>116</v>
      </c>
      <c r="J18" s="258" t="s">
        <v>58</v>
      </c>
      <c r="K18" s="258" t="s">
        <v>117</v>
      </c>
      <c r="M18" s="615" t="s">
        <v>118</v>
      </c>
      <c r="N18" s="277"/>
      <c r="O18" s="277"/>
      <c r="R18" s="258"/>
      <c r="S18" s="258"/>
      <c r="U18" s="268" t="s">
        <v>119</v>
      </c>
      <c r="W18" s="277"/>
    </row>
    <row r="19" spans="1:28" ht="28.5">
      <c r="A19" s="258">
        <v>17</v>
      </c>
      <c r="B19" s="258"/>
      <c r="C19" s="258" t="s">
        <v>54</v>
      </c>
      <c r="D19" s="277" t="s">
        <v>115</v>
      </c>
      <c r="E19" s="258" t="str">
        <f>VLOOKUP(D19,Store_Info_VN!B:P,2,0)</f>
        <v>CHAMPION VINCOM DONG KHOI</v>
      </c>
      <c r="F19" s="258" t="s">
        <v>56</v>
      </c>
      <c r="G19" s="258" t="str">
        <f>I19&amp;" "&amp;J19&amp;" "&amp;K19</f>
        <v>Bill Printer Epson TM-T82II</v>
      </c>
      <c r="H19" s="258">
        <v>1</v>
      </c>
      <c r="I19" s="258" t="s">
        <v>92</v>
      </c>
      <c r="J19" s="258" t="s">
        <v>93</v>
      </c>
      <c r="K19" s="258" t="s">
        <v>120</v>
      </c>
      <c r="M19" s="615" t="s">
        <v>121</v>
      </c>
      <c r="N19" s="277"/>
      <c r="O19" s="277"/>
      <c r="R19" s="258"/>
      <c r="S19" s="258"/>
      <c r="U19" s="268" t="s">
        <v>119</v>
      </c>
      <c r="W19" s="277"/>
    </row>
    <row r="20" spans="1:28" ht="42">
      <c r="A20" s="258">
        <v>18</v>
      </c>
      <c r="B20" s="258"/>
      <c r="C20" s="258" t="s">
        <v>54</v>
      </c>
      <c r="D20" s="277" t="s">
        <v>122</v>
      </c>
      <c r="E20" s="258" t="str">
        <f>VLOOKUP(D20,Store_Info_VN!B:P,2,0)</f>
        <v>ROOKIE LOTTE HA NOI DEPARTMENT</v>
      </c>
      <c r="F20" s="258" t="s">
        <v>56</v>
      </c>
      <c r="G20" s="258" t="str">
        <f>I20&amp;" "&amp;J20&amp;" "&amp;K20</f>
        <v>Scanner Datalogic QW2100</v>
      </c>
      <c r="H20" s="258">
        <v>1</v>
      </c>
      <c r="I20" s="258" t="s">
        <v>96</v>
      </c>
      <c r="J20" s="258" t="s">
        <v>97</v>
      </c>
      <c r="K20" s="258" t="s">
        <v>98</v>
      </c>
      <c r="M20" s="615" t="s">
        <v>123</v>
      </c>
      <c r="N20" s="277"/>
      <c r="O20" s="277"/>
      <c r="R20" s="258"/>
      <c r="S20" s="258"/>
      <c r="U20" s="268" t="s">
        <v>124</v>
      </c>
      <c r="W20" s="277"/>
    </row>
    <row r="21" spans="1:28" ht="28.5">
      <c r="A21" s="258">
        <v>19</v>
      </c>
      <c r="B21" s="258"/>
      <c r="C21" s="258" t="s">
        <v>54</v>
      </c>
      <c r="D21" s="277" t="s">
        <v>115</v>
      </c>
      <c r="E21" s="258" t="str">
        <f>VLOOKUP(D21,Store_Info_VN!B:P,2,0)</f>
        <v>CHAMPION VINCOM DONG KHOI</v>
      </c>
      <c r="F21" s="258" t="s">
        <v>56</v>
      </c>
      <c r="G21" s="258" t="str">
        <f>I21&amp;" "&amp;J21&amp;" "&amp;K21</f>
        <v>Pole Display HP LD220</v>
      </c>
      <c r="H21" s="258">
        <v>1</v>
      </c>
      <c r="I21" s="258" t="s">
        <v>125</v>
      </c>
      <c r="J21" s="258" t="s">
        <v>58</v>
      </c>
      <c r="K21" s="258" t="s">
        <v>126</v>
      </c>
      <c r="M21" s="615" t="s">
        <v>127</v>
      </c>
      <c r="N21" s="277"/>
      <c r="O21" s="277"/>
      <c r="R21" s="258"/>
      <c r="S21" s="258"/>
      <c r="U21" s="268" t="s">
        <v>119</v>
      </c>
      <c r="W21" s="277"/>
    </row>
    <row r="22" spans="1:28" ht="28.5">
      <c r="A22" s="258">
        <v>20</v>
      </c>
      <c r="B22" s="258"/>
      <c r="C22" s="258" t="s">
        <v>54</v>
      </c>
      <c r="D22" s="277" t="s">
        <v>115</v>
      </c>
      <c r="E22" s="258" t="str">
        <f>VLOOKUP(D22,Store_Info_VN!B:P,2,0)</f>
        <v>CHAMPION VINCOM DONG KHOI</v>
      </c>
      <c r="F22" s="258" t="s">
        <v>56</v>
      </c>
      <c r="G22" s="258" t="str">
        <f>I22&amp;" "&amp;J22&amp;" "&amp;K22</f>
        <v xml:space="preserve">  </v>
      </c>
      <c r="H22" s="258">
        <v>1</v>
      </c>
      <c r="M22" s="615"/>
      <c r="N22" s="277"/>
      <c r="O22" s="277"/>
      <c r="R22" s="258"/>
      <c r="S22" s="258"/>
      <c r="U22" s="268" t="s">
        <v>119</v>
      </c>
      <c r="W22" s="277"/>
    </row>
    <row r="23" spans="1:28" ht="28.5">
      <c r="A23" s="258">
        <v>21</v>
      </c>
      <c r="B23" s="258"/>
      <c r="C23" s="258" t="s">
        <v>54</v>
      </c>
      <c r="D23" s="277" t="s">
        <v>115</v>
      </c>
      <c r="E23" s="258" t="str">
        <f>VLOOKUP(D23,Store_Info_VN!B:P,2,0)</f>
        <v>CHAMPION VINCOM DONG KHOI</v>
      </c>
      <c r="F23" s="258" t="s">
        <v>56</v>
      </c>
      <c r="G23" s="258" t="str">
        <f>I23&amp;" "&amp;J23&amp;" "&amp;K23</f>
        <v xml:space="preserve">  </v>
      </c>
      <c r="H23" s="258">
        <v>1</v>
      </c>
      <c r="M23" s="615"/>
      <c r="N23" s="277"/>
      <c r="O23" s="277"/>
      <c r="R23" s="258"/>
      <c r="S23" s="258"/>
      <c r="U23" s="268" t="s">
        <v>119</v>
      </c>
      <c r="W23" s="277"/>
    </row>
    <row r="24" spans="1:28" s="257" customFormat="1" hidden="1">
      <c r="A24" s="630">
        <v>22</v>
      </c>
    </row>
    <row r="25" spans="1:28" s="66" customFormat="1" ht="39" hidden="1">
      <c r="A25" s="258">
        <v>23</v>
      </c>
      <c r="B25" s="71" t="s">
        <v>128</v>
      </c>
      <c r="C25" s="71" t="s">
        <v>65</v>
      </c>
      <c r="D25" s="71" t="s">
        <v>129</v>
      </c>
      <c r="E25" s="71" t="s">
        <v>130</v>
      </c>
      <c r="F25" s="36"/>
      <c r="G25" s="120" t="s">
        <v>131</v>
      </c>
      <c r="H25" s="120" t="s">
        <v>132</v>
      </c>
      <c r="I25" s="71" t="s">
        <v>133</v>
      </c>
      <c r="J25" s="71" t="s">
        <v>133</v>
      </c>
      <c r="K25" s="71" t="s">
        <v>131</v>
      </c>
      <c r="L25" s="71"/>
      <c r="M25" s="28" t="s">
        <v>134</v>
      </c>
      <c r="N25" s="28">
        <v>8</v>
      </c>
      <c r="O25" s="28">
        <v>256</v>
      </c>
      <c r="P25" s="71" t="s">
        <v>79</v>
      </c>
      <c r="Q25" s="71" t="s">
        <v>135</v>
      </c>
      <c r="R25" s="28"/>
      <c r="S25" s="28"/>
      <c r="T25" s="28" t="s">
        <v>136</v>
      </c>
      <c r="U25" s="78" t="s">
        <v>137</v>
      </c>
      <c r="V25" s="186"/>
      <c r="W25" s="14" t="s">
        <v>138</v>
      </c>
      <c r="X25" s="14" t="s">
        <v>64</v>
      </c>
      <c r="Y25" s="14" t="s">
        <v>64</v>
      </c>
      <c r="Z25" s="14" t="s">
        <v>64</v>
      </c>
      <c r="AA25" s="14" t="s">
        <v>64</v>
      </c>
      <c r="AB25" s="256"/>
    </row>
    <row r="26" spans="1:28" ht="14.25">
      <c r="A26" s="261">
        <v>24</v>
      </c>
      <c r="B26" s="261"/>
      <c r="C26" s="261" t="s">
        <v>54</v>
      </c>
      <c r="D26" s="289" t="s">
        <v>139</v>
      </c>
      <c r="E26" s="261" t="str">
        <f>VLOOKUP(D26,Store_Info_VN!B:P,2,0)</f>
        <v>SMIGGLE TAKASHIMAYA</v>
      </c>
      <c r="F26" s="261" t="s">
        <v>56</v>
      </c>
      <c r="G26" s="261" t="str">
        <f>I26&amp;" "&amp;J26&amp;" "&amp;K26</f>
        <v>Bill Printer Epson TM-T82III</v>
      </c>
      <c r="H26" s="261">
        <v>1</v>
      </c>
      <c r="I26" s="261" t="s">
        <v>92</v>
      </c>
      <c r="J26" s="261" t="s">
        <v>93</v>
      </c>
      <c r="K26" s="261" t="s">
        <v>94</v>
      </c>
      <c r="L26" s="261"/>
      <c r="M26" s="665" t="s">
        <v>140</v>
      </c>
      <c r="N26" s="289"/>
      <c r="O26" s="289"/>
      <c r="P26" s="261"/>
      <c r="Q26" s="261"/>
      <c r="R26" s="261"/>
      <c r="S26" s="261"/>
      <c r="T26" s="666"/>
      <c r="U26" s="291"/>
      <c r="V26" s="261"/>
      <c r="W26" s="289"/>
      <c r="X26" s="293"/>
      <c r="Y26" s="293"/>
      <c r="Z26" s="293"/>
      <c r="AA26" s="293"/>
    </row>
    <row r="27" spans="1:28" ht="14.25">
      <c r="A27" s="258">
        <v>25</v>
      </c>
      <c r="B27" s="258"/>
      <c r="C27" s="258" t="s">
        <v>54</v>
      </c>
      <c r="D27" s="277" t="s">
        <v>139</v>
      </c>
      <c r="E27" s="258" t="str">
        <f>VLOOKUP(D27,Store_Info_VN!B:P,2,0)</f>
        <v>SMIGGLE TAKASHIMAYA</v>
      </c>
      <c r="F27" s="258" t="s">
        <v>56</v>
      </c>
      <c r="G27" s="258" t="str">
        <f>I27&amp;" "&amp;J27&amp;" "&amp;K27</f>
        <v>Scanner Datalogic QW2100</v>
      </c>
      <c r="H27" s="258">
        <v>1</v>
      </c>
      <c r="I27" s="258" t="s">
        <v>96</v>
      </c>
      <c r="J27" s="258" t="s">
        <v>97</v>
      </c>
      <c r="K27" s="258" t="s">
        <v>98</v>
      </c>
      <c r="M27" s="615" t="s">
        <v>141</v>
      </c>
      <c r="N27" s="277"/>
      <c r="O27" s="277"/>
      <c r="R27" s="258"/>
      <c r="S27" s="258"/>
      <c r="T27" s="278" t="s">
        <v>142</v>
      </c>
      <c r="W27" s="277"/>
    </row>
    <row r="28" spans="1:28" ht="14.25" hidden="1">
      <c r="A28" s="279">
        <v>3</v>
      </c>
      <c r="B28" s="281" t="s">
        <v>143</v>
      </c>
      <c r="C28" s="281" t="s">
        <v>65</v>
      </c>
      <c r="D28" s="303" t="s">
        <v>144</v>
      </c>
      <c r="E28" s="279" t="s">
        <v>145</v>
      </c>
      <c r="F28" s="279" t="s">
        <v>56</v>
      </c>
      <c r="G28" s="279" t="str">
        <f>I28&amp;" "&amp;J28&amp;" "&amp;K28</f>
        <v>Desktop HP ProDesk 400 G4 DM</v>
      </c>
      <c r="H28" s="279">
        <v>1</v>
      </c>
      <c r="I28" s="279" t="s">
        <v>57</v>
      </c>
      <c r="J28" s="279" t="s">
        <v>58</v>
      </c>
      <c r="K28" s="279" t="s">
        <v>59</v>
      </c>
      <c r="L28" s="279"/>
      <c r="M28" s="678" t="s">
        <v>146</v>
      </c>
      <c r="N28" s="682">
        <v>8</v>
      </c>
      <c r="O28" s="682">
        <v>500</v>
      </c>
      <c r="P28" s="281" t="s">
        <v>61</v>
      </c>
      <c r="Q28" s="281" t="s">
        <v>80</v>
      </c>
      <c r="R28" s="279"/>
      <c r="S28" s="279"/>
      <c r="T28" s="285" t="s">
        <v>81</v>
      </c>
      <c r="U28" s="286" t="s">
        <v>147</v>
      </c>
      <c r="V28" s="281" t="s">
        <v>148</v>
      </c>
      <c r="W28" s="303" t="s">
        <v>148</v>
      </c>
      <c r="X28" s="284"/>
      <c r="Y28" s="312" t="s">
        <v>64</v>
      </c>
      <c r="Z28" s="312" t="s">
        <v>64</v>
      </c>
      <c r="AA28" s="284"/>
    </row>
    <row r="29" spans="1:28" s="257" customFormat="1" ht="26.25" hidden="1">
      <c r="A29" s="258">
        <v>27</v>
      </c>
      <c r="B29" s="259"/>
      <c r="C29" s="259" t="s">
        <v>65</v>
      </c>
      <c r="D29" s="277" t="s">
        <v>149</v>
      </c>
      <c r="E29" s="258" t="str">
        <f>VLOOKUP(D29,Store_Info_VN!B:P,2,0)</f>
        <v>NEW BALANCE AEON HAI PHONG</v>
      </c>
      <c r="F29" s="258" t="s">
        <v>56</v>
      </c>
      <c r="G29" s="258" t="str">
        <f>I29&amp;" "&amp;J29&amp;" "&amp;K29</f>
        <v>Monitor HP V190</v>
      </c>
      <c r="H29" s="258">
        <v>1</v>
      </c>
      <c r="I29" s="258" t="s">
        <v>116</v>
      </c>
      <c r="J29" s="258" t="s">
        <v>58</v>
      </c>
      <c r="K29" s="258" t="s">
        <v>117</v>
      </c>
      <c r="L29" s="258"/>
      <c r="M29" s="288" t="s">
        <v>150</v>
      </c>
      <c r="N29" s="277"/>
      <c r="O29" s="277"/>
      <c r="P29" s="259"/>
      <c r="Q29" s="258"/>
      <c r="R29" s="258"/>
      <c r="S29" s="258"/>
      <c r="T29" s="278"/>
      <c r="U29" s="268" t="s">
        <v>151</v>
      </c>
      <c r="V29" s="258"/>
      <c r="W29" s="277"/>
      <c r="X29" s="271"/>
      <c r="Y29" s="273"/>
      <c r="Z29" s="273"/>
      <c r="AA29" s="271"/>
    </row>
    <row r="30" spans="1:28" s="257" customFormat="1" ht="26.25" hidden="1">
      <c r="A30" s="259">
        <v>28</v>
      </c>
      <c r="B30" s="259"/>
      <c r="C30" s="259" t="s">
        <v>65</v>
      </c>
      <c r="D30" s="277" t="s">
        <v>149</v>
      </c>
      <c r="E30" s="258" t="str">
        <f>VLOOKUP(D30,Store_Info_VN!B:P,2,0)</f>
        <v>NEW BALANCE AEON HAI PHONG</v>
      </c>
      <c r="F30" s="258" t="s">
        <v>56</v>
      </c>
      <c r="G30" s="258" t="str">
        <f>I30&amp;" "&amp;J30&amp;" "&amp;K30</f>
        <v>Bill Printer Epson TM-T82II</v>
      </c>
      <c r="H30" s="258">
        <v>1</v>
      </c>
      <c r="I30" s="258" t="s">
        <v>92</v>
      </c>
      <c r="J30" s="258" t="s">
        <v>93</v>
      </c>
      <c r="K30" s="258" t="s">
        <v>120</v>
      </c>
      <c r="L30" s="258"/>
      <c r="M30" s="288" t="s">
        <v>152</v>
      </c>
      <c r="N30" s="277"/>
      <c r="O30" s="277"/>
      <c r="P30" s="259"/>
      <c r="Q30" s="258"/>
      <c r="R30" s="258"/>
      <c r="S30" s="258"/>
      <c r="T30" s="278"/>
      <c r="U30" s="268" t="s">
        <v>151</v>
      </c>
      <c r="V30" s="258"/>
      <c r="W30" s="277"/>
      <c r="X30" s="271"/>
      <c r="Y30" s="273"/>
      <c r="Z30" s="273"/>
      <c r="AA30" s="271"/>
    </row>
    <row r="31" spans="1:28" s="257" customFormat="1" ht="26.25" hidden="1">
      <c r="A31" s="258">
        <v>29</v>
      </c>
      <c r="B31" s="259"/>
      <c r="C31" s="259" t="s">
        <v>65</v>
      </c>
      <c r="D31" s="277" t="s">
        <v>149</v>
      </c>
      <c r="E31" s="258" t="str">
        <f>VLOOKUP(D31,Store_Info_VN!B:P,2,0)</f>
        <v>NEW BALANCE AEON HAI PHONG</v>
      </c>
      <c r="F31" s="258" t="s">
        <v>56</v>
      </c>
      <c r="G31" s="258" t="str">
        <f>I31&amp;" "&amp;J31&amp;" "&amp;K31</f>
        <v>Scanner Datalogic QW2100</v>
      </c>
      <c r="H31" s="258">
        <v>1</v>
      </c>
      <c r="I31" s="258" t="s">
        <v>96</v>
      </c>
      <c r="J31" s="258" t="s">
        <v>97</v>
      </c>
      <c r="K31" s="258" t="s">
        <v>98</v>
      </c>
      <c r="L31" s="258"/>
      <c r="M31" s="288" t="s">
        <v>153</v>
      </c>
      <c r="N31" s="277"/>
      <c r="O31" s="277"/>
      <c r="P31" s="259"/>
      <c r="Q31" s="258"/>
      <c r="R31" s="258"/>
      <c r="S31" s="258"/>
      <c r="T31" s="278"/>
      <c r="U31" s="268" t="s">
        <v>151</v>
      </c>
      <c r="V31" s="258"/>
      <c r="W31" s="277"/>
      <c r="X31" s="271"/>
      <c r="Y31" s="273"/>
      <c r="Z31" s="273"/>
      <c r="AA31" s="271"/>
    </row>
    <row r="32" spans="1:28" s="257" customFormat="1" ht="26.25" hidden="1">
      <c r="A32" s="259">
        <v>30</v>
      </c>
      <c r="B32" s="259"/>
      <c r="C32" s="259" t="s">
        <v>65</v>
      </c>
      <c r="D32" s="277" t="s">
        <v>149</v>
      </c>
      <c r="E32" s="258" t="str">
        <f>VLOOKUP(D32,Store_Info_VN!B:P,2,0)</f>
        <v>NEW BALANCE AEON HAI PHONG</v>
      </c>
      <c r="F32" s="258" t="s">
        <v>56</v>
      </c>
      <c r="G32" s="258" t="str">
        <f>I32&amp;" "&amp;J32&amp;" "&amp;K32</f>
        <v>Pole Display Topcash AL-CD1</v>
      </c>
      <c r="H32" s="258">
        <v>1</v>
      </c>
      <c r="I32" s="258" t="s">
        <v>125</v>
      </c>
      <c r="J32" s="258" t="s">
        <v>154</v>
      </c>
      <c r="K32" s="258" t="s">
        <v>155</v>
      </c>
      <c r="L32" s="258"/>
      <c r="M32" s="288" t="s">
        <v>156</v>
      </c>
      <c r="N32" s="277"/>
      <c r="O32" s="277"/>
      <c r="P32" s="259"/>
      <c r="Q32" s="258"/>
      <c r="R32" s="258"/>
      <c r="S32" s="258"/>
      <c r="T32" s="278"/>
      <c r="U32" s="268" t="s">
        <v>151</v>
      </c>
      <c r="V32" s="258"/>
      <c r="W32" s="277"/>
      <c r="X32" s="271"/>
      <c r="Y32" s="273"/>
      <c r="Z32" s="273"/>
      <c r="AA32" s="271"/>
    </row>
    <row r="33" spans="1:27" ht="26.25">
      <c r="A33" s="296">
        <v>31</v>
      </c>
      <c r="B33" s="296"/>
      <c r="C33" s="296" t="s">
        <v>54</v>
      </c>
      <c r="D33" s="649" t="s">
        <v>157</v>
      </c>
      <c r="E33" s="296" t="s">
        <v>158</v>
      </c>
      <c r="F33" s="296" t="s">
        <v>56</v>
      </c>
      <c r="G33" s="296" t="str">
        <f>I33&amp;" "&amp;J33&amp;" "&amp;K33</f>
        <v>Cash Drawer Poscom 410</v>
      </c>
      <c r="H33" s="296">
        <v>1</v>
      </c>
      <c r="I33" s="296" t="s">
        <v>159</v>
      </c>
      <c r="J33" s="296" t="s">
        <v>160</v>
      </c>
      <c r="K33" s="296">
        <v>410</v>
      </c>
      <c r="L33" s="296"/>
      <c r="M33" s="667" t="s">
        <v>161</v>
      </c>
      <c r="N33" s="649"/>
      <c r="O33" s="649"/>
      <c r="P33" s="296"/>
      <c r="Q33" s="296"/>
      <c r="R33" s="296"/>
      <c r="S33" s="296"/>
      <c r="T33" s="668"/>
      <c r="U33" s="635" t="s">
        <v>151</v>
      </c>
      <c r="V33" s="296"/>
      <c r="W33" s="649"/>
      <c r="X33" s="636"/>
      <c r="Y33" s="636"/>
      <c r="Z33" s="636"/>
      <c r="AA33" s="636"/>
    </row>
    <row r="34" spans="1:27" s="257" customFormat="1" ht="26.25" hidden="1">
      <c r="A34" s="259">
        <v>32</v>
      </c>
      <c r="B34" s="259"/>
      <c r="C34" s="259" t="s">
        <v>65</v>
      </c>
      <c r="D34" s="277" t="s">
        <v>149</v>
      </c>
      <c r="E34" s="258" t="str">
        <f>VLOOKUP(D34,Store_Info_VN!B:P,2,0)</f>
        <v>NEW BALANCE AEON HAI PHONG</v>
      </c>
      <c r="F34" s="258" t="s">
        <v>56</v>
      </c>
      <c r="G34" s="258" t="str">
        <f>I34&amp;" "&amp;J34&amp;" "&amp;K34</f>
        <v>A4 Printer Canon LBP 2900</v>
      </c>
      <c r="H34" s="258">
        <v>1</v>
      </c>
      <c r="I34" s="258" t="s">
        <v>99</v>
      </c>
      <c r="J34" s="258" t="s">
        <v>100</v>
      </c>
      <c r="K34" s="258" t="s">
        <v>101</v>
      </c>
      <c r="L34" s="258"/>
      <c r="M34" s="288" t="s">
        <v>162</v>
      </c>
      <c r="N34" s="277"/>
      <c r="O34" s="277"/>
      <c r="P34" s="259"/>
      <c r="Q34" s="258"/>
      <c r="R34" s="258"/>
      <c r="S34" s="258"/>
      <c r="T34" s="278"/>
      <c r="U34" s="268" t="s">
        <v>151</v>
      </c>
      <c r="V34" s="258"/>
      <c r="W34" s="277"/>
      <c r="X34" s="271"/>
      <c r="Y34" s="273"/>
      <c r="Z34" s="273"/>
      <c r="AA34" s="271"/>
    </row>
    <row r="35" spans="1:27" s="614" customFormat="1" ht="28.5" hidden="1">
      <c r="A35" s="261">
        <v>33</v>
      </c>
      <c r="B35" s="261" t="s">
        <v>163</v>
      </c>
      <c r="C35" s="261" t="s">
        <v>65</v>
      </c>
      <c r="D35" s="289" t="s">
        <v>164</v>
      </c>
      <c r="E35" s="261" t="str">
        <f>VLOOKUP(D35,Store_Info_VN!B:P,2,0)</f>
        <v>New Balance Lotte Lieu Giai</v>
      </c>
      <c r="F35" s="261" t="s">
        <v>56</v>
      </c>
      <c r="G35" s="261" t="str">
        <f>I35&amp;" "&amp;J35&amp;" "&amp;K35</f>
        <v>Laptop Dell Inspiron 3505</v>
      </c>
      <c r="H35" s="261">
        <v>1</v>
      </c>
      <c r="I35" s="261" t="s">
        <v>86</v>
      </c>
      <c r="J35" s="261" t="s">
        <v>133</v>
      </c>
      <c r="K35" s="261" t="s">
        <v>165</v>
      </c>
      <c r="L35" s="261"/>
      <c r="M35" s="665" t="s">
        <v>166</v>
      </c>
      <c r="N35" s="289">
        <v>6</v>
      </c>
      <c r="O35" s="289">
        <v>235</v>
      </c>
      <c r="P35" s="261" t="s">
        <v>79</v>
      </c>
      <c r="Q35" s="261" t="s">
        <v>167</v>
      </c>
      <c r="R35" s="261"/>
      <c r="S35" s="261"/>
      <c r="T35" s="666"/>
      <c r="U35" s="291"/>
      <c r="V35" s="261" t="s">
        <v>168</v>
      </c>
      <c r="W35" s="289" t="s">
        <v>168</v>
      </c>
      <c r="X35" s="293"/>
      <c r="Y35" s="293" t="s">
        <v>64</v>
      </c>
      <c r="Z35" s="293" t="s">
        <v>64</v>
      </c>
      <c r="AA35" s="293"/>
    </row>
    <row r="36" spans="1:27" s="614" customFormat="1" ht="14.25" hidden="1">
      <c r="A36" s="258">
        <v>34</v>
      </c>
      <c r="B36" s="258"/>
      <c r="C36" s="671" t="s">
        <v>65</v>
      </c>
      <c r="D36" s="672" t="s">
        <v>164</v>
      </c>
      <c r="E36" s="258" t="str">
        <f>VLOOKUP(D36,Store_Info_VN!B:P,2,0)</f>
        <v>New Balance Lotte Lieu Giai</v>
      </c>
      <c r="F36" s="258" t="s">
        <v>56</v>
      </c>
      <c r="G36" s="258" t="str">
        <f>I36&amp;" "&amp;J36&amp;" "&amp;K36</f>
        <v>Bill Printer Epson TM-T82III</v>
      </c>
      <c r="H36" s="258">
        <v>1</v>
      </c>
      <c r="I36" s="258" t="s">
        <v>92</v>
      </c>
      <c r="J36" s="258" t="s">
        <v>93</v>
      </c>
      <c r="K36" s="258" t="s">
        <v>94</v>
      </c>
      <c r="L36" s="258"/>
      <c r="M36" s="615" t="s">
        <v>169</v>
      </c>
      <c r="N36" s="277"/>
      <c r="O36" s="277"/>
      <c r="P36" s="258"/>
      <c r="Q36" s="258"/>
      <c r="R36" s="258"/>
      <c r="S36" s="258"/>
      <c r="T36" s="278"/>
      <c r="U36" s="268"/>
      <c r="V36" s="258"/>
      <c r="W36" s="277"/>
      <c r="X36" s="271"/>
      <c r="Y36" s="271"/>
      <c r="Z36" s="271"/>
      <c r="AA36" s="271"/>
    </row>
    <row r="37" spans="1:27" s="614" customFormat="1" ht="56.25" hidden="1">
      <c r="A37" s="258">
        <v>35</v>
      </c>
      <c r="B37" s="258"/>
      <c r="C37" s="671" t="s">
        <v>65</v>
      </c>
      <c r="D37" s="672" t="s">
        <v>164</v>
      </c>
      <c r="E37" s="258" t="str">
        <f>VLOOKUP(D37,Store_Info_VN!B:P,2,0)</f>
        <v>New Balance Lotte Lieu Giai</v>
      </c>
      <c r="F37" s="258" t="s">
        <v>56</v>
      </c>
      <c r="G37" s="258" t="str">
        <f>I37&amp;" "&amp;J37&amp;" "&amp;K37</f>
        <v>Scanner Datalogic QW2100</v>
      </c>
      <c r="H37" s="258">
        <v>1</v>
      </c>
      <c r="I37" s="258" t="s">
        <v>96</v>
      </c>
      <c r="J37" s="258" t="s">
        <v>97</v>
      </c>
      <c r="K37" s="258" t="s">
        <v>98</v>
      </c>
      <c r="L37" s="258"/>
      <c r="M37" s="615" t="s">
        <v>170</v>
      </c>
      <c r="N37" s="277"/>
      <c r="O37" s="277"/>
      <c r="P37" s="258"/>
      <c r="Q37" s="258"/>
      <c r="R37" s="258"/>
      <c r="S37" s="258"/>
      <c r="T37" s="278" t="s">
        <v>171</v>
      </c>
      <c r="U37" s="268"/>
      <c r="V37" s="258"/>
      <c r="W37" s="277"/>
      <c r="X37" s="271"/>
      <c r="Y37" s="271"/>
      <c r="Z37" s="271"/>
      <c r="AA37" s="271"/>
    </row>
    <row r="38" spans="1:27" s="614" customFormat="1" ht="14.25" hidden="1">
      <c r="A38" s="258">
        <v>36</v>
      </c>
      <c r="B38" s="258"/>
      <c r="C38" s="671" t="s">
        <v>65</v>
      </c>
      <c r="D38" s="672" t="s">
        <v>164</v>
      </c>
      <c r="E38" s="258" t="str">
        <f>VLOOKUP(D38,Store_Info_VN!B:P,2,0)</f>
        <v>New Balance Lotte Lieu Giai</v>
      </c>
      <c r="F38" s="258" t="s">
        <v>56</v>
      </c>
      <c r="G38" s="258" t="str">
        <f>I38&amp;" "&amp;J38&amp;" "&amp;K38</f>
        <v xml:space="preserve">Network Switch Mercusys </v>
      </c>
      <c r="H38" s="258">
        <v>1</v>
      </c>
      <c r="I38" s="258" t="s">
        <v>172</v>
      </c>
      <c r="J38" s="258" t="s">
        <v>173</v>
      </c>
      <c r="K38" s="258"/>
      <c r="L38" s="258" t="s">
        <v>174</v>
      </c>
      <c r="M38" s="615" t="s">
        <v>175</v>
      </c>
      <c r="N38" s="277"/>
      <c r="O38" s="277"/>
      <c r="P38" s="258"/>
      <c r="Q38" s="258"/>
      <c r="R38" s="258"/>
      <c r="S38" s="258"/>
      <c r="T38" s="278" t="s">
        <v>176</v>
      </c>
      <c r="U38" s="268"/>
      <c r="V38" s="258"/>
      <c r="W38" s="277"/>
      <c r="X38" s="271"/>
      <c r="Y38" s="271"/>
      <c r="Z38" s="271"/>
      <c r="AA38" s="271"/>
    </row>
    <row r="39" spans="1:27" s="614" customFormat="1" ht="14.25" hidden="1">
      <c r="A39" s="258">
        <v>37</v>
      </c>
      <c r="B39" s="258"/>
      <c r="C39" s="671" t="s">
        <v>65</v>
      </c>
      <c r="D39" s="672" t="s">
        <v>164</v>
      </c>
      <c r="E39" s="258" t="str">
        <f>VLOOKUP(D39,Store_Info_VN!B:P,2,0)</f>
        <v>New Balance Lotte Lieu Giai</v>
      </c>
      <c r="F39" s="258" t="s">
        <v>56</v>
      </c>
      <c r="G39" s="258" t="str">
        <f>I39&amp;" "&amp;J39&amp;" "&amp;K39</f>
        <v>A4 Printer Canon LBP 3300</v>
      </c>
      <c r="H39" s="258">
        <v>1</v>
      </c>
      <c r="I39" s="258" t="s">
        <v>99</v>
      </c>
      <c r="J39" s="258" t="s">
        <v>100</v>
      </c>
      <c r="K39" s="258" t="s">
        <v>177</v>
      </c>
      <c r="L39" s="258"/>
      <c r="M39" s="615" t="s">
        <v>178</v>
      </c>
      <c r="N39" s="277"/>
      <c r="O39" s="277"/>
      <c r="P39" s="258"/>
      <c r="Q39" s="258"/>
      <c r="R39" s="258"/>
      <c r="S39" s="258"/>
      <c r="T39" s="278"/>
      <c r="U39" s="268"/>
      <c r="V39" s="258"/>
      <c r="W39" s="277"/>
      <c r="X39" s="271"/>
      <c r="Y39" s="271"/>
      <c r="Z39" s="271"/>
      <c r="AA39" s="271"/>
    </row>
    <row r="40" spans="1:27" ht="14.25" hidden="1">
      <c r="A40" s="259">
        <v>4</v>
      </c>
      <c r="B40" s="259" t="s">
        <v>179</v>
      </c>
      <c r="C40" s="259" t="s">
        <v>180</v>
      </c>
      <c r="D40" s="277" t="s">
        <v>147</v>
      </c>
      <c r="E40" s="258" t="s">
        <v>77</v>
      </c>
      <c r="F40" s="258" t="s">
        <v>56</v>
      </c>
      <c r="G40" s="258" t="str">
        <f>I40&amp;" "&amp;J40&amp;" "&amp;K40</f>
        <v>Desktop HP ProDesk 400 G4 DM</v>
      </c>
      <c r="H40" s="258">
        <v>1</v>
      </c>
      <c r="I40" s="258" t="s">
        <v>57</v>
      </c>
      <c r="J40" s="258" t="s">
        <v>58</v>
      </c>
      <c r="K40" s="258" t="s">
        <v>59</v>
      </c>
      <c r="M40" s="288" t="s">
        <v>181</v>
      </c>
      <c r="N40" s="314">
        <v>8</v>
      </c>
      <c r="O40" s="314">
        <v>500</v>
      </c>
      <c r="P40" s="259" t="s">
        <v>61</v>
      </c>
      <c r="Q40" s="259" t="s">
        <v>80</v>
      </c>
      <c r="R40" s="258"/>
      <c r="S40" s="258"/>
      <c r="T40" s="278" t="s">
        <v>81</v>
      </c>
      <c r="U40" s="268" t="s">
        <v>147</v>
      </c>
      <c r="V40" s="259" t="s">
        <v>182</v>
      </c>
      <c r="W40" s="277" t="s">
        <v>182</v>
      </c>
      <c r="Y40" s="273" t="s">
        <v>64</v>
      </c>
      <c r="Z40" s="273" t="s">
        <v>64</v>
      </c>
    </row>
    <row r="41" spans="1:27" ht="28.5">
      <c r="A41" s="258">
        <v>39</v>
      </c>
      <c r="B41" s="258" t="s">
        <v>183</v>
      </c>
      <c r="C41" s="258" t="s">
        <v>54</v>
      </c>
      <c r="D41" s="277" t="s">
        <v>184</v>
      </c>
      <c r="E41" s="258" t="str">
        <f>VLOOKUP(D41,Store_Info_VN!B:P,2,0)</f>
        <v>PLANET SPORTS GOLDCOAST NHA TRANG</v>
      </c>
      <c r="F41" s="258" t="s">
        <v>56</v>
      </c>
      <c r="G41" s="258" t="str">
        <f>I41&amp;" "&amp;J41&amp;" "&amp;K41</f>
        <v>Laptop Dell Inspiron 3505</v>
      </c>
      <c r="H41" s="258">
        <v>1</v>
      </c>
      <c r="I41" s="258" t="s">
        <v>86</v>
      </c>
      <c r="J41" s="258" t="s">
        <v>133</v>
      </c>
      <c r="K41" s="258" t="s">
        <v>165</v>
      </c>
      <c r="M41" s="615" t="s">
        <v>185</v>
      </c>
      <c r="N41" s="277">
        <v>6</v>
      </c>
      <c r="O41" s="277">
        <v>227320</v>
      </c>
      <c r="P41" s="258" t="s">
        <v>79</v>
      </c>
      <c r="Q41" s="258" t="s">
        <v>167</v>
      </c>
      <c r="R41" s="258"/>
      <c r="S41" s="258"/>
      <c r="V41" s="258" t="s">
        <v>186</v>
      </c>
      <c r="W41" s="277" t="s">
        <v>186</v>
      </c>
      <c r="Y41" s="271" t="s">
        <v>64</v>
      </c>
      <c r="Z41" s="271" t="s">
        <v>64</v>
      </c>
    </row>
    <row r="42" spans="1:27" ht="14.25">
      <c r="A42" s="258">
        <v>40</v>
      </c>
      <c r="B42" s="258"/>
      <c r="C42" s="258" t="s">
        <v>54</v>
      </c>
      <c r="D42" s="277" t="s">
        <v>184</v>
      </c>
      <c r="E42" s="258" t="str">
        <f>VLOOKUP(D42,Store_Info_VN!B:P,2,0)</f>
        <v>PLANET SPORTS GOLDCOAST NHA TRANG</v>
      </c>
      <c r="F42" s="258" t="s">
        <v>56</v>
      </c>
      <c r="G42" s="258" t="str">
        <f>I42&amp;" "&amp;J42&amp;" "&amp;K42</f>
        <v>Bill Printer Epson TM-T82III</v>
      </c>
      <c r="H42" s="258">
        <v>1</v>
      </c>
      <c r="I42" s="258" t="s">
        <v>92</v>
      </c>
      <c r="J42" s="258" t="s">
        <v>93</v>
      </c>
      <c r="K42" s="258" t="s">
        <v>94</v>
      </c>
      <c r="M42" s="615" t="s">
        <v>187</v>
      </c>
      <c r="N42" s="277"/>
      <c r="O42" s="277"/>
      <c r="R42" s="258"/>
      <c r="S42" s="258"/>
      <c r="W42" s="277"/>
    </row>
    <row r="43" spans="1:27" ht="14.25">
      <c r="A43" s="258">
        <v>41</v>
      </c>
      <c r="B43" s="258"/>
      <c r="C43" s="258" t="s">
        <v>54</v>
      </c>
      <c r="D43" s="277" t="s">
        <v>184</v>
      </c>
      <c r="E43" s="258" t="str">
        <f>VLOOKUP(D43,Store_Info_VN!B:P,2,0)</f>
        <v>PLANET SPORTS GOLDCOAST NHA TRANG</v>
      </c>
      <c r="F43" s="258" t="s">
        <v>56</v>
      </c>
      <c r="G43" s="258" t="str">
        <f>I43&amp;" "&amp;J43&amp;" "&amp;K43</f>
        <v>Scanner Datalogic QW2100</v>
      </c>
      <c r="H43" s="258">
        <v>1</v>
      </c>
      <c r="I43" s="258" t="s">
        <v>96</v>
      </c>
      <c r="J43" s="258" t="s">
        <v>97</v>
      </c>
      <c r="K43" s="258" t="s">
        <v>98</v>
      </c>
      <c r="M43" s="615" t="s">
        <v>188</v>
      </c>
      <c r="N43" s="277"/>
      <c r="O43" s="277"/>
      <c r="R43" s="258"/>
      <c r="S43" s="258"/>
      <c r="W43" s="277"/>
    </row>
    <row r="44" spans="1:27" ht="42">
      <c r="A44" s="258">
        <v>42</v>
      </c>
      <c r="B44" s="258"/>
      <c r="C44" s="258" t="s">
        <v>54</v>
      </c>
      <c r="D44" s="277" t="s">
        <v>184</v>
      </c>
      <c r="E44" s="258" t="str">
        <f>VLOOKUP(D44,Store_Info_VN!B:P,2,0)</f>
        <v>PLANET SPORTS GOLDCOAST NHA TRANG</v>
      </c>
      <c r="F44" s="258" t="s">
        <v>56</v>
      </c>
      <c r="G44" s="258" t="str">
        <f>I44&amp;" "&amp;J44&amp;" "&amp;K44</f>
        <v xml:space="preserve">Network Switch Mercusys </v>
      </c>
      <c r="H44" s="258">
        <v>1</v>
      </c>
      <c r="I44" s="258" t="s">
        <v>172</v>
      </c>
      <c r="J44" s="258" t="s">
        <v>173</v>
      </c>
      <c r="L44" s="258" t="s">
        <v>174</v>
      </c>
      <c r="M44" s="615" t="s">
        <v>189</v>
      </c>
      <c r="N44" s="277"/>
      <c r="O44" s="277"/>
      <c r="R44" s="258"/>
      <c r="S44" s="258"/>
      <c r="T44" s="278" t="s">
        <v>190</v>
      </c>
      <c r="W44" s="277"/>
    </row>
    <row r="45" spans="1:27" ht="14.25">
      <c r="A45" s="258">
        <v>43</v>
      </c>
      <c r="B45" s="258"/>
      <c r="C45" s="258" t="s">
        <v>54</v>
      </c>
      <c r="D45" s="277" t="s">
        <v>184</v>
      </c>
      <c r="E45" s="258" t="str">
        <f>VLOOKUP(D45,Store_Info_VN!B:P,2,0)</f>
        <v>PLANET SPORTS GOLDCOAST NHA TRANG</v>
      </c>
      <c r="F45" s="258" t="s">
        <v>56</v>
      </c>
      <c r="G45" s="258" t="str">
        <f>I45&amp;" "&amp;J45&amp;" "&amp;K45</f>
        <v>A4 Printer Canon LBP 3300</v>
      </c>
      <c r="H45" s="258">
        <v>1</v>
      </c>
      <c r="I45" s="258" t="s">
        <v>99</v>
      </c>
      <c r="J45" s="258" t="s">
        <v>100</v>
      </c>
      <c r="K45" s="258" t="s">
        <v>177</v>
      </c>
      <c r="M45" s="615" t="s">
        <v>191</v>
      </c>
      <c r="N45" s="277"/>
      <c r="O45" s="277"/>
      <c r="R45" s="258"/>
      <c r="S45" s="258"/>
      <c r="W45" s="277"/>
    </row>
    <row r="46" spans="1:27" ht="14.25" hidden="1">
      <c r="A46" s="259">
        <f>A45+1</f>
        <v>44</v>
      </c>
      <c r="B46" s="554" t="s">
        <v>192</v>
      </c>
      <c r="C46" s="259" t="s">
        <v>65</v>
      </c>
      <c r="D46" s="258" t="s">
        <v>72</v>
      </c>
      <c r="E46" s="542" t="s">
        <v>73</v>
      </c>
      <c r="F46" s="258" t="s">
        <v>56</v>
      </c>
      <c r="G46" s="538" t="s">
        <v>68</v>
      </c>
      <c r="H46" s="258">
        <v>1</v>
      </c>
      <c r="I46" s="258" t="s">
        <v>57</v>
      </c>
      <c r="J46" s="258" t="s">
        <v>58</v>
      </c>
      <c r="K46" s="258" t="s">
        <v>69</v>
      </c>
      <c r="M46" s="539" t="s">
        <v>193</v>
      </c>
    </row>
    <row r="47" spans="1:27" ht="14.25">
      <c r="A47" s="258">
        <v>45</v>
      </c>
      <c r="B47" s="258"/>
      <c r="C47" s="258" t="s">
        <v>54</v>
      </c>
      <c r="D47" s="277" t="s">
        <v>194</v>
      </c>
      <c r="E47" s="258" t="str">
        <f>VLOOKUP(D47,Store_Info_VN!B:P,2,0)</f>
        <v>CHAMPION AEON LONG BIEN</v>
      </c>
      <c r="F47" s="258" t="s">
        <v>56</v>
      </c>
      <c r="G47" s="258" t="str">
        <f>I47&amp;" "&amp;J47&amp;" "&amp;K47</f>
        <v>Monitor HP V190</v>
      </c>
      <c r="H47" s="258">
        <v>1</v>
      </c>
      <c r="I47" s="258" t="s">
        <v>116</v>
      </c>
      <c r="J47" s="258" t="s">
        <v>58</v>
      </c>
      <c r="K47" s="258" t="s">
        <v>117</v>
      </c>
      <c r="M47" s="615" t="s">
        <v>195</v>
      </c>
      <c r="N47" s="277"/>
      <c r="O47" s="277"/>
      <c r="R47" s="258"/>
      <c r="S47" s="258"/>
      <c r="W47" s="277"/>
    </row>
    <row r="48" spans="1:27" ht="14.25">
      <c r="A48" s="258">
        <v>46</v>
      </c>
      <c r="B48" s="258"/>
      <c r="C48" s="258" t="s">
        <v>54</v>
      </c>
      <c r="D48" s="277" t="s">
        <v>194</v>
      </c>
      <c r="E48" s="258" t="str">
        <f>VLOOKUP(D48,Store_Info_VN!B:P,2,0)</f>
        <v>CHAMPION AEON LONG BIEN</v>
      </c>
      <c r="F48" s="258" t="s">
        <v>56</v>
      </c>
      <c r="G48" s="258" t="str">
        <f>I48&amp;" "&amp;J48&amp;" "&amp;K48</f>
        <v>Bill Printer Epson TM-T82III</v>
      </c>
      <c r="H48" s="258">
        <v>1</v>
      </c>
      <c r="I48" s="258" t="s">
        <v>92</v>
      </c>
      <c r="J48" s="258" t="s">
        <v>93</v>
      </c>
      <c r="K48" s="258" t="s">
        <v>94</v>
      </c>
      <c r="M48" s="615" t="s">
        <v>196</v>
      </c>
      <c r="N48" s="277"/>
      <c r="O48" s="277"/>
      <c r="R48" s="258"/>
      <c r="S48" s="258"/>
      <c r="W48" s="277"/>
    </row>
    <row r="49" spans="1:27" ht="14.25">
      <c r="A49" s="258">
        <v>47</v>
      </c>
      <c r="B49" s="258"/>
      <c r="C49" s="258" t="s">
        <v>54</v>
      </c>
      <c r="D49" s="277" t="s">
        <v>194</v>
      </c>
      <c r="E49" s="258" t="str">
        <f>VLOOKUP(D49,Store_Info_VN!B:P,2,0)</f>
        <v>CHAMPION AEON LONG BIEN</v>
      </c>
      <c r="F49" s="258" t="s">
        <v>56</v>
      </c>
      <c r="G49" s="258" t="str">
        <f>I49&amp;" "&amp;J49&amp;" "&amp;K49</f>
        <v>Scanner Datalogic QW2100</v>
      </c>
      <c r="H49" s="258">
        <v>1</v>
      </c>
      <c r="I49" s="258" t="s">
        <v>96</v>
      </c>
      <c r="J49" s="258" t="s">
        <v>97</v>
      </c>
      <c r="K49" s="258" t="s">
        <v>98</v>
      </c>
      <c r="M49" s="615" t="s">
        <v>197</v>
      </c>
      <c r="N49" s="277"/>
      <c r="O49" s="277"/>
      <c r="R49" s="258"/>
      <c r="S49" s="258"/>
      <c r="W49" s="277"/>
    </row>
    <row r="50" spans="1:27" ht="14.25">
      <c r="A50" s="258">
        <v>48</v>
      </c>
      <c r="B50" s="258"/>
      <c r="C50" s="258" t="s">
        <v>54</v>
      </c>
      <c r="D50" s="277" t="s">
        <v>194</v>
      </c>
      <c r="E50" s="258" t="str">
        <f>VLOOKUP(D50,Store_Info_VN!B:P,2,0)</f>
        <v>CHAMPION AEON LONG BIEN</v>
      </c>
      <c r="F50" s="258" t="s">
        <v>56</v>
      </c>
      <c r="G50" s="258" t="str">
        <f>I50&amp;" "&amp;J50&amp;" "&amp;K50</f>
        <v>Pole Display  VFD220U</v>
      </c>
      <c r="H50" s="258">
        <v>1</v>
      </c>
      <c r="I50" s="258" t="s">
        <v>125</v>
      </c>
      <c r="K50" s="258" t="s">
        <v>198</v>
      </c>
      <c r="M50" s="615" t="s">
        <v>199</v>
      </c>
      <c r="N50" s="277"/>
      <c r="O50" s="277"/>
      <c r="R50" s="258"/>
      <c r="S50" s="258"/>
      <c r="W50" s="277"/>
    </row>
    <row r="51" spans="1:27" ht="14.25">
      <c r="A51" s="258">
        <v>49</v>
      </c>
      <c r="B51" s="258"/>
      <c r="C51" s="258" t="s">
        <v>54</v>
      </c>
      <c r="D51" s="277" t="s">
        <v>194</v>
      </c>
      <c r="E51" s="258" t="str">
        <f>VLOOKUP(D51,Store_Info_VN!B:P,2,0)</f>
        <v>CHAMPION AEON LONG BIEN</v>
      </c>
      <c r="F51" s="258" t="s">
        <v>56</v>
      </c>
      <c r="G51" s="258" t="str">
        <f>I51&amp;" "&amp;J51&amp;" "&amp;K51</f>
        <v xml:space="preserve">Cash Drawer Antech </v>
      </c>
      <c r="H51" s="258">
        <v>1</v>
      </c>
      <c r="I51" s="258" t="s">
        <v>159</v>
      </c>
      <c r="J51" s="258" t="s">
        <v>200</v>
      </c>
      <c r="M51" s="615" t="s">
        <v>201</v>
      </c>
      <c r="N51" s="277"/>
      <c r="O51" s="277"/>
      <c r="R51" s="258"/>
      <c r="S51" s="258"/>
      <c r="W51" s="277"/>
    </row>
    <row r="52" spans="1:27" ht="14.25">
      <c r="A52" s="258">
        <v>50</v>
      </c>
      <c r="B52" s="258"/>
      <c r="C52" s="258" t="s">
        <v>54</v>
      </c>
      <c r="D52" s="277" t="s">
        <v>194</v>
      </c>
      <c r="E52" s="258" t="str">
        <f>VLOOKUP(D52,Store_Info_VN!B:P,2,0)</f>
        <v>CHAMPION AEON LONG BIEN</v>
      </c>
      <c r="F52" s="258" t="s">
        <v>56</v>
      </c>
      <c r="G52" s="258" t="str">
        <f>I52&amp;" "&amp;J52&amp;" "&amp;K52</f>
        <v xml:space="preserve">Network Switch Mercusys </v>
      </c>
      <c r="H52" s="258">
        <v>1</v>
      </c>
      <c r="I52" s="258" t="s">
        <v>172</v>
      </c>
      <c r="J52" s="258" t="s">
        <v>173</v>
      </c>
      <c r="L52" s="258" t="s">
        <v>174</v>
      </c>
      <c r="M52" s="615" t="s">
        <v>202</v>
      </c>
      <c r="N52" s="277"/>
      <c r="O52" s="277"/>
      <c r="R52" s="258"/>
      <c r="S52" s="258"/>
      <c r="W52" s="277"/>
    </row>
    <row r="53" spans="1:27" ht="28.5">
      <c r="A53" s="258">
        <v>51</v>
      </c>
      <c r="B53" s="258"/>
      <c r="C53" s="258" t="s">
        <v>54</v>
      </c>
      <c r="D53" s="277" t="s">
        <v>194</v>
      </c>
      <c r="E53" s="258" t="str">
        <f>VLOOKUP(D53,Store_Info_VN!B:P,2,0)</f>
        <v>CHAMPION AEON LONG BIEN</v>
      </c>
      <c r="F53" s="258" t="s">
        <v>56</v>
      </c>
      <c r="G53" s="258" t="str">
        <f>I53&amp;" "&amp;J53&amp;" "&amp;K53</f>
        <v>A4 Printer HP Neverstop Laser 1000w</v>
      </c>
      <c r="H53" s="258">
        <v>1</v>
      </c>
      <c r="I53" s="258" t="s">
        <v>99</v>
      </c>
      <c r="J53" s="258" t="s">
        <v>58</v>
      </c>
      <c r="K53" s="258" t="s">
        <v>203</v>
      </c>
      <c r="M53" s="615" t="s">
        <v>204</v>
      </c>
      <c r="N53" s="277"/>
      <c r="O53" s="277"/>
      <c r="R53" s="258"/>
      <c r="S53" s="258"/>
      <c r="W53" s="277"/>
    </row>
    <row r="54" spans="1:27" s="257" customFormat="1" ht="42">
      <c r="A54" s="296">
        <v>26</v>
      </c>
      <c r="B54" s="296" t="s">
        <v>205</v>
      </c>
      <c r="C54" s="296" t="s">
        <v>54</v>
      </c>
      <c r="D54" s="631" t="s">
        <v>206</v>
      </c>
      <c r="E54" s="296" t="str">
        <f>VLOOKUP(D54,Store_Info_VN!B:P,2,0)</f>
        <v>CHAMPION AEON HAI PHONG</v>
      </c>
      <c r="F54" s="296" t="s">
        <v>56</v>
      </c>
      <c r="G54" s="317" t="str">
        <f>I54&amp;" "&amp;J54&amp;" "&amp;K54</f>
        <v>Desktop HP ProDesk 400 G3 DM</v>
      </c>
      <c r="H54" s="317">
        <v>1</v>
      </c>
      <c r="I54" s="296" t="s">
        <v>57</v>
      </c>
      <c r="J54" s="306" t="s">
        <v>58</v>
      </c>
      <c r="K54" s="306" t="s">
        <v>69</v>
      </c>
      <c r="L54" s="296"/>
      <c r="M54" s="680" t="s">
        <v>207</v>
      </c>
      <c r="N54" s="631">
        <v>8</v>
      </c>
      <c r="O54" s="631">
        <v>500</v>
      </c>
      <c r="P54" s="641" t="s">
        <v>79</v>
      </c>
      <c r="Q54" s="641" t="s">
        <v>80</v>
      </c>
      <c r="R54" s="641"/>
      <c r="S54" s="641"/>
      <c r="T54" s="642" t="s">
        <v>208</v>
      </c>
      <c r="U54" s="635" t="s">
        <v>209</v>
      </c>
      <c r="V54" s="296" t="s">
        <v>210</v>
      </c>
      <c r="W54" s="640" t="s">
        <v>210</v>
      </c>
      <c r="X54" s="636"/>
      <c r="Y54" s="636" t="s">
        <v>64</v>
      </c>
      <c r="Z54" s="637" t="s">
        <v>64</v>
      </c>
      <c r="AA54" s="636"/>
    </row>
    <row r="55" spans="1:27" ht="28.5">
      <c r="A55" s="258">
        <v>53</v>
      </c>
      <c r="B55" s="258"/>
      <c r="C55" s="258" t="s">
        <v>54</v>
      </c>
      <c r="D55" s="277" t="s">
        <v>211</v>
      </c>
      <c r="E55" s="258" t="str">
        <f>VLOOKUP(D55,Store_Info_VN!B:P,2,0)</f>
        <v>SMIGGLE LOTTE HA NOI DEPARTMENT</v>
      </c>
      <c r="F55" s="258" t="s">
        <v>56</v>
      </c>
      <c r="G55" s="258" t="str">
        <f>I55&amp;" "&amp;J55&amp;" "&amp;K55</f>
        <v>Monitor HP V193b</v>
      </c>
      <c r="H55" s="258">
        <v>1</v>
      </c>
      <c r="I55" s="258" t="s">
        <v>116</v>
      </c>
      <c r="J55" s="258" t="s">
        <v>58</v>
      </c>
      <c r="K55" s="258" t="s">
        <v>212</v>
      </c>
      <c r="M55" s="615" t="s">
        <v>213</v>
      </c>
      <c r="N55" s="277"/>
      <c r="O55" s="277"/>
      <c r="R55" s="258"/>
      <c r="S55" s="258"/>
      <c r="T55" s="278" t="s">
        <v>214</v>
      </c>
      <c r="U55" s="268" t="s">
        <v>215</v>
      </c>
      <c r="W55" s="277"/>
    </row>
    <row r="56" spans="1:27" ht="28.5">
      <c r="A56" s="258">
        <f>A55+1</f>
        <v>54</v>
      </c>
      <c r="B56" s="258"/>
      <c r="C56" s="258" t="s">
        <v>54</v>
      </c>
      <c r="D56" s="277" t="s">
        <v>211</v>
      </c>
      <c r="E56" s="258" t="str">
        <f>VLOOKUP(D56,Store_Info_VN!B:P,2,0)</f>
        <v>SMIGGLE LOTTE HA NOI DEPARTMENT</v>
      </c>
      <c r="F56" s="258" t="s">
        <v>56</v>
      </c>
      <c r="G56" s="258" t="str">
        <f>I56&amp;" "&amp;J56&amp;" "&amp;K56</f>
        <v>Bill Printer Epson TM-T82II</v>
      </c>
      <c r="H56" s="258">
        <v>1</v>
      </c>
      <c r="I56" s="258" t="s">
        <v>92</v>
      </c>
      <c r="J56" s="258" t="s">
        <v>93</v>
      </c>
      <c r="K56" s="258" t="s">
        <v>120</v>
      </c>
      <c r="M56" s="615" t="s">
        <v>216</v>
      </c>
      <c r="N56" s="277"/>
      <c r="O56" s="277"/>
      <c r="R56" s="258"/>
      <c r="S56" s="258"/>
      <c r="T56" s="278" t="s">
        <v>217</v>
      </c>
      <c r="U56" s="268" t="s">
        <v>215</v>
      </c>
      <c r="W56" s="277"/>
    </row>
    <row r="57" spans="1:27" ht="28.5">
      <c r="A57" s="258">
        <f>A56+1</f>
        <v>55</v>
      </c>
      <c r="B57" s="258"/>
      <c r="C57" s="258" t="s">
        <v>54</v>
      </c>
      <c r="D57" s="277" t="s">
        <v>211</v>
      </c>
      <c r="E57" s="258" t="str">
        <f>VLOOKUP(D57,Store_Info_VN!B:P,2,0)</f>
        <v>SMIGGLE LOTTE HA NOI DEPARTMENT</v>
      </c>
      <c r="F57" s="258" t="s">
        <v>56</v>
      </c>
      <c r="G57" s="258" t="str">
        <f>I57&amp;" "&amp;J57&amp;" "&amp;K57</f>
        <v>Scanner Datalogic QW2100</v>
      </c>
      <c r="H57" s="258">
        <v>1</v>
      </c>
      <c r="I57" s="258" t="s">
        <v>96</v>
      </c>
      <c r="J57" s="258" t="s">
        <v>97</v>
      </c>
      <c r="K57" s="258" t="s">
        <v>98</v>
      </c>
      <c r="M57" s="615" t="s">
        <v>218</v>
      </c>
      <c r="N57" s="277"/>
      <c r="O57" s="277"/>
      <c r="R57" s="258"/>
      <c r="S57" s="258"/>
      <c r="T57" s="278" t="s">
        <v>219</v>
      </c>
      <c r="U57" s="268" t="s">
        <v>215</v>
      </c>
      <c r="W57" s="277"/>
    </row>
    <row r="58" spans="1:27" s="257" customFormat="1" hidden="1">
      <c r="A58" s="290">
        <f>A57+1</f>
        <v>56</v>
      </c>
      <c r="B58" s="290"/>
      <c r="C58" s="300"/>
      <c r="D58" s="556"/>
      <c r="E58" s="300"/>
      <c r="F58" s="300"/>
      <c r="G58" s="297" t="str">
        <f>I58&amp;" "&amp;J58&amp;" "&amp;K58</f>
        <v>Pole Display Topcash AL-CD1</v>
      </c>
      <c r="H58" s="297">
        <v>1</v>
      </c>
      <c r="I58" s="306" t="s">
        <v>125</v>
      </c>
      <c r="J58" s="261" t="s">
        <v>154</v>
      </c>
      <c r="K58" s="261" t="s">
        <v>155</v>
      </c>
      <c r="L58" s="261"/>
      <c r="M58" s="299" t="s">
        <v>220</v>
      </c>
      <c r="N58" s="294"/>
      <c r="O58" s="294"/>
      <c r="P58" s="295"/>
      <c r="Q58" s="274"/>
      <c r="R58" s="274"/>
      <c r="S58" s="274"/>
      <c r="T58" s="645" t="s">
        <v>221</v>
      </c>
      <c r="U58" s="291" t="s">
        <v>215</v>
      </c>
      <c r="V58" s="261"/>
      <c r="W58" s="292"/>
      <c r="X58" s="293"/>
      <c r="Y58" s="638"/>
      <c r="Z58" s="639"/>
      <c r="AA58" s="293"/>
    </row>
    <row r="59" spans="1:27" s="257" customFormat="1" hidden="1">
      <c r="A59" s="281">
        <f>A58+1</f>
        <v>57</v>
      </c>
      <c r="B59" s="281"/>
      <c r="C59" s="555"/>
      <c r="D59" s="623"/>
      <c r="E59" s="555"/>
      <c r="F59" s="624"/>
      <c r="G59" s="282" t="str">
        <f>I59&amp;" "&amp;J59&amp;" "&amp;K59</f>
        <v>Cash Drawer Poscom 410</v>
      </c>
      <c r="H59" s="282">
        <v>1</v>
      </c>
      <c r="I59" s="275" t="s">
        <v>159</v>
      </c>
      <c r="J59" s="279" t="s">
        <v>160</v>
      </c>
      <c r="K59" s="279">
        <v>410</v>
      </c>
      <c r="L59" s="279"/>
      <c r="M59" s="283"/>
      <c r="N59" s="307"/>
      <c r="O59" s="307"/>
      <c r="P59" s="310"/>
      <c r="Q59" s="301"/>
      <c r="R59" s="301"/>
      <c r="S59" s="301"/>
      <c r="T59" s="625" t="s">
        <v>221</v>
      </c>
      <c r="U59" s="286" t="s">
        <v>215</v>
      </c>
      <c r="V59" s="279"/>
      <c r="W59" s="287"/>
      <c r="X59" s="284"/>
      <c r="Y59" s="312"/>
      <c r="Z59" s="313"/>
      <c r="AA59" s="284"/>
    </row>
    <row r="60" spans="1:27" ht="14.25">
      <c r="A60" s="258">
        <v>38</v>
      </c>
      <c r="B60" s="258" t="s">
        <v>222</v>
      </c>
      <c r="C60" s="258" t="s">
        <v>54</v>
      </c>
      <c r="D60" s="277" t="s">
        <v>223</v>
      </c>
      <c r="E60" s="258" t="str">
        <f>VLOOKUP(D60,Store_Info_VN!B:P,2,0)</f>
        <v>CHAMPION CRESCENT MALL</v>
      </c>
      <c r="F60" s="258" t="s">
        <v>56</v>
      </c>
      <c r="G60" s="258" t="str">
        <f>I60&amp;" "&amp;J60&amp;" "&amp;K60</f>
        <v>Desktop HP ProDesk 400 G3 DM</v>
      </c>
      <c r="H60" s="258">
        <v>1</v>
      </c>
      <c r="I60" s="258" t="s">
        <v>57</v>
      </c>
      <c r="J60" s="258" t="s">
        <v>58</v>
      </c>
      <c r="K60" s="258" t="s">
        <v>69</v>
      </c>
      <c r="M60" s="615" t="s">
        <v>224</v>
      </c>
      <c r="N60" s="277">
        <v>8</v>
      </c>
      <c r="O60" s="277">
        <v>500</v>
      </c>
      <c r="P60" s="258" t="s">
        <v>61</v>
      </c>
      <c r="Q60" s="258" t="s">
        <v>80</v>
      </c>
      <c r="R60" s="258"/>
      <c r="S60" s="258"/>
      <c r="V60" s="258" t="s">
        <v>225</v>
      </c>
      <c r="W60" s="277" t="s">
        <v>225</v>
      </c>
      <c r="Y60" s="271" t="s">
        <v>64</v>
      </c>
      <c r="Z60" s="271" t="s">
        <v>64</v>
      </c>
    </row>
    <row r="61" spans="1:27" ht="14.25">
      <c r="A61" s="258">
        <f>A60+1</f>
        <v>39</v>
      </c>
      <c r="B61" s="271"/>
      <c r="C61" s="258" t="s">
        <v>54</v>
      </c>
      <c r="D61" s="258" t="s">
        <v>226</v>
      </c>
      <c r="E61" s="258" t="str">
        <f>VLOOKUP(D61,Store_Info_VN!B:P,2,0)</f>
        <v>NEW ERA AEON HA DONG</v>
      </c>
      <c r="F61" s="258" t="s">
        <v>56</v>
      </c>
      <c r="G61" s="258" t="str">
        <f>I61&amp;" "&amp;J61&amp;" "&amp;K61</f>
        <v>Bill Printer Epson TM-T82III</v>
      </c>
      <c r="H61" s="258">
        <v>1</v>
      </c>
      <c r="I61" s="258" t="s">
        <v>92</v>
      </c>
      <c r="J61" s="258" t="s">
        <v>93</v>
      </c>
      <c r="K61" s="258" t="s">
        <v>94</v>
      </c>
      <c r="M61" s="304" t="s">
        <v>227</v>
      </c>
      <c r="W61" s="277"/>
    </row>
    <row r="62" spans="1:27" ht="14.25">
      <c r="A62" s="258">
        <f>A61+1</f>
        <v>40</v>
      </c>
      <c r="B62" s="271"/>
      <c r="C62" s="258" t="s">
        <v>54</v>
      </c>
      <c r="D62" s="258" t="s">
        <v>226</v>
      </c>
      <c r="E62" s="258" t="str">
        <f>VLOOKUP(D62,Store_Info_VN!B:P,2,0)</f>
        <v>NEW ERA AEON HA DONG</v>
      </c>
      <c r="F62" s="258" t="s">
        <v>56</v>
      </c>
      <c r="G62" s="258" t="str">
        <f>I62&amp;" "&amp;J62&amp;" "&amp;K62</f>
        <v xml:space="preserve">Monitor Dell </v>
      </c>
      <c r="H62" s="258">
        <v>1</v>
      </c>
      <c r="I62" s="258" t="s">
        <v>116</v>
      </c>
      <c r="J62" s="258" t="s">
        <v>133</v>
      </c>
      <c r="M62" s="304" t="s">
        <v>228</v>
      </c>
      <c r="W62" s="277"/>
    </row>
    <row r="63" spans="1:27" ht="14.25">
      <c r="A63" s="258">
        <f>A62+1</f>
        <v>41</v>
      </c>
      <c r="B63" s="271"/>
      <c r="C63" s="258" t="s">
        <v>54</v>
      </c>
      <c r="D63" s="258" t="s">
        <v>226</v>
      </c>
      <c r="E63" s="258" t="str">
        <f>VLOOKUP(D63,Store_Info_VN!B:P,2,0)</f>
        <v>NEW ERA AEON HA DONG</v>
      </c>
      <c r="F63" s="258" t="s">
        <v>56</v>
      </c>
      <c r="G63" s="258" t="str">
        <f>I63&amp;" "&amp;J63&amp;" "&amp;K63</f>
        <v>Scanner Datalogic QW2100</v>
      </c>
      <c r="H63" s="258">
        <v>1</v>
      </c>
      <c r="I63" s="258" t="s">
        <v>96</v>
      </c>
      <c r="J63" s="258" t="s">
        <v>97</v>
      </c>
      <c r="K63" s="258" t="s">
        <v>98</v>
      </c>
      <c r="M63" s="304" t="s">
        <v>229</v>
      </c>
      <c r="W63" s="277"/>
    </row>
    <row r="64" spans="1:27" ht="14.25">
      <c r="A64" s="258">
        <f>A63+1</f>
        <v>42</v>
      </c>
      <c r="B64" s="271"/>
      <c r="C64" s="258" t="s">
        <v>54</v>
      </c>
      <c r="D64" s="258" t="s">
        <v>226</v>
      </c>
      <c r="E64" s="258" t="str">
        <f>VLOOKUP(D64,Store_Info_VN!B:P,2,0)</f>
        <v>NEW ERA AEON HA DONG</v>
      </c>
      <c r="F64" s="258" t="s">
        <v>56</v>
      </c>
      <c r="G64" s="258" t="str">
        <f>I64&amp;" "&amp;J64&amp;" "&amp;K64</f>
        <v>Cash Drawer Maken MK410</v>
      </c>
      <c r="H64" s="258">
        <v>1</v>
      </c>
      <c r="I64" s="258" t="s">
        <v>159</v>
      </c>
      <c r="J64" s="258" t="s">
        <v>230</v>
      </c>
      <c r="K64" s="258" t="s">
        <v>231</v>
      </c>
      <c r="M64" s="304" t="s">
        <v>232</v>
      </c>
      <c r="W64" s="277"/>
    </row>
    <row r="65" spans="1:26" ht="14.25">
      <c r="A65" s="258">
        <f>A64+1</f>
        <v>43</v>
      </c>
      <c r="B65" s="271"/>
      <c r="C65" s="258" t="s">
        <v>54</v>
      </c>
      <c r="D65" s="258" t="s">
        <v>226</v>
      </c>
      <c r="E65" s="258" t="str">
        <f>VLOOKUP(D65,Store_Info_VN!B:P,2,0)</f>
        <v>NEW ERA AEON HA DONG</v>
      </c>
      <c r="F65" s="258" t="s">
        <v>56</v>
      </c>
      <c r="G65" s="258" t="str">
        <f>I65&amp;" "&amp;J65&amp;" "&amp;K65</f>
        <v>Pole Display  VFD220U</v>
      </c>
      <c r="H65" s="258">
        <v>1</v>
      </c>
      <c r="I65" s="258" t="s">
        <v>125</v>
      </c>
      <c r="K65" s="258" t="s">
        <v>198</v>
      </c>
      <c r="M65" s="304" t="s">
        <v>233</v>
      </c>
      <c r="W65" s="277"/>
    </row>
    <row r="66" spans="1:26" ht="14.25">
      <c r="A66" s="258">
        <f>A65+1</f>
        <v>44</v>
      </c>
      <c r="B66" s="271"/>
      <c r="C66" s="258" t="s">
        <v>54</v>
      </c>
      <c r="D66" s="258" t="s">
        <v>226</v>
      </c>
      <c r="E66" s="258" t="str">
        <f>VLOOKUP(D66,Store_Info_VN!B:P,2,0)</f>
        <v>NEW ERA AEON HA DONG</v>
      </c>
      <c r="F66" s="258" t="s">
        <v>56</v>
      </c>
      <c r="G66" s="258" t="str">
        <f>I66&amp;" "&amp;J66&amp;" "&amp;K66</f>
        <v xml:space="preserve">Network Switch Mercusys </v>
      </c>
      <c r="H66" s="258">
        <v>1</v>
      </c>
      <c r="I66" s="258" t="s">
        <v>172</v>
      </c>
      <c r="J66" s="258" t="s">
        <v>173</v>
      </c>
      <c r="L66" s="258" t="s">
        <v>174</v>
      </c>
      <c r="T66" s="278" t="s">
        <v>234</v>
      </c>
      <c r="W66" s="277"/>
    </row>
    <row r="67" spans="1:26" ht="14.25">
      <c r="A67" s="258">
        <v>44</v>
      </c>
      <c r="B67" s="258" t="s">
        <v>235</v>
      </c>
      <c r="C67" s="258" t="s">
        <v>54</v>
      </c>
      <c r="D67" s="277" t="s">
        <v>194</v>
      </c>
      <c r="E67" s="258" t="str">
        <f>VLOOKUP(D67,Store_Info_VN!B:P,2,0)</f>
        <v>CHAMPION AEON LONG BIEN</v>
      </c>
      <c r="F67" s="258" t="s">
        <v>56</v>
      </c>
      <c r="G67" s="258" t="str">
        <f>I67&amp;" "&amp;J67&amp;" "&amp;K67</f>
        <v>Desktop HP HP 280 G3 MT</v>
      </c>
      <c r="H67" s="258">
        <v>1</v>
      </c>
      <c r="I67" s="258" t="s">
        <v>57</v>
      </c>
      <c r="J67" s="258" t="s">
        <v>58</v>
      </c>
      <c r="K67" s="258" t="s">
        <v>236</v>
      </c>
      <c r="M67" s="615" t="s">
        <v>237</v>
      </c>
      <c r="N67" s="277">
        <v>8</v>
      </c>
      <c r="O67" s="277">
        <v>1024</v>
      </c>
      <c r="P67" s="258" t="s">
        <v>61</v>
      </c>
      <c r="Q67" s="258" t="s">
        <v>238</v>
      </c>
      <c r="R67" s="258"/>
      <c r="S67" s="258"/>
      <c r="V67" s="258" t="s">
        <v>239</v>
      </c>
      <c r="W67" s="277" t="s">
        <v>239</v>
      </c>
      <c r="Y67" s="271" t="s">
        <v>64</v>
      </c>
      <c r="Z67" s="271" t="s">
        <v>64</v>
      </c>
    </row>
    <row r="68" spans="1:26" ht="14.25">
      <c r="A68" s="258">
        <f>A67+1</f>
        <v>45</v>
      </c>
      <c r="B68" s="258"/>
      <c r="C68" s="258" t="s">
        <v>54</v>
      </c>
      <c r="D68" s="277" t="s">
        <v>240</v>
      </c>
      <c r="E68" s="258" t="str">
        <f>VLOOKUP(D68,Store_Info_VN!B:P,2,0)</f>
        <v>NEW ERA AEON LONG BIEN</v>
      </c>
      <c r="F68" s="258" t="s">
        <v>56</v>
      </c>
      <c r="G68" s="258" t="str">
        <f>I68&amp;" "&amp;J68&amp;" "&amp;K68</f>
        <v>Monitor HP V190</v>
      </c>
      <c r="H68" s="258">
        <v>1</v>
      </c>
      <c r="I68" s="258" t="s">
        <v>116</v>
      </c>
      <c r="J68" s="258" t="s">
        <v>58</v>
      </c>
      <c r="K68" s="258" t="s">
        <v>117</v>
      </c>
      <c r="M68" s="615" t="s">
        <v>241</v>
      </c>
      <c r="N68" s="277"/>
      <c r="O68" s="277"/>
      <c r="R68" s="258"/>
      <c r="S68" s="258"/>
      <c r="W68" s="277"/>
    </row>
    <row r="69" spans="1:26" ht="14.25">
      <c r="A69" s="258">
        <f>A68+1</f>
        <v>46</v>
      </c>
      <c r="B69" s="258"/>
      <c r="C69" s="258" t="s">
        <v>54</v>
      </c>
      <c r="D69" s="277" t="s">
        <v>240</v>
      </c>
      <c r="E69" s="258" t="str">
        <f>VLOOKUP(D69,Store_Info_VN!B:P,2,0)</f>
        <v>NEW ERA AEON LONG BIEN</v>
      </c>
      <c r="F69" s="258" t="s">
        <v>56</v>
      </c>
      <c r="G69" s="258" t="str">
        <f>I69&amp;" "&amp;J69&amp;" "&amp;K69</f>
        <v>Bill Printer Epson TM-T82III</v>
      </c>
      <c r="H69" s="258">
        <v>1</v>
      </c>
      <c r="I69" s="258" t="s">
        <v>92</v>
      </c>
      <c r="J69" s="258" t="s">
        <v>93</v>
      </c>
      <c r="K69" s="258" t="s">
        <v>94</v>
      </c>
      <c r="M69" s="615" t="s">
        <v>242</v>
      </c>
      <c r="N69" s="277"/>
      <c r="O69" s="277"/>
      <c r="R69" s="258"/>
      <c r="S69" s="258"/>
      <c r="W69" s="277"/>
    </row>
    <row r="70" spans="1:26" ht="14.25">
      <c r="A70" s="258">
        <f>A69+1</f>
        <v>47</v>
      </c>
      <c r="B70" s="258"/>
      <c r="C70" s="258" t="s">
        <v>54</v>
      </c>
      <c r="D70" s="277" t="s">
        <v>240</v>
      </c>
      <c r="E70" s="258" t="str">
        <f>VLOOKUP(D70,Store_Info_VN!B:P,2,0)</f>
        <v>NEW ERA AEON LONG BIEN</v>
      </c>
      <c r="F70" s="258" t="s">
        <v>56</v>
      </c>
      <c r="G70" s="258" t="str">
        <f>I70&amp;" "&amp;J70&amp;" "&amp;K70</f>
        <v>Scanner Datalogic QW2100</v>
      </c>
      <c r="H70" s="258">
        <v>1</v>
      </c>
      <c r="I70" s="258" t="s">
        <v>96</v>
      </c>
      <c r="J70" s="258" t="s">
        <v>97</v>
      </c>
      <c r="K70" s="258" t="s">
        <v>98</v>
      </c>
      <c r="M70" s="615" t="s">
        <v>243</v>
      </c>
      <c r="N70" s="277"/>
      <c r="O70" s="277"/>
      <c r="R70" s="258"/>
      <c r="S70" s="258"/>
      <c r="W70" s="277"/>
    </row>
    <row r="71" spans="1:26" ht="14.25">
      <c r="A71" s="258">
        <f>A70+1</f>
        <v>48</v>
      </c>
      <c r="B71" s="258"/>
      <c r="C71" s="258" t="s">
        <v>54</v>
      </c>
      <c r="D71" s="277" t="s">
        <v>240</v>
      </c>
      <c r="E71" s="258" t="str">
        <f>VLOOKUP(D71,Store_Info_VN!B:P,2,0)</f>
        <v>NEW ERA AEON LONG BIEN</v>
      </c>
      <c r="F71" s="258" t="s">
        <v>56</v>
      </c>
      <c r="G71" s="258" t="str">
        <f>I71&amp;" "&amp;J71&amp;" "&amp;K71</f>
        <v>Pole Display  VFD220U</v>
      </c>
      <c r="H71" s="258">
        <v>1</v>
      </c>
      <c r="I71" s="258" t="s">
        <v>125</v>
      </c>
      <c r="K71" s="258" t="s">
        <v>198</v>
      </c>
      <c r="M71" s="615" t="s">
        <v>244</v>
      </c>
      <c r="N71" s="277"/>
      <c r="O71" s="277"/>
      <c r="R71" s="258"/>
      <c r="S71" s="258"/>
      <c r="W71" s="277"/>
    </row>
    <row r="72" spans="1:26" ht="14.25">
      <c r="A72" s="258">
        <f>A71+1</f>
        <v>49</v>
      </c>
      <c r="B72" s="258"/>
      <c r="C72" s="258" t="s">
        <v>54</v>
      </c>
      <c r="D72" s="277" t="s">
        <v>240</v>
      </c>
      <c r="E72" s="258" t="str">
        <f>VLOOKUP(D72,Store_Info_VN!B:P,2,0)</f>
        <v>NEW ERA AEON LONG BIEN</v>
      </c>
      <c r="F72" s="258" t="s">
        <v>56</v>
      </c>
      <c r="G72" s="258" t="str">
        <f>I72&amp;" "&amp;J72&amp;" "&amp;K72</f>
        <v xml:space="preserve">Cash Drawer Antech </v>
      </c>
      <c r="H72" s="258">
        <v>1</v>
      </c>
      <c r="I72" s="258" t="s">
        <v>159</v>
      </c>
      <c r="J72" s="258" t="s">
        <v>200</v>
      </c>
      <c r="M72" s="615" t="s">
        <v>245</v>
      </c>
      <c r="N72" s="277"/>
      <c r="O72" s="277"/>
      <c r="R72" s="258"/>
      <c r="S72" s="258"/>
      <c r="W72" s="277"/>
    </row>
    <row r="73" spans="1:26" ht="14.25">
      <c r="A73" s="258">
        <f>A72+1</f>
        <v>50</v>
      </c>
      <c r="B73" s="258"/>
      <c r="C73" s="258" t="s">
        <v>54</v>
      </c>
      <c r="D73" s="277" t="s">
        <v>240</v>
      </c>
      <c r="E73" s="258" t="str">
        <f>VLOOKUP(D73,Store_Info_VN!B:P,2,0)</f>
        <v>NEW ERA AEON LONG BIEN</v>
      </c>
      <c r="F73" s="258" t="s">
        <v>56</v>
      </c>
      <c r="G73" s="258" t="str">
        <f>I73&amp;" "&amp;J73&amp;" "&amp;K73</f>
        <v xml:space="preserve">Network Switch Mercusys </v>
      </c>
      <c r="H73" s="258">
        <v>1</v>
      </c>
      <c r="I73" s="258" t="s">
        <v>172</v>
      </c>
      <c r="J73" s="258" t="s">
        <v>173</v>
      </c>
      <c r="L73" s="258" t="s">
        <v>174</v>
      </c>
      <c r="M73" s="615" t="s">
        <v>246</v>
      </c>
      <c r="N73" s="277"/>
      <c r="O73" s="277"/>
      <c r="R73" s="258"/>
      <c r="S73" s="258"/>
      <c r="W73" s="277"/>
    </row>
    <row r="74" spans="1:26" ht="28.5">
      <c r="A74" s="258">
        <f>A73+1</f>
        <v>51</v>
      </c>
      <c r="B74" s="258" t="s">
        <v>247</v>
      </c>
      <c r="C74" s="258" t="s">
        <v>54</v>
      </c>
      <c r="D74" s="277" t="s">
        <v>248</v>
      </c>
      <c r="E74" s="258" t="str">
        <f>VLOOKUP(D74,Store_Info_VN!B:P,2,0)</f>
        <v>NEW ERA DIAMOND PLAZA</v>
      </c>
      <c r="F74" s="258" t="s">
        <v>56</v>
      </c>
      <c r="G74" s="258" t="str">
        <f>I74&amp;" "&amp;J74&amp;" "&amp;K74</f>
        <v>Laptop HP ProBook 440 G9</v>
      </c>
      <c r="H74" s="258">
        <v>1</v>
      </c>
      <c r="I74" s="258" t="s">
        <v>86</v>
      </c>
      <c r="J74" s="258" t="s">
        <v>58</v>
      </c>
      <c r="K74" s="258" t="s">
        <v>249</v>
      </c>
      <c r="M74" s="615" t="s">
        <v>250</v>
      </c>
      <c r="N74" s="277">
        <v>16</v>
      </c>
      <c r="O74" s="277">
        <v>487757</v>
      </c>
      <c r="P74" s="258" t="s">
        <v>79</v>
      </c>
      <c r="Q74" s="258" t="s">
        <v>89</v>
      </c>
      <c r="R74" s="258"/>
      <c r="S74" s="258"/>
      <c r="V74" s="258" t="s">
        <v>251</v>
      </c>
      <c r="W74" s="277" t="s">
        <v>251</v>
      </c>
      <c r="Y74" s="271" t="s">
        <v>64</v>
      </c>
      <c r="Z74" s="271" t="s">
        <v>64</v>
      </c>
    </row>
    <row r="75" spans="1:26" ht="28.5" hidden="1">
      <c r="A75" s="259">
        <v>52</v>
      </c>
      <c r="B75" s="259" t="s">
        <v>252</v>
      </c>
      <c r="C75" s="259" t="s">
        <v>253</v>
      </c>
      <c r="D75" s="277" t="s">
        <v>254</v>
      </c>
      <c r="E75" s="258" t="str">
        <f>VLOOKUP(D75,Store_Info_VN!B:P,2,0)</f>
        <v>BIRKEN DIAMOND PLAZA</v>
      </c>
      <c r="F75" s="258" t="s">
        <v>56</v>
      </c>
      <c r="G75" s="258" t="str">
        <f>I75&amp;" "&amp;J75&amp;" "&amp;K75</f>
        <v>Desktop HP HP ProDesk 400 G3 DM</v>
      </c>
      <c r="H75" s="258">
        <v>1</v>
      </c>
      <c r="I75" s="258" t="s">
        <v>57</v>
      </c>
      <c r="J75" s="258" t="s">
        <v>58</v>
      </c>
      <c r="K75" s="258" t="s">
        <v>68</v>
      </c>
      <c r="M75" s="288" t="s">
        <v>255</v>
      </c>
      <c r="N75" s="277">
        <v>8</v>
      </c>
      <c r="O75" s="277">
        <v>500</v>
      </c>
      <c r="P75" s="259" t="s">
        <v>61</v>
      </c>
      <c r="Q75" s="258" t="s">
        <v>80</v>
      </c>
      <c r="R75" s="258"/>
      <c r="S75" s="258"/>
      <c r="T75" s="278" t="s">
        <v>256</v>
      </c>
      <c r="U75" s="268" t="s">
        <v>257</v>
      </c>
      <c r="V75" s="258" t="s">
        <v>258</v>
      </c>
      <c r="W75" s="277" t="s">
        <v>258</v>
      </c>
      <c r="Y75" s="273" t="s">
        <v>64</v>
      </c>
      <c r="Z75" s="273" t="s">
        <v>64</v>
      </c>
    </row>
    <row r="76" spans="1:26" ht="42">
      <c r="A76" s="258">
        <f>A75+1</f>
        <v>53</v>
      </c>
      <c r="B76" s="258"/>
      <c r="C76" s="258" t="s">
        <v>54</v>
      </c>
      <c r="D76" s="277" t="s">
        <v>259</v>
      </c>
      <c r="E76" s="258" t="str">
        <f>VLOOKUP(D76,Store_Info_VN!B:P,2,0)</f>
        <v>BIRKENSTOCK VINCOM DONG KHOI</v>
      </c>
      <c r="F76" s="258" t="s">
        <v>56</v>
      </c>
      <c r="G76" s="258" t="str">
        <f>I76&amp;" "&amp;J76&amp;" "&amp;K76</f>
        <v>Monitor HP V190</v>
      </c>
      <c r="H76" s="258">
        <v>1</v>
      </c>
      <c r="I76" s="258" t="s">
        <v>116</v>
      </c>
      <c r="J76" s="258" t="s">
        <v>58</v>
      </c>
      <c r="K76" s="258" t="s">
        <v>117</v>
      </c>
      <c r="M76" s="615" t="s">
        <v>260</v>
      </c>
      <c r="N76" s="277"/>
      <c r="O76" s="277"/>
      <c r="R76" s="258"/>
      <c r="S76" s="258"/>
      <c r="U76" s="268" t="s">
        <v>261</v>
      </c>
      <c r="W76" s="277"/>
    </row>
    <row r="77" spans="1:26" ht="42">
      <c r="A77" s="258">
        <f>A76+1</f>
        <v>54</v>
      </c>
      <c r="B77" s="258"/>
      <c r="C77" s="258" t="s">
        <v>54</v>
      </c>
      <c r="D77" s="277" t="s">
        <v>259</v>
      </c>
      <c r="E77" s="258" t="str">
        <f>VLOOKUP(D77,Store_Info_VN!B:P,2,0)</f>
        <v>BIRKENSTOCK VINCOM DONG KHOI</v>
      </c>
      <c r="F77" s="258" t="s">
        <v>56</v>
      </c>
      <c r="G77" s="258" t="str">
        <f>I77&amp;" "&amp;J77&amp;" "&amp;K77</f>
        <v>Bill Printer Epson TM-T82II</v>
      </c>
      <c r="H77" s="258">
        <v>1</v>
      </c>
      <c r="I77" s="258" t="s">
        <v>92</v>
      </c>
      <c r="J77" s="258" t="s">
        <v>93</v>
      </c>
      <c r="K77" s="258" t="s">
        <v>120</v>
      </c>
      <c r="M77" s="615" t="s">
        <v>262</v>
      </c>
      <c r="N77" s="277"/>
      <c r="O77" s="277"/>
      <c r="R77" s="258"/>
      <c r="S77" s="258"/>
      <c r="U77" s="268" t="s">
        <v>261</v>
      </c>
      <c r="W77" s="277"/>
    </row>
    <row r="78" spans="1:26" ht="42">
      <c r="A78" s="258">
        <f>A77+1</f>
        <v>55</v>
      </c>
      <c r="B78" s="258"/>
      <c r="C78" s="258" t="s">
        <v>54</v>
      </c>
      <c r="D78" s="277" t="s">
        <v>259</v>
      </c>
      <c r="E78" s="258" t="str">
        <f>VLOOKUP(D78,Store_Info_VN!B:P,2,0)</f>
        <v>BIRKENSTOCK VINCOM DONG KHOI</v>
      </c>
      <c r="F78" s="258" t="s">
        <v>56</v>
      </c>
      <c r="G78" s="258" t="str">
        <f>I78&amp;" "&amp;J78&amp;" "&amp;K78</f>
        <v>Scanner Datalogic QW2100</v>
      </c>
      <c r="H78" s="258">
        <v>1</v>
      </c>
      <c r="I78" s="258" t="s">
        <v>96</v>
      </c>
      <c r="J78" s="258" t="s">
        <v>97</v>
      </c>
      <c r="K78" s="258" t="s">
        <v>98</v>
      </c>
      <c r="M78" s="615" t="s">
        <v>263</v>
      </c>
      <c r="N78" s="277"/>
      <c r="O78" s="277"/>
      <c r="R78" s="258"/>
      <c r="S78" s="258"/>
      <c r="U78" s="268" t="s">
        <v>261</v>
      </c>
      <c r="W78" s="277"/>
    </row>
    <row r="79" spans="1:26" ht="42">
      <c r="A79" s="258">
        <f>A78+1</f>
        <v>56</v>
      </c>
      <c r="B79" s="258"/>
      <c r="C79" s="258" t="s">
        <v>54</v>
      </c>
      <c r="D79" s="277" t="s">
        <v>259</v>
      </c>
      <c r="E79" s="258" t="str">
        <f>VLOOKUP(D79,Store_Info_VN!B:P,2,0)</f>
        <v>BIRKENSTOCK VINCOM DONG KHOI</v>
      </c>
      <c r="F79" s="258" t="s">
        <v>56</v>
      </c>
      <c r="G79" s="258" t="str">
        <f>I79&amp;" "&amp;J79&amp;" "&amp;K79</f>
        <v>Pole Display HP LD220</v>
      </c>
      <c r="H79" s="258">
        <v>1</v>
      </c>
      <c r="I79" s="258" t="s">
        <v>125</v>
      </c>
      <c r="J79" s="258" t="s">
        <v>58</v>
      </c>
      <c r="K79" s="258" t="s">
        <v>126</v>
      </c>
      <c r="M79" s="615" t="s">
        <v>264</v>
      </c>
      <c r="N79" s="277"/>
      <c r="O79" s="277"/>
      <c r="R79" s="258"/>
      <c r="S79" s="258"/>
      <c r="U79" s="268" t="s">
        <v>261</v>
      </c>
      <c r="W79" s="277"/>
    </row>
    <row r="80" spans="1:26" ht="42">
      <c r="A80" s="258">
        <f>A79+1</f>
        <v>57</v>
      </c>
      <c r="B80" s="258"/>
      <c r="C80" s="258" t="s">
        <v>54</v>
      </c>
      <c r="D80" s="277" t="s">
        <v>259</v>
      </c>
      <c r="E80" s="258" t="str">
        <f>VLOOKUP(D80,Store_Info_VN!B:P,2,0)</f>
        <v>BIRKENSTOCK VINCOM DONG KHOI</v>
      </c>
      <c r="F80" s="258" t="s">
        <v>56</v>
      </c>
      <c r="G80" s="258" t="str">
        <f>I80&amp;" "&amp;J80&amp;" "&amp;K80</f>
        <v xml:space="preserve">Cash Drawer Antech </v>
      </c>
      <c r="H80" s="258">
        <v>1</v>
      </c>
      <c r="I80" s="258" t="s">
        <v>159</v>
      </c>
      <c r="J80" s="258" t="s">
        <v>200</v>
      </c>
      <c r="M80" s="615"/>
      <c r="N80" s="277"/>
      <c r="O80" s="277"/>
      <c r="R80" s="258"/>
      <c r="S80" s="258"/>
      <c r="U80" s="268" t="s">
        <v>261</v>
      </c>
      <c r="W80" s="277"/>
    </row>
    <row r="81" spans="1:27" ht="42">
      <c r="A81" s="258">
        <f>A80+1</f>
        <v>58</v>
      </c>
      <c r="B81" s="258"/>
      <c r="C81" s="258" t="s">
        <v>54</v>
      </c>
      <c r="D81" s="277" t="s">
        <v>259</v>
      </c>
      <c r="E81" s="258" t="str">
        <f>VLOOKUP(D81,Store_Info_VN!B:P,2,0)</f>
        <v>BIRKENSTOCK VINCOM DONG KHOI</v>
      </c>
      <c r="F81" s="258" t="s">
        <v>56</v>
      </c>
      <c r="G81" s="258" t="str">
        <f>I81&amp;" "&amp;J81&amp;" "&amp;K81</f>
        <v xml:space="preserve">Network Switch D-Link </v>
      </c>
      <c r="H81" s="258">
        <v>1</v>
      </c>
      <c r="I81" s="258" t="s">
        <v>172</v>
      </c>
      <c r="J81" s="258" t="s">
        <v>265</v>
      </c>
      <c r="L81" s="258" t="s">
        <v>266</v>
      </c>
      <c r="M81" s="615"/>
      <c r="N81" s="277"/>
      <c r="O81" s="277"/>
      <c r="R81" s="258"/>
      <c r="S81" s="258"/>
      <c r="U81" s="268" t="s">
        <v>261</v>
      </c>
      <c r="W81" s="277"/>
    </row>
    <row r="82" spans="1:27" ht="42">
      <c r="A82" s="258">
        <f>A81+1</f>
        <v>59</v>
      </c>
      <c r="B82" s="258"/>
      <c r="C82" s="258" t="s">
        <v>54</v>
      </c>
      <c r="D82" s="277" t="s">
        <v>259</v>
      </c>
      <c r="E82" s="258" t="str">
        <f>VLOOKUP(D82,Store_Info_VN!B:P,2,0)</f>
        <v>BIRKENSTOCK VINCOM DONG KHOI</v>
      </c>
      <c r="F82" s="258" t="s">
        <v>56</v>
      </c>
      <c r="G82" s="258" t="str">
        <f>I82&amp;" "&amp;J82&amp;" "&amp;K82</f>
        <v xml:space="preserve">Network Switch Mercusys </v>
      </c>
      <c r="H82" s="258">
        <v>1</v>
      </c>
      <c r="I82" s="258" t="s">
        <v>172</v>
      </c>
      <c r="J82" s="258" t="s">
        <v>173</v>
      </c>
      <c r="L82" s="258" t="s">
        <v>174</v>
      </c>
      <c r="M82" s="615" t="s">
        <v>267</v>
      </c>
      <c r="N82" s="277"/>
      <c r="O82" s="277"/>
      <c r="R82" s="258"/>
      <c r="S82" s="258"/>
      <c r="U82" s="268" t="s">
        <v>261</v>
      </c>
      <c r="W82" s="277"/>
    </row>
    <row r="83" spans="1:27" ht="42">
      <c r="A83" s="258">
        <f>A82+1</f>
        <v>60</v>
      </c>
      <c r="B83" s="258"/>
      <c r="C83" s="258" t="s">
        <v>54</v>
      </c>
      <c r="D83" s="277" t="s">
        <v>259</v>
      </c>
      <c r="E83" s="258" t="str">
        <f>VLOOKUP(D83,Store_Info_VN!B:P,2,0)</f>
        <v>BIRKENSTOCK VINCOM DONG KHOI</v>
      </c>
      <c r="F83" s="258" t="s">
        <v>56</v>
      </c>
      <c r="G83" s="258" t="str">
        <f>I83&amp;" "&amp;J83&amp;" "&amp;K83</f>
        <v>A4 Printer HP LaserJet</v>
      </c>
      <c r="H83" s="258">
        <v>1</v>
      </c>
      <c r="I83" s="258" t="s">
        <v>99</v>
      </c>
      <c r="J83" s="258" t="s">
        <v>58</v>
      </c>
      <c r="K83" s="258" t="s">
        <v>268</v>
      </c>
      <c r="M83" s="615" t="s">
        <v>269</v>
      </c>
      <c r="N83" s="277"/>
      <c r="O83" s="277"/>
      <c r="R83" s="258"/>
      <c r="S83" s="258"/>
      <c r="U83" s="268" t="s">
        <v>261</v>
      </c>
      <c r="W83" s="277"/>
    </row>
    <row r="84" spans="1:27" ht="42">
      <c r="A84" s="258">
        <f>A83+1</f>
        <v>61</v>
      </c>
      <c r="B84" s="258"/>
      <c r="C84" s="258" t="s">
        <v>54</v>
      </c>
      <c r="D84" s="258" t="s">
        <v>270</v>
      </c>
      <c r="E84" s="258" t="s">
        <v>270</v>
      </c>
      <c r="F84" s="258"/>
      <c r="G84" s="258" t="str">
        <f>I84&amp;" "&amp;J84&amp;" "&amp;K84</f>
        <v>Music Box  MEDIA BOSE</v>
      </c>
      <c r="H84" s="258">
        <v>1</v>
      </c>
      <c r="I84" s="258" t="s">
        <v>271</v>
      </c>
      <c r="K84" s="258" t="s">
        <v>272</v>
      </c>
      <c r="M84" s="615"/>
      <c r="N84" s="277"/>
      <c r="O84" s="277"/>
      <c r="R84" s="258"/>
      <c r="S84" s="258"/>
      <c r="U84" s="268" t="s">
        <v>261</v>
      </c>
      <c r="W84" s="277"/>
    </row>
    <row r="85" spans="1:27" ht="42">
      <c r="A85" s="258">
        <f>A84+1</f>
        <v>62</v>
      </c>
      <c r="B85" s="258"/>
      <c r="C85" s="258" t="s">
        <v>54</v>
      </c>
      <c r="D85" s="277" t="s">
        <v>259</v>
      </c>
      <c r="E85" s="258" t="str">
        <f>VLOOKUP(D85,Store_Info_VN!B:P,2,0)</f>
        <v>BIRKENSTOCK VINCOM DONG KHOI</v>
      </c>
      <c r="F85" s="258" t="s">
        <v>56</v>
      </c>
      <c r="G85" s="258" t="str">
        <f>I85&amp;" "&amp;J85&amp;" "&amp;K85</f>
        <v xml:space="preserve">USB Hub Orico </v>
      </c>
      <c r="H85" s="258">
        <v>1</v>
      </c>
      <c r="I85" s="258" t="s">
        <v>273</v>
      </c>
      <c r="J85" s="258" t="s">
        <v>274</v>
      </c>
      <c r="M85" s="615"/>
      <c r="N85" s="277"/>
      <c r="O85" s="277"/>
      <c r="R85" s="258"/>
      <c r="S85" s="258"/>
      <c r="U85" s="268" t="s">
        <v>261</v>
      </c>
      <c r="W85" s="277"/>
    </row>
    <row r="86" spans="1:27" ht="42">
      <c r="A86" s="258">
        <f>A85+1</f>
        <v>63</v>
      </c>
      <c r="B86" s="258"/>
      <c r="C86" s="258" t="s">
        <v>54</v>
      </c>
      <c r="D86" s="277" t="s">
        <v>259</v>
      </c>
      <c r="E86" s="258" t="str">
        <f>VLOOKUP(D86,Store_Info_VN!B:P,2,0)</f>
        <v>BIRKENSTOCK VINCOM DONG KHOI</v>
      </c>
      <c r="F86" s="258" t="s">
        <v>56</v>
      </c>
      <c r="G86" s="258" t="str">
        <f>I86&amp;" - "&amp;J86&amp;" "&amp;K86</f>
        <v>Other -  Patch Panel</v>
      </c>
      <c r="H86" s="258">
        <v>1</v>
      </c>
      <c r="I86" s="258" t="s">
        <v>275</v>
      </c>
      <c r="K86" s="258" t="s">
        <v>276</v>
      </c>
      <c r="M86" s="615"/>
      <c r="N86" s="277"/>
      <c r="O86" s="277"/>
      <c r="R86" s="258"/>
      <c r="S86" s="258"/>
      <c r="U86" s="268" t="s">
        <v>261</v>
      </c>
      <c r="W86" s="277"/>
    </row>
    <row r="87" spans="1:27" ht="14.25">
      <c r="A87" s="258">
        <f>A86+1</f>
        <v>64</v>
      </c>
      <c r="B87" s="258" t="s">
        <v>277</v>
      </c>
      <c r="C87" s="258" t="s">
        <v>54</v>
      </c>
      <c r="D87" s="277" t="s">
        <v>278</v>
      </c>
      <c r="E87" s="258" t="str">
        <f>VLOOKUP(D87,Store_Info_VN!B:P,2,0)</f>
        <v>SMIGGLE ROBINS CRESCENT MALL</v>
      </c>
      <c r="F87" s="258" t="s">
        <v>56</v>
      </c>
      <c r="G87" s="258" t="str">
        <f>I87&amp;" "&amp;J87&amp;" "&amp;K87</f>
        <v>Laptop Lenovo Lenovo 81FV</v>
      </c>
      <c r="H87" s="258">
        <v>1</v>
      </c>
      <c r="I87" s="258" t="s">
        <v>86</v>
      </c>
      <c r="J87" s="258" t="s">
        <v>279</v>
      </c>
      <c r="K87" s="258" t="s">
        <v>280</v>
      </c>
      <c r="M87" s="615" t="s">
        <v>281</v>
      </c>
      <c r="N87" s="277">
        <v>8</v>
      </c>
      <c r="O87" s="277">
        <v>1075228</v>
      </c>
      <c r="P87" s="258" t="s">
        <v>61</v>
      </c>
      <c r="Q87" s="258" t="s">
        <v>282</v>
      </c>
      <c r="R87" s="258"/>
      <c r="S87" s="258"/>
      <c r="V87" s="258" t="s">
        <v>283</v>
      </c>
      <c r="W87" s="277" t="s">
        <v>283</v>
      </c>
      <c r="Y87" s="271" t="s">
        <v>64</v>
      </c>
      <c r="Z87" s="271" t="s">
        <v>64</v>
      </c>
    </row>
    <row r="88" spans="1:27" ht="28.5">
      <c r="A88" s="279">
        <f>A87+1</f>
        <v>65</v>
      </c>
      <c r="B88" s="279" t="s">
        <v>284</v>
      </c>
      <c r="C88" s="279" t="s">
        <v>54</v>
      </c>
      <c r="D88" s="303" t="s">
        <v>226</v>
      </c>
      <c r="E88" s="279" t="str">
        <f>VLOOKUP(D88,Store_Info_VN!B:P,2,0)</f>
        <v>NEW ERA AEON HA DONG</v>
      </c>
      <c r="F88" s="279" t="s">
        <v>56</v>
      </c>
      <c r="G88" s="279" t="str">
        <f>I88&amp;" "&amp;J88&amp;" "&amp;K88</f>
        <v>Desktop HP HP ProDesk 400 G3 MT</v>
      </c>
      <c r="H88" s="279">
        <v>1</v>
      </c>
      <c r="I88" s="279" t="s">
        <v>57</v>
      </c>
      <c r="J88" s="279" t="s">
        <v>58</v>
      </c>
      <c r="K88" s="279" t="s">
        <v>285</v>
      </c>
      <c r="L88" s="279"/>
      <c r="M88" s="662" t="s">
        <v>286</v>
      </c>
      <c r="N88" s="303">
        <v>8</v>
      </c>
      <c r="O88" s="303">
        <v>500</v>
      </c>
      <c r="P88" s="279" t="s">
        <v>61</v>
      </c>
      <c r="Q88" s="279" t="s">
        <v>287</v>
      </c>
      <c r="R88" s="279"/>
      <c r="S88" s="279"/>
      <c r="T88" s="285"/>
      <c r="U88" s="286"/>
      <c r="V88" s="279" t="s">
        <v>288</v>
      </c>
      <c r="W88" s="303" t="s">
        <v>288</v>
      </c>
      <c r="X88" s="284"/>
      <c r="Y88" s="284" t="s">
        <v>64</v>
      </c>
      <c r="Z88" s="284" t="s">
        <v>64</v>
      </c>
      <c r="AA88" s="284"/>
    </row>
    <row r="89" spans="1:27" s="257" customFormat="1" ht="42" hidden="1">
      <c r="A89" s="259">
        <f>A88+1</f>
        <v>66</v>
      </c>
      <c r="B89" s="259" t="s">
        <v>289</v>
      </c>
      <c r="C89" s="259" t="s">
        <v>65</v>
      </c>
      <c r="D89" s="258" t="s">
        <v>290</v>
      </c>
      <c r="E89" s="258" t="s">
        <v>291</v>
      </c>
      <c r="F89" s="258" t="s">
        <v>56</v>
      </c>
      <c r="G89" s="652" t="str">
        <f>I89&amp;" "&amp;J89&amp;" "&amp;K89</f>
        <v>Laptop HP Dell Latitude 3520</v>
      </c>
      <c r="H89" s="258">
        <v>1</v>
      </c>
      <c r="I89" s="258" t="s">
        <v>86</v>
      </c>
      <c r="J89" s="258" t="s">
        <v>58</v>
      </c>
      <c r="K89" s="258" t="s">
        <v>292</v>
      </c>
      <c r="L89" s="258"/>
      <c r="M89" s="653" t="s">
        <v>293</v>
      </c>
      <c r="N89" s="277">
        <v>12</v>
      </c>
      <c r="O89" s="277">
        <v>476416</v>
      </c>
      <c r="P89" s="259" t="s">
        <v>79</v>
      </c>
      <c r="Q89" s="258" t="s">
        <v>294</v>
      </c>
      <c r="R89" s="258"/>
      <c r="S89" s="258"/>
      <c r="T89" s="654" t="s">
        <v>295</v>
      </c>
      <c r="U89" s="268"/>
      <c r="V89" s="258" t="s">
        <v>296</v>
      </c>
      <c r="W89" s="277" t="s">
        <v>296</v>
      </c>
      <c r="X89" s="271"/>
      <c r="Y89" s="273" t="s">
        <v>64</v>
      </c>
      <c r="Z89" s="273" t="s">
        <v>64</v>
      </c>
      <c r="AA89" s="271"/>
    </row>
    <row r="90" spans="1:27" s="257" customFormat="1" ht="26.25" hidden="1">
      <c r="A90" s="259">
        <f>A89+1</f>
        <v>67</v>
      </c>
      <c r="B90" s="259"/>
      <c r="C90" s="259" t="s">
        <v>65</v>
      </c>
      <c r="D90" s="258" t="s">
        <v>290</v>
      </c>
      <c r="E90" s="258" t="s">
        <v>291</v>
      </c>
      <c r="F90" s="258" t="s">
        <v>56</v>
      </c>
      <c r="G90" s="258" t="str">
        <f>I90&amp;" "&amp;J90&amp;" "&amp;K90</f>
        <v>Bill Printer Epson TM-T82III</v>
      </c>
      <c r="H90" s="258">
        <v>1</v>
      </c>
      <c r="I90" s="258" t="s">
        <v>92</v>
      </c>
      <c r="J90" s="258" t="s">
        <v>93</v>
      </c>
      <c r="K90" s="258" t="s">
        <v>94</v>
      </c>
      <c r="L90" s="258"/>
      <c r="M90" s="615" t="s">
        <v>297</v>
      </c>
      <c r="N90" s="277"/>
      <c r="O90" s="277"/>
      <c r="P90" s="259"/>
      <c r="Q90" s="258"/>
      <c r="R90" s="258"/>
      <c r="S90" s="258"/>
      <c r="T90" s="278"/>
      <c r="U90" s="268"/>
      <c r="V90" s="258"/>
      <c r="W90" s="277"/>
      <c r="X90" s="271"/>
      <c r="Y90" s="273"/>
      <c r="Z90" s="273"/>
      <c r="AA90" s="271"/>
    </row>
    <row r="91" spans="1:27" s="257" customFormat="1" ht="26.25" hidden="1">
      <c r="A91" s="259">
        <f>A90+1</f>
        <v>68</v>
      </c>
      <c r="B91" s="259"/>
      <c r="C91" s="259" t="s">
        <v>65</v>
      </c>
      <c r="D91" s="258" t="s">
        <v>290</v>
      </c>
      <c r="E91" s="258" t="s">
        <v>291</v>
      </c>
      <c r="F91" s="258" t="s">
        <v>56</v>
      </c>
      <c r="G91" s="258" t="str">
        <f>I91&amp;" "&amp;J91&amp;" "&amp;K91</f>
        <v>Scanner Datalogic QW2100</v>
      </c>
      <c r="H91" s="258">
        <v>1</v>
      </c>
      <c r="I91" s="258" t="s">
        <v>96</v>
      </c>
      <c r="J91" s="258" t="s">
        <v>97</v>
      </c>
      <c r="K91" s="258" t="s">
        <v>98</v>
      </c>
      <c r="L91" s="258"/>
      <c r="M91" s="615" t="s">
        <v>298</v>
      </c>
      <c r="N91" s="277"/>
      <c r="O91" s="277"/>
      <c r="P91" s="259"/>
      <c r="Q91" s="258"/>
      <c r="R91" s="258"/>
      <c r="S91" s="258"/>
      <c r="T91" s="278" t="s">
        <v>299</v>
      </c>
      <c r="U91" s="268"/>
      <c r="V91" s="258"/>
      <c r="W91" s="277"/>
      <c r="X91" s="271"/>
      <c r="Y91" s="273"/>
      <c r="Z91" s="273"/>
      <c r="AA91" s="271"/>
    </row>
    <row r="92" spans="1:27" s="257" customFormat="1" ht="26.25" hidden="1">
      <c r="A92" s="259">
        <f>A91+1</f>
        <v>69</v>
      </c>
      <c r="B92" s="259"/>
      <c r="C92" s="259" t="s">
        <v>65</v>
      </c>
      <c r="D92" s="258" t="s">
        <v>290</v>
      </c>
      <c r="E92" s="258" t="s">
        <v>291</v>
      </c>
      <c r="F92" s="258" t="s">
        <v>56</v>
      </c>
      <c r="G92" s="258" t="str">
        <f>I92&amp;" "&amp;J92&amp;" "&amp;K92</f>
        <v>Mouse Logitech M185</v>
      </c>
      <c r="H92" s="258">
        <v>1</v>
      </c>
      <c r="I92" s="258" t="s">
        <v>114</v>
      </c>
      <c r="J92" s="258" t="s">
        <v>300</v>
      </c>
      <c r="K92" s="258" t="s">
        <v>301</v>
      </c>
      <c r="L92" s="258"/>
      <c r="M92" s="615" t="s">
        <v>302</v>
      </c>
      <c r="N92" s="277"/>
      <c r="O92" s="277"/>
      <c r="P92" s="259"/>
      <c r="Q92" s="258"/>
      <c r="R92" s="258"/>
      <c r="S92" s="258"/>
      <c r="T92" s="278"/>
      <c r="U92" s="268"/>
      <c r="V92" s="258"/>
      <c r="W92" s="277"/>
      <c r="X92" s="271"/>
      <c r="Y92" s="273"/>
      <c r="Z92" s="273"/>
      <c r="AA92" s="271"/>
    </row>
    <row r="93" spans="1:27" ht="28.5">
      <c r="A93" s="261">
        <f>A92+1</f>
        <v>70</v>
      </c>
      <c r="B93" s="261" t="s">
        <v>303</v>
      </c>
      <c r="C93" s="669" t="s">
        <v>54</v>
      </c>
      <c r="D93" s="289" t="s">
        <v>304</v>
      </c>
      <c r="E93" s="261" t="str">
        <f>VLOOKUP(D93,Store_Info_VN!B:P,2,0)</f>
        <v>SMIGGLE VAN HANH MALL</v>
      </c>
      <c r="F93" s="261" t="s">
        <v>56</v>
      </c>
      <c r="G93" s="261" t="str">
        <f>I93&amp;" "&amp;J93&amp;" "&amp;K93</f>
        <v>Laptop HP ProBook 440 14 inch G9 Notebook PC</v>
      </c>
      <c r="H93" s="261">
        <v>1</v>
      </c>
      <c r="I93" s="261" t="s">
        <v>86</v>
      </c>
      <c r="J93" s="261" t="s">
        <v>58</v>
      </c>
      <c r="K93" s="261" t="s">
        <v>87</v>
      </c>
      <c r="L93" s="261"/>
      <c r="M93" s="665" t="s">
        <v>305</v>
      </c>
      <c r="N93" s="289">
        <v>16</v>
      </c>
      <c r="O93" s="289">
        <v>487751</v>
      </c>
      <c r="P93" s="261" t="s">
        <v>79</v>
      </c>
      <c r="Q93" s="261" t="s">
        <v>89</v>
      </c>
      <c r="R93" s="261"/>
      <c r="S93" s="261"/>
      <c r="T93" s="666" t="s">
        <v>306</v>
      </c>
      <c r="U93" s="291"/>
      <c r="V93" s="261" t="s">
        <v>307</v>
      </c>
      <c r="W93" s="289" t="s">
        <v>307</v>
      </c>
      <c r="X93" s="293"/>
      <c r="Y93" s="293" t="s">
        <v>64</v>
      </c>
      <c r="Z93" s="293" t="s">
        <v>64</v>
      </c>
      <c r="AA93" s="293"/>
    </row>
    <row r="94" spans="1:27" ht="28.5">
      <c r="A94" s="258">
        <f>A93+1</f>
        <v>71</v>
      </c>
      <c r="B94" s="258" t="s">
        <v>308</v>
      </c>
      <c r="C94" s="616" t="s">
        <v>54</v>
      </c>
      <c r="D94" s="277" t="s">
        <v>309</v>
      </c>
      <c r="E94" s="258" t="str">
        <f>VLOOKUP(D94,Store_Info_VN!B:P,2,0)</f>
        <v>CONVERSE AEON LONG BIEN</v>
      </c>
      <c r="F94" s="258" t="s">
        <v>56</v>
      </c>
      <c r="G94" s="258" t="str">
        <f>I94&amp;" "&amp;J94&amp;" "&amp;K94</f>
        <v>Laptop Dell Inspiron 3505</v>
      </c>
      <c r="H94" s="258">
        <v>1</v>
      </c>
      <c r="I94" s="258" t="s">
        <v>86</v>
      </c>
      <c r="J94" s="258" t="s">
        <v>133</v>
      </c>
      <c r="K94" s="258" t="s">
        <v>165</v>
      </c>
      <c r="M94" s="615" t="s">
        <v>310</v>
      </c>
      <c r="N94" s="277">
        <v>6</v>
      </c>
      <c r="O94" s="277">
        <v>227319</v>
      </c>
      <c r="P94" s="258" t="s">
        <v>79</v>
      </c>
      <c r="Q94" s="258" t="s">
        <v>167</v>
      </c>
      <c r="R94" s="258"/>
      <c r="S94" s="258"/>
      <c r="V94" s="258" t="s">
        <v>311</v>
      </c>
      <c r="W94" s="277" t="s">
        <v>311</v>
      </c>
      <c r="Y94" s="271" t="s">
        <v>64</v>
      </c>
      <c r="Z94" s="271" t="s">
        <v>64</v>
      </c>
    </row>
    <row r="95" spans="1:27" ht="14.25">
      <c r="A95" s="258">
        <f>A94+1</f>
        <v>72</v>
      </c>
      <c r="B95" s="258"/>
      <c r="C95" s="616" t="s">
        <v>54</v>
      </c>
      <c r="D95" s="277" t="s">
        <v>309</v>
      </c>
      <c r="E95" s="258" t="str">
        <f>VLOOKUP(D95,Store_Info_VN!B:P,2,0)</f>
        <v>CONVERSE AEON LONG BIEN</v>
      </c>
      <c r="F95" s="258" t="s">
        <v>56</v>
      </c>
      <c r="G95" s="258" t="str">
        <f>I95&amp;" "&amp;J95&amp;" "&amp;K95</f>
        <v>Bill Printer Epson TM-T82III</v>
      </c>
      <c r="H95" s="258">
        <v>1</v>
      </c>
      <c r="I95" s="258" t="s">
        <v>92</v>
      </c>
      <c r="J95" s="258" t="s">
        <v>93</v>
      </c>
      <c r="K95" s="258" t="s">
        <v>94</v>
      </c>
      <c r="M95" s="615" t="s">
        <v>312</v>
      </c>
      <c r="N95" s="277"/>
      <c r="O95" s="277"/>
      <c r="R95" s="258"/>
      <c r="S95" s="258"/>
      <c r="W95" s="277"/>
    </row>
    <row r="96" spans="1:27" ht="14.25">
      <c r="A96" s="258">
        <f>A95+1</f>
        <v>73</v>
      </c>
      <c r="B96" s="258"/>
      <c r="C96" s="616" t="s">
        <v>54</v>
      </c>
      <c r="D96" s="277" t="s">
        <v>309</v>
      </c>
      <c r="E96" s="258" t="str">
        <f>VLOOKUP(D96,Store_Info_VN!B:P,2,0)</f>
        <v>CONVERSE AEON LONG BIEN</v>
      </c>
      <c r="F96" s="258" t="s">
        <v>56</v>
      </c>
      <c r="G96" s="258" t="str">
        <f>I96&amp;" "&amp;J96&amp;" "&amp;K96</f>
        <v>Scanner Datalogic QW2100</v>
      </c>
      <c r="H96" s="258">
        <v>1</v>
      </c>
      <c r="I96" s="258" t="s">
        <v>96</v>
      </c>
      <c r="J96" s="258" t="s">
        <v>97</v>
      </c>
      <c r="K96" s="258" t="s">
        <v>98</v>
      </c>
      <c r="M96" s="615" t="s">
        <v>313</v>
      </c>
      <c r="N96" s="277"/>
      <c r="O96" s="277"/>
      <c r="R96" s="258"/>
      <c r="S96" s="258"/>
      <c r="W96" s="277"/>
    </row>
    <row r="97" spans="1:27" ht="28.5">
      <c r="A97" s="258">
        <f>A96+1</f>
        <v>74</v>
      </c>
      <c r="B97" s="258"/>
      <c r="C97" s="616" t="s">
        <v>54</v>
      </c>
      <c r="D97" s="277" t="s">
        <v>309</v>
      </c>
      <c r="E97" s="258" t="str">
        <f>VLOOKUP(D97,Store_Info_VN!B:P,2,0)</f>
        <v>CONVERSE AEON LONG BIEN</v>
      </c>
      <c r="F97" s="258" t="s">
        <v>56</v>
      </c>
      <c r="G97" s="258" t="str">
        <f>I97&amp;" "&amp;J97&amp;" "&amp;K97</f>
        <v>Pole Display Topcash AL-CD1</v>
      </c>
      <c r="H97" s="258">
        <v>1</v>
      </c>
      <c r="I97" s="258" t="s">
        <v>125</v>
      </c>
      <c r="J97" s="258" t="s">
        <v>154</v>
      </c>
      <c r="K97" s="258" t="s">
        <v>155</v>
      </c>
      <c r="M97" s="615" t="s">
        <v>314</v>
      </c>
      <c r="N97" s="277"/>
      <c r="O97" s="277"/>
      <c r="R97" s="258"/>
      <c r="S97" s="258"/>
      <c r="T97" s="278" t="s">
        <v>315</v>
      </c>
      <c r="W97" s="277"/>
    </row>
    <row r="98" spans="1:27" ht="14.25">
      <c r="A98" s="258">
        <f>A97+1</f>
        <v>75</v>
      </c>
      <c r="B98" s="258"/>
      <c r="C98" s="616" t="s">
        <v>54</v>
      </c>
      <c r="D98" s="277" t="s">
        <v>309</v>
      </c>
      <c r="E98" s="258" t="str">
        <f>VLOOKUP(D98,Store_Info_VN!B:P,2,0)</f>
        <v>CONVERSE AEON LONG BIEN</v>
      </c>
      <c r="F98" s="258" t="s">
        <v>56</v>
      </c>
      <c r="G98" s="258" t="str">
        <f>I98&amp;" "&amp;J98&amp;" "&amp;K98</f>
        <v>Cash Drawer Poscom 410</v>
      </c>
      <c r="H98" s="258">
        <v>1</v>
      </c>
      <c r="I98" s="258" t="s">
        <v>159</v>
      </c>
      <c r="J98" s="258" t="s">
        <v>160</v>
      </c>
      <c r="K98" s="258">
        <v>410</v>
      </c>
      <c r="M98" s="615" t="s">
        <v>316</v>
      </c>
      <c r="N98" s="277"/>
      <c r="O98" s="277"/>
      <c r="R98" s="258"/>
      <c r="S98" s="258"/>
      <c r="W98" s="277"/>
    </row>
    <row r="99" spans="1:27" ht="14.25">
      <c r="A99" s="258">
        <f>A98+1</f>
        <v>76</v>
      </c>
      <c r="B99" s="258"/>
      <c r="C99" s="616" t="s">
        <v>54</v>
      </c>
      <c r="D99" s="277" t="s">
        <v>309</v>
      </c>
      <c r="E99" s="258" t="str">
        <f>VLOOKUP(D99,Store_Info_VN!B:P,2,0)</f>
        <v>CONVERSE AEON LONG BIEN</v>
      </c>
      <c r="F99" s="258" t="s">
        <v>56</v>
      </c>
      <c r="G99" s="258" t="str">
        <f>I99&amp;" "&amp;J99&amp;" "&amp;K99</f>
        <v>A4 Printer Canon LBP 2900</v>
      </c>
      <c r="H99" s="258">
        <v>1</v>
      </c>
      <c r="I99" s="258" t="s">
        <v>99</v>
      </c>
      <c r="J99" s="258" t="s">
        <v>100</v>
      </c>
      <c r="K99" s="258" t="s">
        <v>101</v>
      </c>
      <c r="M99" s="615" t="s">
        <v>317</v>
      </c>
      <c r="N99" s="277"/>
      <c r="O99" s="277"/>
      <c r="R99" s="258"/>
      <c r="S99" s="258"/>
      <c r="W99" s="277"/>
    </row>
    <row r="100" spans="1:27" ht="14.25">
      <c r="A100" s="258">
        <f>A99+1</f>
        <v>77</v>
      </c>
      <c r="B100" s="258"/>
      <c r="C100" s="616" t="s">
        <v>54</v>
      </c>
      <c r="D100" s="277" t="s">
        <v>309</v>
      </c>
      <c r="E100" s="258" t="str">
        <f>VLOOKUP(D100,Store_Info_VN!B:P,2,0)</f>
        <v>CONVERSE AEON LONG BIEN</v>
      </c>
      <c r="F100" s="258" t="s">
        <v>56</v>
      </c>
      <c r="G100" s="258" t="str">
        <f>I100&amp;" "&amp;J100&amp;" "&amp;K100</f>
        <v xml:space="preserve">Network Switch Mercusys </v>
      </c>
      <c r="H100" s="258">
        <v>1</v>
      </c>
      <c r="I100" s="258" t="s">
        <v>172</v>
      </c>
      <c r="J100" s="258" t="s">
        <v>173</v>
      </c>
      <c r="L100" s="258" t="s">
        <v>174</v>
      </c>
      <c r="M100" s="615" t="s">
        <v>318</v>
      </c>
      <c r="N100" s="277"/>
      <c r="O100" s="277"/>
      <c r="R100" s="258"/>
      <c r="S100" s="258"/>
      <c r="W100" s="277"/>
    </row>
    <row r="101" spans="1:27" ht="28.5">
      <c r="A101" s="279">
        <f>A100+1</f>
        <v>78</v>
      </c>
      <c r="B101" s="279" t="s">
        <v>319</v>
      </c>
      <c r="C101" s="279" t="s">
        <v>54</v>
      </c>
      <c r="D101" s="303" t="s">
        <v>240</v>
      </c>
      <c r="E101" s="279" t="str">
        <f>VLOOKUP(D101,Store_Info_VN!B:P,2,0)</f>
        <v>NEW ERA AEON LONG BIEN</v>
      </c>
      <c r="F101" s="279" t="s">
        <v>56</v>
      </c>
      <c r="G101" s="279" t="str">
        <f>I101&amp;" "&amp;J101&amp;" "&amp;K101</f>
        <v>Desktop HP HP ProDesk 400 G3 DM</v>
      </c>
      <c r="H101" s="279">
        <v>1</v>
      </c>
      <c r="I101" s="279" t="s">
        <v>57</v>
      </c>
      <c r="J101" s="279" t="s">
        <v>58</v>
      </c>
      <c r="K101" s="279" t="s">
        <v>68</v>
      </c>
      <c r="L101" s="279"/>
      <c r="M101" s="662" t="s">
        <v>70</v>
      </c>
      <c r="N101" s="303">
        <v>8</v>
      </c>
      <c r="O101" s="303">
        <v>500</v>
      </c>
      <c r="P101" s="279" t="s">
        <v>79</v>
      </c>
      <c r="Q101" s="279" t="s">
        <v>80</v>
      </c>
      <c r="R101" s="279"/>
      <c r="S101" s="279"/>
      <c r="T101" s="285"/>
      <c r="U101" s="286"/>
      <c r="V101" s="279" t="s">
        <v>320</v>
      </c>
      <c r="W101" s="303" t="s">
        <v>320</v>
      </c>
      <c r="X101" s="284"/>
      <c r="Y101" s="284" t="s">
        <v>64</v>
      </c>
      <c r="Z101" s="284" t="s">
        <v>64</v>
      </c>
      <c r="AA101" s="284"/>
    </row>
    <row r="102" spans="1:27" s="257" customFormat="1" ht="56.25" hidden="1">
      <c r="A102" s="259">
        <f>A101+1</f>
        <v>79</v>
      </c>
      <c r="B102" s="259" t="s">
        <v>321</v>
      </c>
      <c r="C102" s="259" t="s">
        <v>65</v>
      </c>
      <c r="D102" s="258" t="s">
        <v>322</v>
      </c>
      <c r="E102" s="258" t="s">
        <v>323</v>
      </c>
      <c r="F102" s="258" t="s">
        <v>56</v>
      </c>
      <c r="G102" s="258" t="str">
        <f>I102&amp;" "&amp;J102&amp;" "&amp;K102</f>
        <v>Laptop Dell Latitude 3520</v>
      </c>
      <c r="H102" s="258">
        <v>1</v>
      </c>
      <c r="I102" s="258" t="s">
        <v>86</v>
      </c>
      <c r="J102" s="258" t="s">
        <v>133</v>
      </c>
      <c r="K102" s="258" t="s">
        <v>131</v>
      </c>
      <c r="L102" s="302"/>
      <c r="M102" s="288" t="s">
        <v>324</v>
      </c>
      <c r="N102" s="277">
        <v>16</v>
      </c>
      <c r="O102" s="277">
        <v>243574</v>
      </c>
      <c r="P102" s="259" t="s">
        <v>79</v>
      </c>
      <c r="Q102" s="258" t="s">
        <v>135</v>
      </c>
      <c r="R102" s="258"/>
      <c r="S102" s="258"/>
      <c r="T102" s="278"/>
      <c r="U102" s="268" t="s">
        <v>325</v>
      </c>
      <c r="V102" s="258" t="s">
        <v>326</v>
      </c>
      <c r="W102" s="277" t="s">
        <v>326</v>
      </c>
      <c r="X102" s="271"/>
      <c r="Y102" s="273" t="s">
        <v>64</v>
      </c>
      <c r="Z102" s="273" t="s">
        <v>64</v>
      </c>
      <c r="AA102" s="271"/>
    </row>
    <row r="103" spans="1:27" s="257" customFormat="1" ht="26.25" hidden="1">
      <c r="A103" s="259">
        <f>A102+1</f>
        <v>80</v>
      </c>
      <c r="B103" s="259"/>
      <c r="C103" s="259" t="s">
        <v>65</v>
      </c>
      <c r="D103" s="258" t="s">
        <v>327</v>
      </c>
      <c r="E103" s="258" t="s">
        <v>328</v>
      </c>
      <c r="F103" s="258" t="s">
        <v>56</v>
      </c>
      <c r="G103" s="258" t="str">
        <f>I103&amp;" "&amp;J103&amp;" "&amp;K103</f>
        <v>Bill Printer Epson TM-T82III</v>
      </c>
      <c r="H103" s="258">
        <v>1</v>
      </c>
      <c r="I103" s="258" t="s">
        <v>92</v>
      </c>
      <c r="J103" s="258" t="s">
        <v>93</v>
      </c>
      <c r="K103" s="258" t="s">
        <v>94</v>
      </c>
      <c r="L103" s="302"/>
      <c r="M103" s="288" t="s">
        <v>329</v>
      </c>
      <c r="N103" s="277"/>
      <c r="O103" s="277"/>
      <c r="P103" s="259"/>
      <c r="Q103" s="258"/>
      <c r="R103" s="258"/>
      <c r="S103" s="258"/>
      <c r="T103" s="278"/>
      <c r="U103" s="268"/>
      <c r="V103" s="258"/>
      <c r="W103" s="277"/>
      <c r="X103" s="271"/>
      <c r="Y103" s="273"/>
      <c r="Z103" s="273"/>
      <c r="AA103" s="271"/>
    </row>
    <row r="104" spans="1:27" s="257" customFormat="1" ht="26.25" hidden="1">
      <c r="A104" s="259">
        <f>A103+1</f>
        <v>81</v>
      </c>
      <c r="B104" s="259"/>
      <c r="C104" s="259" t="s">
        <v>65</v>
      </c>
      <c r="D104" s="258" t="s">
        <v>327</v>
      </c>
      <c r="E104" s="258" t="s">
        <v>328</v>
      </c>
      <c r="F104" s="258" t="s">
        <v>56</v>
      </c>
      <c r="G104" s="258" t="str">
        <f>I104&amp;" "&amp;J104&amp;" "&amp;K104</f>
        <v>Scanner Datalogic QW2100</v>
      </c>
      <c r="H104" s="258">
        <v>1</v>
      </c>
      <c r="I104" s="258" t="s">
        <v>96</v>
      </c>
      <c r="J104" s="258" t="s">
        <v>97</v>
      </c>
      <c r="K104" s="258" t="s">
        <v>98</v>
      </c>
      <c r="L104" s="302"/>
      <c r="M104" s="288" t="s">
        <v>141</v>
      </c>
      <c r="N104" s="277"/>
      <c r="O104" s="277"/>
      <c r="P104" s="259"/>
      <c r="Q104" s="258"/>
      <c r="R104" s="258"/>
      <c r="S104" s="258"/>
      <c r="T104" s="278"/>
      <c r="U104" s="268"/>
      <c r="V104" s="258"/>
      <c r="W104" s="277"/>
      <c r="X104" s="271"/>
      <c r="Y104" s="273"/>
      <c r="Z104" s="273"/>
      <c r="AA104" s="271"/>
    </row>
    <row r="105" spans="1:27" s="257" customFormat="1" ht="26.25" hidden="1">
      <c r="A105" s="259">
        <f>A104+1</f>
        <v>82</v>
      </c>
      <c r="B105" s="259"/>
      <c r="C105" s="259" t="s">
        <v>65</v>
      </c>
      <c r="D105" s="258" t="s">
        <v>327</v>
      </c>
      <c r="E105" s="258" t="s">
        <v>328</v>
      </c>
      <c r="F105" s="258" t="s">
        <v>56</v>
      </c>
      <c r="G105" s="258" t="str">
        <f>I105&amp;" "&amp;J105&amp;" "&amp;K105</f>
        <v>A4 Printer HP Neverstop Laser 1000w</v>
      </c>
      <c r="H105" s="258">
        <v>1</v>
      </c>
      <c r="I105" s="258" t="s">
        <v>99</v>
      </c>
      <c r="J105" s="258" t="s">
        <v>58</v>
      </c>
      <c r="K105" s="258" t="s">
        <v>203</v>
      </c>
      <c r="L105" s="302"/>
      <c r="M105" s="288" t="s">
        <v>330</v>
      </c>
      <c r="N105" s="277"/>
      <c r="O105" s="277"/>
      <c r="P105" s="259"/>
      <c r="Q105" s="258"/>
      <c r="R105" s="258"/>
      <c r="S105" s="258"/>
      <c r="T105" s="278"/>
      <c r="U105" s="268"/>
      <c r="V105" s="258"/>
      <c r="W105" s="277"/>
      <c r="X105" s="271"/>
      <c r="Y105" s="273"/>
      <c r="Z105" s="273"/>
      <c r="AA105" s="271"/>
    </row>
    <row r="106" spans="1:27" ht="42">
      <c r="A106" s="261">
        <f>A105+1</f>
        <v>83</v>
      </c>
      <c r="B106" s="261" t="s">
        <v>331</v>
      </c>
      <c r="C106" s="261" t="s">
        <v>54</v>
      </c>
      <c r="D106" s="289" t="s">
        <v>259</v>
      </c>
      <c r="E106" s="261" t="str">
        <f>VLOOKUP(D106,Store_Info_VN!B:P,2,0)</f>
        <v>BIRKENSTOCK VINCOM DONG KHOI</v>
      </c>
      <c r="F106" s="261" t="s">
        <v>56</v>
      </c>
      <c r="G106" s="261" t="str">
        <f>I106&amp;" "&amp;J106&amp;" "&amp;K106</f>
        <v>Desktop HP HP ProDesk 400 G3 DM</v>
      </c>
      <c r="H106" s="261">
        <v>1</v>
      </c>
      <c r="I106" s="261" t="s">
        <v>57</v>
      </c>
      <c r="J106" s="261" t="s">
        <v>58</v>
      </c>
      <c r="K106" s="261" t="s">
        <v>68</v>
      </c>
      <c r="L106" s="261"/>
      <c r="M106" s="665" t="s">
        <v>332</v>
      </c>
      <c r="N106" s="289">
        <v>8</v>
      </c>
      <c r="O106" s="289">
        <v>500</v>
      </c>
      <c r="P106" s="261" t="s">
        <v>61</v>
      </c>
      <c r="Q106" s="261" t="s">
        <v>80</v>
      </c>
      <c r="R106" s="261"/>
      <c r="S106" s="261"/>
      <c r="T106" s="666" t="s">
        <v>81</v>
      </c>
      <c r="U106" s="291" t="s">
        <v>261</v>
      </c>
      <c r="V106" s="261" t="s">
        <v>333</v>
      </c>
      <c r="W106" s="289" t="s">
        <v>333</v>
      </c>
      <c r="X106" s="293"/>
      <c r="Y106" s="293" t="s">
        <v>64</v>
      </c>
      <c r="Z106" s="293" t="s">
        <v>64</v>
      </c>
      <c r="AA106" s="293"/>
    </row>
    <row r="107" spans="1:27" ht="28.5">
      <c r="A107" s="258">
        <f>A106+1</f>
        <v>84</v>
      </c>
      <c r="B107" s="271"/>
      <c r="C107" s="616" t="s">
        <v>54</v>
      </c>
      <c r="D107" s="277" t="s">
        <v>334</v>
      </c>
      <c r="E107" s="258" t="str">
        <f>VLOOKUP(D107,Store_Info_VN!B:P,2,0)</f>
        <v>CONVERSE AEON HA DONG</v>
      </c>
      <c r="F107" s="258" t="s">
        <v>56</v>
      </c>
      <c r="G107" s="258" t="str">
        <f>I107&amp;" "&amp;J107&amp;" "&amp;K107</f>
        <v>A4 Printer HP Neverstop Laser 1000w</v>
      </c>
      <c r="H107" s="258">
        <v>1</v>
      </c>
      <c r="I107" s="258" t="s">
        <v>99</v>
      </c>
      <c r="J107" s="258" t="s">
        <v>58</v>
      </c>
      <c r="K107" s="258" t="s">
        <v>203</v>
      </c>
      <c r="M107" s="615" t="s">
        <v>335</v>
      </c>
      <c r="W107" s="277"/>
    </row>
    <row r="108" spans="1:27" ht="14.25">
      <c r="A108" s="258">
        <f>A107+1</f>
        <v>85</v>
      </c>
      <c r="B108" s="271"/>
      <c r="C108" s="616" t="s">
        <v>54</v>
      </c>
      <c r="D108" s="277" t="s">
        <v>334</v>
      </c>
      <c r="E108" s="258" t="str">
        <f>VLOOKUP(D108,Store_Info_VN!B:P,2,0)</f>
        <v>CONVERSE AEON HA DONG</v>
      </c>
      <c r="F108" s="258" t="s">
        <v>56</v>
      </c>
      <c r="G108" s="258" t="str">
        <f>I108&amp;" "&amp;J108&amp;" "&amp;K108</f>
        <v>Cash Drawer Maken MK410</v>
      </c>
      <c r="H108" s="258">
        <v>1</v>
      </c>
      <c r="I108" s="258" t="s">
        <v>159</v>
      </c>
      <c r="J108" s="258" t="s">
        <v>230</v>
      </c>
      <c r="K108" s="258" t="s">
        <v>231</v>
      </c>
      <c r="M108" s="615" t="s">
        <v>336</v>
      </c>
      <c r="W108" s="277"/>
    </row>
    <row r="109" spans="1:27" ht="14.25">
      <c r="A109" s="258">
        <f>A108+1</f>
        <v>86</v>
      </c>
      <c r="B109" s="271"/>
      <c r="C109" s="616" t="s">
        <v>54</v>
      </c>
      <c r="D109" s="277" t="s">
        <v>334</v>
      </c>
      <c r="E109" s="258" t="str">
        <f>VLOOKUP(D109,Store_Info_VN!B:P,2,0)</f>
        <v>CONVERSE AEON HA DONG</v>
      </c>
      <c r="F109" s="258" t="s">
        <v>56</v>
      </c>
      <c r="G109" s="258" t="str">
        <f>I109&amp;" "&amp;J109&amp;" "&amp;K109</f>
        <v>Pole Display  VFD220U</v>
      </c>
      <c r="H109" s="258">
        <v>1</v>
      </c>
      <c r="I109" s="258" t="s">
        <v>125</v>
      </c>
      <c r="K109" s="258" t="s">
        <v>198</v>
      </c>
      <c r="M109" s="615">
        <v>120032</v>
      </c>
      <c r="W109" s="277"/>
    </row>
    <row r="110" spans="1:27" ht="42">
      <c r="A110" s="258">
        <f>A109+1</f>
        <v>87</v>
      </c>
      <c r="B110" s="271"/>
      <c r="C110" s="616" t="s">
        <v>54</v>
      </c>
      <c r="D110" s="277" t="s">
        <v>334</v>
      </c>
      <c r="E110" s="258" t="str">
        <f>VLOOKUP(D110,Store_Info_VN!B:P,2,0)</f>
        <v>CONVERSE AEON HA DONG</v>
      </c>
      <c r="F110" s="258" t="s">
        <v>56</v>
      </c>
      <c r="G110" s="258" t="str">
        <f>I110&amp;" "&amp;J110&amp;" "&amp;K110</f>
        <v>Scanner Datalogic QW2100</v>
      </c>
      <c r="H110" s="258">
        <v>1</v>
      </c>
      <c r="I110" s="258" t="s">
        <v>96</v>
      </c>
      <c r="J110" s="258" t="s">
        <v>97</v>
      </c>
      <c r="K110" s="258" t="s">
        <v>98</v>
      </c>
      <c r="M110" s="615" t="s">
        <v>337</v>
      </c>
      <c r="U110" s="268" t="s">
        <v>338</v>
      </c>
      <c r="W110" s="277"/>
    </row>
    <row r="111" spans="1:27" ht="14.25">
      <c r="A111" s="258">
        <f>A110+1</f>
        <v>88</v>
      </c>
      <c r="B111" s="271"/>
      <c r="C111" s="616" t="s">
        <v>54</v>
      </c>
      <c r="D111" s="277" t="s">
        <v>334</v>
      </c>
      <c r="E111" s="258" t="str">
        <f>VLOOKUP(D111,Store_Info_VN!B:P,2,0)</f>
        <v>CONVERSE AEON HA DONG</v>
      </c>
      <c r="F111" s="258" t="s">
        <v>56</v>
      </c>
      <c r="G111" s="258" t="str">
        <f>I111&amp;" "&amp;J111&amp;" "&amp;K111</f>
        <v>Bill Printer Epson TM-T82III</v>
      </c>
      <c r="H111" s="258">
        <v>1</v>
      </c>
      <c r="I111" s="258" t="s">
        <v>92</v>
      </c>
      <c r="J111" s="258" t="s">
        <v>93</v>
      </c>
      <c r="K111" s="258" t="s">
        <v>94</v>
      </c>
      <c r="M111" s="615" t="s">
        <v>339</v>
      </c>
      <c r="W111" s="277"/>
    </row>
    <row r="112" spans="1:27" ht="14.25">
      <c r="A112" s="279">
        <f>A111+1</f>
        <v>89</v>
      </c>
      <c r="B112" s="284"/>
      <c r="C112" s="663" t="s">
        <v>54</v>
      </c>
      <c r="D112" s="303" t="s">
        <v>334</v>
      </c>
      <c r="E112" s="279" t="str">
        <f>VLOOKUP(D112,Store_Info_VN!B:P,2,0)</f>
        <v>CONVERSE AEON HA DONG</v>
      </c>
      <c r="F112" s="279" t="s">
        <v>56</v>
      </c>
      <c r="G112" s="279" t="str">
        <f>I112&amp;" "&amp;J112&amp;" "&amp;K112</f>
        <v>Monitor HP V190</v>
      </c>
      <c r="H112" s="279">
        <v>1</v>
      </c>
      <c r="I112" s="279" t="s">
        <v>116</v>
      </c>
      <c r="J112" s="279" t="s">
        <v>58</v>
      </c>
      <c r="K112" s="279" t="s">
        <v>117</v>
      </c>
      <c r="L112" s="279"/>
      <c r="M112" s="662" t="s">
        <v>340</v>
      </c>
      <c r="N112" s="279"/>
      <c r="O112" s="279"/>
      <c r="P112" s="279"/>
      <c r="Q112" s="279"/>
      <c r="R112" s="284"/>
      <c r="S112" s="284"/>
      <c r="T112" s="285"/>
      <c r="U112" s="286"/>
      <c r="V112" s="279"/>
      <c r="W112" s="303"/>
      <c r="X112" s="284"/>
      <c r="Y112" s="284"/>
      <c r="Z112" s="284"/>
      <c r="AA112" s="284"/>
    </row>
    <row r="113" spans="1:27" s="257" customFormat="1" ht="28.5">
      <c r="A113" s="258">
        <f>A112+1</f>
        <v>90</v>
      </c>
      <c r="B113" s="258" t="s">
        <v>341</v>
      </c>
      <c r="C113" s="258" t="s">
        <v>54</v>
      </c>
      <c r="D113" s="277" t="s">
        <v>342</v>
      </c>
      <c r="E113" s="258" t="str">
        <f>VLOOKUP(D113,Store_Info_VN!B:P,2,0)</f>
        <v>SMIGGLE ESTELLA</v>
      </c>
      <c r="F113" s="258" t="s">
        <v>56</v>
      </c>
      <c r="G113" s="258" t="str">
        <f>I113&amp;" "&amp;J113&amp;" "&amp;K113</f>
        <v>Desktop HP Hp Prodesk 400 G3 DM i5 7500T</v>
      </c>
      <c r="H113" s="258">
        <v>1</v>
      </c>
      <c r="I113" s="258" t="s">
        <v>57</v>
      </c>
      <c r="J113" s="258" t="s">
        <v>58</v>
      </c>
      <c r="K113" s="258" t="s">
        <v>343</v>
      </c>
      <c r="L113" s="258"/>
      <c r="M113" s="615" t="s">
        <v>344</v>
      </c>
      <c r="N113" s="277">
        <v>8</v>
      </c>
      <c r="O113" s="277">
        <v>500</v>
      </c>
      <c r="P113" s="258" t="s">
        <v>61</v>
      </c>
      <c r="Q113" s="258" t="s">
        <v>80</v>
      </c>
      <c r="R113" s="258"/>
      <c r="S113" s="258"/>
      <c r="T113" s="278"/>
      <c r="U113" s="268"/>
      <c r="V113" s="258" t="s">
        <v>345</v>
      </c>
      <c r="W113" s="277" t="s">
        <v>345</v>
      </c>
      <c r="X113" s="271"/>
      <c r="Y113" s="271" t="s">
        <v>64</v>
      </c>
      <c r="Z113" s="271" t="s">
        <v>64</v>
      </c>
      <c r="AA113" s="271"/>
    </row>
    <row r="114" spans="1:27" s="257" customFormat="1" hidden="1">
      <c r="A114" s="259">
        <f>A113+1</f>
        <v>91</v>
      </c>
      <c r="B114" s="259" t="s">
        <v>346</v>
      </c>
      <c r="C114" s="259" t="s">
        <v>65</v>
      </c>
      <c r="D114" s="277" t="s">
        <v>347</v>
      </c>
      <c r="E114" s="258" t="str">
        <f>VLOOKUP(D114,Store_Info_VN!B:P,2,0)</f>
        <v>CONVERSE LOTTE HA NOI DEPARTMENT</v>
      </c>
      <c r="F114" s="258" t="s">
        <v>56</v>
      </c>
      <c r="G114" s="258" t="str">
        <f>I114&amp;" "&amp;J114&amp;" "&amp;K114</f>
        <v>Laptop Lenovo THINKPAD X280</v>
      </c>
      <c r="H114" s="258">
        <v>1</v>
      </c>
      <c r="I114" s="258" t="s">
        <v>86</v>
      </c>
      <c r="J114" s="258" t="s">
        <v>279</v>
      </c>
      <c r="K114" s="258" t="s">
        <v>348</v>
      </c>
      <c r="L114" s="302"/>
      <c r="M114" s="288" t="s">
        <v>349</v>
      </c>
      <c r="N114" s="277">
        <v>8</v>
      </c>
      <c r="O114" s="277">
        <v>256</v>
      </c>
      <c r="P114" s="259" t="s">
        <v>79</v>
      </c>
      <c r="Q114" s="258" t="s">
        <v>350</v>
      </c>
      <c r="R114" s="258"/>
      <c r="S114" s="258"/>
      <c r="T114" s="278"/>
      <c r="U114" s="268"/>
      <c r="V114" s="258" t="s">
        <v>351</v>
      </c>
      <c r="W114" s="277" t="s">
        <v>351</v>
      </c>
      <c r="X114" s="271"/>
      <c r="Y114" s="273" t="s">
        <v>64</v>
      </c>
      <c r="Z114" s="273" t="s">
        <v>64</v>
      </c>
      <c r="AA114" s="271"/>
    </row>
    <row r="115" spans="1:27" s="257" customFormat="1" hidden="1">
      <c r="A115" s="259">
        <f>A114+1</f>
        <v>92</v>
      </c>
      <c r="B115" s="276"/>
      <c r="C115" s="259" t="s">
        <v>65</v>
      </c>
      <c r="D115" s="258" t="s">
        <v>347</v>
      </c>
      <c r="E115" s="258" t="str">
        <f>VLOOKUP(D115,Store_Info_VN!B:P,2,0)</f>
        <v>CONVERSE LOTTE HA NOI DEPARTMENT</v>
      </c>
      <c r="F115" s="258" t="s">
        <v>56</v>
      </c>
      <c r="G115" s="258" t="str">
        <f>I115&amp;" "&amp;J115&amp;" "&amp;K115</f>
        <v xml:space="preserve">Scanner Datalogic </v>
      </c>
      <c r="H115" s="258">
        <v>1</v>
      </c>
      <c r="I115" s="258" t="s">
        <v>96</v>
      </c>
      <c r="J115" s="258" t="s">
        <v>97</v>
      </c>
      <c r="K115" s="258"/>
      <c r="L115" s="258"/>
      <c r="M115" s="304" t="s">
        <v>352</v>
      </c>
      <c r="N115" s="258"/>
      <c r="O115" s="258"/>
      <c r="P115" s="258"/>
      <c r="Q115" s="258"/>
      <c r="R115" s="271"/>
      <c r="S115" s="271"/>
      <c r="T115" s="278"/>
      <c r="U115" s="268"/>
      <c r="V115" s="258"/>
      <c r="W115" s="277"/>
      <c r="X115" s="271"/>
      <c r="Y115" s="273"/>
      <c r="Z115" s="273"/>
      <c r="AA115" s="271"/>
    </row>
    <row r="116" spans="1:27" s="257" customFormat="1" hidden="1">
      <c r="A116" s="259">
        <f>A115+1</f>
        <v>93</v>
      </c>
      <c r="B116" s="276"/>
      <c r="C116" s="259" t="s">
        <v>65</v>
      </c>
      <c r="D116" s="258" t="s">
        <v>347</v>
      </c>
      <c r="E116" s="258" t="str">
        <f>VLOOKUP(D116,Store_Info_VN!B:P,2,0)</f>
        <v>CONVERSE LOTTE HA NOI DEPARTMENT</v>
      </c>
      <c r="F116" s="258" t="s">
        <v>56</v>
      </c>
      <c r="G116" s="258" t="str">
        <f>I116&amp;" "&amp;J116&amp;" "&amp;K116</f>
        <v>Bill Printer Xprinter Xp-k300L</v>
      </c>
      <c r="H116" s="258">
        <v>1</v>
      </c>
      <c r="I116" s="258" t="s">
        <v>92</v>
      </c>
      <c r="J116" s="258" t="s">
        <v>353</v>
      </c>
      <c r="K116" s="258" t="s">
        <v>354</v>
      </c>
      <c r="L116" s="258"/>
      <c r="M116" s="304" t="s">
        <v>355</v>
      </c>
      <c r="N116" s="258"/>
      <c r="O116" s="258"/>
      <c r="P116" s="258"/>
      <c r="Q116" s="258"/>
      <c r="R116" s="271"/>
      <c r="S116" s="271"/>
      <c r="T116" s="278"/>
      <c r="U116" s="268"/>
      <c r="V116" s="258"/>
      <c r="W116" s="277"/>
      <c r="X116" s="271"/>
      <c r="Y116" s="273"/>
      <c r="Z116" s="273"/>
      <c r="AA116" s="271"/>
    </row>
    <row r="117" spans="1:27" s="257" customFormat="1" ht="26.25" hidden="1">
      <c r="A117" s="259">
        <f>A116+1</f>
        <v>94</v>
      </c>
      <c r="B117" s="276"/>
      <c r="C117" s="259" t="s">
        <v>65</v>
      </c>
      <c r="D117" s="258" t="s">
        <v>347</v>
      </c>
      <c r="E117" s="258" t="str">
        <f>VLOOKUP(D117,Store_Info_VN!B:P,2,0)</f>
        <v>CONVERSE LOTTE HA NOI DEPARTMENT</v>
      </c>
      <c r="F117" s="258" t="s">
        <v>56</v>
      </c>
      <c r="G117" s="258" t="str">
        <f>I117&amp;" "&amp;J117&amp;" "&amp;K117</f>
        <v xml:space="preserve">USB to LAN Ugreen </v>
      </c>
      <c r="H117" s="258">
        <v>1</v>
      </c>
      <c r="I117" s="258" t="s">
        <v>356</v>
      </c>
      <c r="J117" s="258" t="s">
        <v>357</v>
      </c>
      <c r="K117" s="258"/>
      <c r="L117" s="258"/>
      <c r="M117" s="655"/>
      <c r="N117" s="258"/>
      <c r="O117" s="258"/>
      <c r="P117" s="258"/>
      <c r="Q117" s="258"/>
      <c r="R117" s="271"/>
      <c r="S117" s="271"/>
      <c r="T117" s="278" t="s">
        <v>358</v>
      </c>
      <c r="U117" s="268"/>
      <c r="V117" s="258"/>
      <c r="W117" s="277"/>
      <c r="X117" s="271"/>
      <c r="Y117" s="273"/>
      <c r="Z117" s="273"/>
      <c r="AA117" s="271"/>
    </row>
    <row r="118" spans="1:27" s="257" customFormat="1" ht="14.25">
      <c r="A118" s="258">
        <f>A117+1</f>
        <v>95</v>
      </c>
      <c r="B118" s="258" t="s">
        <v>359</v>
      </c>
      <c r="C118" s="258" t="s">
        <v>54</v>
      </c>
      <c r="D118" s="277" t="s">
        <v>360</v>
      </c>
      <c r="E118" s="258" t="str">
        <f>VLOOKUP(D118,Store_Info_VN!B:P,2,0)</f>
        <v>CONVERSE LE VAN SY</v>
      </c>
      <c r="F118" s="258" t="s">
        <v>56</v>
      </c>
      <c r="G118" s="258" t="str">
        <f>I118&amp;" "&amp;J118&amp;" "&amp;K118</f>
        <v>Desktop Dell Hp Prodesk 400 G7</v>
      </c>
      <c r="H118" s="258">
        <v>1</v>
      </c>
      <c r="I118" s="258" t="s">
        <v>57</v>
      </c>
      <c r="J118" s="258" t="s">
        <v>133</v>
      </c>
      <c r="K118" s="258" t="s">
        <v>361</v>
      </c>
      <c r="L118" s="302"/>
      <c r="M118" s="615" t="s">
        <v>362</v>
      </c>
      <c r="N118" s="277">
        <v>8</v>
      </c>
      <c r="O118" s="277">
        <v>256</v>
      </c>
      <c r="P118" s="258" t="s">
        <v>79</v>
      </c>
      <c r="Q118" s="258" t="s">
        <v>363</v>
      </c>
      <c r="R118" s="258"/>
      <c r="S118" s="258"/>
      <c r="T118" s="278"/>
      <c r="U118" s="268"/>
      <c r="V118" s="258" t="s">
        <v>364</v>
      </c>
      <c r="W118" s="277" t="s">
        <v>364</v>
      </c>
      <c r="X118" s="271"/>
      <c r="Y118" s="271" t="s">
        <v>64</v>
      </c>
      <c r="Z118" s="271" t="s">
        <v>64</v>
      </c>
      <c r="AA118" s="271"/>
    </row>
    <row r="119" spans="1:27" s="257" customFormat="1" ht="14.25">
      <c r="A119" s="258">
        <f>A118+1</f>
        <v>96</v>
      </c>
      <c r="B119" s="258" t="s">
        <v>365</v>
      </c>
      <c r="C119" s="616" t="s">
        <v>54</v>
      </c>
      <c r="D119" s="277" t="s">
        <v>334</v>
      </c>
      <c r="E119" s="258" t="str">
        <f>VLOOKUP(D119,Store_Info_VN!B:P,2,0)</f>
        <v>CONVERSE AEON HA DONG</v>
      </c>
      <c r="F119" s="258" t="s">
        <v>56</v>
      </c>
      <c r="G119" s="258" t="str">
        <f>I119&amp;" "&amp;J119&amp;" "&amp;K119</f>
        <v>Desktop HP  Prodesk 400G3 DM</v>
      </c>
      <c r="H119" s="258">
        <v>1</v>
      </c>
      <c r="I119" s="258" t="s">
        <v>57</v>
      </c>
      <c r="J119" s="258" t="s">
        <v>58</v>
      </c>
      <c r="K119" s="258" t="s">
        <v>366</v>
      </c>
      <c r="L119" s="302"/>
      <c r="M119" s="615" t="s">
        <v>367</v>
      </c>
      <c r="N119" s="277">
        <v>8</v>
      </c>
      <c r="O119" s="277">
        <v>500</v>
      </c>
      <c r="P119" s="258" t="s">
        <v>79</v>
      </c>
      <c r="Q119" s="258" t="s">
        <v>80</v>
      </c>
      <c r="R119" s="258"/>
      <c r="S119" s="258"/>
      <c r="T119" s="278"/>
      <c r="U119" s="268"/>
      <c r="V119" s="258" t="s">
        <v>368</v>
      </c>
      <c r="W119" s="277" t="s">
        <v>368</v>
      </c>
      <c r="X119" s="271"/>
      <c r="Y119" s="271" t="s">
        <v>64</v>
      </c>
      <c r="Z119" s="271" t="s">
        <v>64</v>
      </c>
      <c r="AA119" s="271"/>
    </row>
    <row r="120" spans="1:27" s="257" customFormat="1" ht="14.25" hidden="1">
      <c r="A120" s="259">
        <f>A119+1</f>
        <v>97</v>
      </c>
      <c r="B120" s="259" t="s">
        <v>369</v>
      </c>
      <c r="C120" s="259" t="s">
        <v>65</v>
      </c>
      <c r="D120" s="277" t="s">
        <v>370</v>
      </c>
      <c r="E120" s="258" t="str">
        <f>VLOOKUP(D120,Store_Info_VN!B:P,2,0)</f>
        <v>CONVERSE CRESCENT MALL</v>
      </c>
      <c r="F120" s="258" t="s">
        <v>56</v>
      </c>
      <c r="G120" s="258" t="str">
        <f>I120&amp;" "&amp;J120&amp;" "&amp;K120</f>
        <v>Desktop HP ProDesk 400 G3 DM</v>
      </c>
      <c r="H120" s="258">
        <v>1</v>
      </c>
      <c r="I120" s="258" t="s">
        <v>57</v>
      </c>
      <c r="J120" s="258" t="s">
        <v>58</v>
      </c>
      <c r="K120" s="258" t="s">
        <v>69</v>
      </c>
      <c r="L120" s="302"/>
      <c r="M120" s="288" t="s">
        <v>371</v>
      </c>
      <c r="N120" s="277">
        <v>8</v>
      </c>
      <c r="O120" s="314">
        <v>500</v>
      </c>
      <c r="P120" s="259" t="s">
        <v>79</v>
      </c>
      <c r="Q120" s="258" t="s">
        <v>80</v>
      </c>
      <c r="R120" s="258"/>
      <c r="S120" s="258"/>
      <c r="T120" s="278"/>
      <c r="U120" s="268"/>
      <c r="V120" s="259" t="s">
        <v>372</v>
      </c>
      <c r="W120" s="277" t="s">
        <v>372</v>
      </c>
      <c r="X120" s="271"/>
      <c r="Y120" s="273" t="s">
        <v>64</v>
      </c>
      <c r="Z120" s="273" t="s">
        <v>64</v>
      </c>
      <c r="AA120" s="271"/>
    </row>
    <row r="121" spans="1:27" s="257" customFormat="1" hidden="1">
      <c r="A121" s="259">
        <f>A120+1</f>
        <v>98</v>
      </c>
      <c r="B121" s="259"/>
      <c r="C121" s="259" t="s">
        <v>65</v>
      </c>
      <c r="D121" s="277" t="s">
        <v>373</v>
      </c>
      <c r="E121" s="258" t="str">
        <f>VLOOKUP(D121,Store_Info_VN!B:P,2,0)</f>
        <v>CONVERSE AEON BINH DUONG</v>
      </c>
      <c r="F121" s="258" t="s">
        <v>56</v>
      </c>
      <c r="G121" s="258" t="str">
        <f>I121&amp;" "&amp;J121&amp;" "&amp;K121</f>
        <v>Monitor HP V190</v>
      </c>
      <c r="H121" s="258">
        <v>1</v>
      </c>
      <c r="I121" s="258" t="s">
        <v>116</v>
      </c>
      <c r="J121" s="258" t="s">
        <v>58</v>
      </c>
      <c r="K121" s="258" t="s">
        <v>117</v>
      </c>
      <c r="L121" s="302"/>
      <c r="M121" s="656" t="s">
        <v>374</v>
      </c>
      <c r="N121" s="277"/>
      <c r="O121" s="277"/>
      <c r="P121" s="259"/>
      <c r="Q121" s="258"/>
      <c r="R121" s="258"/>
      <c r="S121" s="258"/>
      <c r="T121" s="278" t="s">
        <v>375</v>
      </c>
      <c r="U121" s="268"/>
      <c r="V121" s="258"/>
      <c r="W121" s="277"/>
      <c r="X121" s="271"/>
      <c r="Y121" s="273"/>
      <c r="Z121" s="273"/>
      <c r="AA121" s="271"/>
    </row>
    <row r="122" spans="1:27" s="257" customFormat="1" hidden="1">
      <c r="A122" s="259">
        <f>A121+1</f>
        <v>99</v>
      </c>
      <c r="B122" s="259"/>
      <c r="C122" s="259" t="s">
        <v>65</v>
      </c>
      <c r="D122" s="277" t="s">
        <v>373</v>
      </c>
      <c r="E122" s="258" t="str">
        <f>VLOOKUP(D122,Store_Info_VN!B:P,2,0)</f>
        <v>CONVERSE AEON BINH DUONG</v>
      </c>
      <c r="F122" s="258" t="s">
        <v>56</v>
      </c>
      <c r="G122" s="258" t="str">
        <f>I122&amp;" "&amp;J122&amp;" "&amp;K122</f>
        <v>Bill Printer Epson TM-T82II</v>
      </c>
      <c r="H122" s="258">
        <v>1</v>
      </c>
      <c r="I122" s="258" t="s">
        <v>92</v>
      </c>
      <c r="J122" s="258" t="s">
        <v>93</v>
      </c>
      <c r="K122" s="258" t="s">
        <v>120</v>
      </c>
      <c r="L122" s="302"/>
      <c r="M122" s="288" t="s">
        <v>376</v>
      </c>
      <c r="N122" s="277"/>
      <c r="O122" s="277"/>
      <c r="P122" s="259"/>
      <c r="Q122" s="258"/>
      <c r="R122" s="258"/>
      <c r="S122" s="258"/>
      <c r="T122" s="278"/>
      <c r="U122" s="268"/>
      <c r="V122" s="258"/>
      <c r="W122" s="277"/>
      <c r="X122" s="271"/>
      <c r="Y122" s="273"/>
      <c r="Z122" s="273"/>
      <c r="AA122" s="271"/>
    </row>
    <row r="123" spans="1:27" s="257" customFormat="1" hidden="1">
      <c r="A123" s="259">
        <f>A122+1</f>
        <v>100</v>
      </c>
      <c r="B123" s="259"/>
      <c r="C123" s="259" t="s">
        <v>65</v>
      </c>
      <c r="D123" s="277" t="s">
        <v>373</v>
      </c>
      <c r="E123" s="258" t="str">
        <f>VLOOKUP(D123,Store_Info_VN!B:P,2,0)</f>
        <v>CONVERSE AEON BINH DUONG</v>
      </c>
      <c r="F123" s="258" t="s">
        <v>56</v>
      </c>
      <c r="G123" s="258" t="str">
        <f>I123&amp;" "&amp;J123&amp;" "&amp;K123</f>
        <v>Scanner Datalogic QW2100</v>
      </c>
      <c r="H123" s="258">
        <v>1</v>
      </c>
      <c r="I123" s="258" t="s">
        <v>96</v>
      </c>
      <c r="J123" s="258" t="s">
        <v>97</v>
      </c>
      <c r="K123" s="258" t="s">
        <v>98</v>
      </c>
      <c r="L123" s="302"/>
      <c r="M123" s="288" t="s">
        <v>153</v>
      </c>
      <c r="N123" s="277"/>
      <c r="O123" s="277"/>
      <c r="P123" s="259"/>
      <c r="Q123" s="258"/>
      <c r="R123" s="258"/>
      <c r="S123" s="258"/>
      <c r="T123" s="278"/>
      <c r="U123" s="268"/>
      <c r="V123" s="258"/>
      <c r="W123" s="277"/>
      <c r="X123" s="271"/>
      <c r="Y123" s="273"/>
      <c r="Z123" s="273"/>
      <c r="AA123" s="271"/>
    </row>
    <row r="124" spans="1:27" s="257" customFormat="1" hidden="1">
      <c r="A124" s="259">
        <f>A123+1</f>
        <v>101</v>
      </c>
      <c r="B124" s="259"/>
      <c r="C124" s="259" t="s">
        <v>65</v>
      </c>
      <c r="D124" s="277" t="s">
        <v>373</v>
      </c>
      <c r="E124" s="258" t="str">
        <f>VLOOKUP(D124,Store_Info_VN!B:P,2,0)</f>
        <v>CONVERSE AEON BINH DUONG</v>
      </c>
      <c r="F124" s="258" t="s">
        <v>56</v>
      </c>
      <c r="G124" s="258" t="str">
        <f>I124&amp;" "&amp;J124&amp;" "&amp;K124</f>
        <v>Pole Display Topcash AL-CD1</v>
      </c>
      <c r="H124" s="258">
        <v>1</v>
      </c>
      <c r="I124" s="258" t="s">
        <v>125</v>
      </c>
      <c r="J124" s="258" t="s">
        <v>154</v>
      </c>
      <c r="K124" s="258" t="s">
        <v>155</v>
      </c>
      <c r="L124" s="302"/>
      <c r="M124" s="288" t="s">
        <v>156</v>
      </c>
      <c r="N124" s="277"/>
      <c r="O124" s="277"/>
      <c r="P124" s="259"/>
      <c r="Q124" s="258"/>
      <c r="R124" s="258"/>
      <c r="S124" s="258"/>
      <c r="T124" s="278" t="s">
        <v>375</v>
      </c>
      <c r="U124" s="268"/>
      <c r="V124" s="258"/>
      <c r="W124" s="277"/>
      <c r="X124" s="271"/>
      <c r="Y124" s="273"/>
      <c r="Z124" s="273"/>
      <c r="AA124" s="271"/>
    </row>
    <row r="125" spans="1:27" s="257" customFormat="1" hidden="1">
      <c r="A125" s="259">
        <f>A124+1</f>
        <v>102</v>
      </c>
      <c r="B125" s="259"/>
      <c r="C125" s="259" t="s">
        <v>65</v>
      </c>
      <c r="D125" s="277" t="s">
        <v>373</v>
      </c>
      <c r="E125" s="258" t="str">
        <f>VLOOKUP(D125,Store_Info_VN!B:P,2,0)</f>
        <v>CONVERSE AEON BINH DUONG</v>
      </c>
      <c r="F125" s="258" t="s">
        <v>56</v>
      </c>
      <c r="G125" s="258" t="str">
        <f>I125&amp;" "&amp;J125&amp;" "&amp;K125</f>
        <v>Cash Drawer Poscom 410</v>
      </c>
      <c r="H125" s="258">
        <v>1</v>
      </c>
      <c r="I125" s="258" t="s">
        <v>159</v>
      </c>
      <c r="J125" s="258" t="s">
        <v>160</v>
      </c>
      <c r="K125" s="258">
        <v>410</v>
      </c>
      <c r="L125" s="302"/>
      <c r="M125" s="288" t="s">
        <v>377</v>
      </c>
      <c r="N125" s="277"/>
      <c r="O125" s="277"/>
      <c r="P125" s="259"/>
      <c r="Q125" s="258"/>
      <c r="R125" s="258"/>
      <c r="S125" s="258"/>
      <c r="T125" s="278"/>
      <c r="U125" s="268"/>
      <c r="V125" s="258"/>
      <c r="W125" s="277"/>
      <c r="X125" s="271"/>
      <c r="Y125" s="273"/>
      <c r="Z125" s="273"/>
      <c r="AA125" s="271"/>
    </row>
    <row r="126" spans="1:27" s="257" customFormat="1" hidden="1">
      <c r="A126" s="259">
        <f>A125+1</f>
        <v>103</v>
      </c>
      <c r="B126" s="259"/>
      <c r="C126" s="259" t="s">
        <v>65</v>
      </c>
      <c r="D126" s="277" t="s">
        <v>373</v>
      </c>
      <c r="E126" s="258" t="str">
        <f>VLOOKUP(D126,Store_Info_VN!B:P,2,0)</f>
        <v>CONVERSE AEON BINH DUONG</v>
      </c>
      <c r="F126" s="258" t="s">
        <v>56</v>
      </c>
      <c r="G126" s="258" t="str">
        <f>I126&amp;" "&amp;J126&amp;" "&amp;K126</f>
        <v>A4 Printer HP 107w</v>
      </c>
      <c r="H126" s="258">
        <v>1</v>
      </c>
      <c r="I126" s="258" t="s">
        <v>99</v>
      </c>
      <c r="J126" s="258" t="s">
        <v>58</v>
      </c>
      <c r="K126" s="258" t="s">
        <v>378</v>
      </c>
      <c r="L126" s="302"/>
      <c r="M126" s="288" t="s">
        <v>379</v>
      </c>
      <c r="N126" s="277"/>
      <c r="O126" s="277"/>
      <c r="P126" s="259"/>
      <c r="Q126" s="258"/>
      <c r="R126" s="258"/>
      <c r="S126" s="258"/>
      <c r="T126" s="278"/>
      <c r="U126" s="268"/>
      <c r="V126" s="258"/>
      <c r="W126" s="277"/>
      <c r="X126" s="271"/>
      <c r="Y126" s="273"/>
      <c r="Z126" s="273"/>
      <c r="AA126" s="271"/>
    </row>
    <row r="127" spans="1:27" s="257" customFormat="1" ht="14.25" hidden="1">
      <c r="A127" s="259">
        <f>A126+1</f>
        <v>104</v>
      </c>
      <c r="B127" s="259" t="s">
        <v>380</v>
      </c>
      <c r="C127" s="259" t="s">
        <v>65</v>
      </c>
      <c r="D127" s="277" t="s">
        <v>381</v>
      </c>
      <c r="E127" s="258" t="str">
        <f>VLOOKUP(D127,Store_Info_VN!B:P,2,0)</f>
        <v>CONVERSE NGUYEN TRAI</v>
      </c>
      <c r="F127" s="258" t="s">
        <v>56</v>
      </c>
      <c r="G127" s="258" t="str">
        <f>I127&amp;" "&amp;J127&amp;" "&amp;K127</f>
        <v>Desktop HP ProDesk 400 G3 DM</v>
      </c>
      <c r="H127" s="258">
        <v>1</v>
      </c>
      <c r="I127" s="258" t="s">
        <v>57</v>
      </c>
      <c r="J127" s="258" t="s">
        <v>58</v>
      </c>
      <c r="K127" s="258" t="s">
        <v>69</v>
      </c>
      <c r="L127" s="302"/>
      <c r="M127" s="288" t="s">
        <v>382</v>
      </c>
      <c r="N127" s="277">
        <v>8</v>
      </c>
      <c r="O127" s="277">
        <v>500</v>
      </c>
      <c r="P127" s="259" t="s">
        <v>61</v>
      </c>
      <c r="Q127" s="258" t="s">
        <v>80</v>
      </c>
      <c r="R127" s="258"/>
      <c r="S127" s="258"/>
      <c r="T127" s="278"/>
      <c r="U127" s="268"/>
      <c r="V127" s="258" t="s">
        <v>383</v>
      </c>
      <c r="W127" s="277" t="s">
        <v>383</v>
      </c>
      <c r="X127" s="271"/>
      <c r="Y127" s="273" t="s">
        <v>64</v>
      </c>
      <c r="Z127" s="273" t="s">
        <v>64</v>
      </c>
      <c r="AA127" s="271"/>
    </row>
    <row r="128" spans="1:27" ht="14.25" hidden="1">
      <c r="A128" s="290">
        <f>A127+1</f>
        <v>105</v>
      </c>
      <c r="B128" s="290" t="s">
        <v>384</v>
      </c>
      <c r="C128" s="290" t="s">
        <v>65</v>
      </c>
      <c r="D128" s="289" t="s">
        <v>385</v>
      </c>
      <c r="E128" s="261" t="str">
        <f>VLOOKUP(D128,Store_Info_VN!B:P,2,0)</f>
        <v>CONVERSE HAI BA TRUNG</v>
      </c>
      <c r="F128" s="261" t="s">
        <v>56</v>
      </c>
      <c r="G128" s="261" t="str">
        <f>I128&amp;" "&amp;J128&amp;" "&amp;K128</f>
        <v>Desktop HP ProDesk 400 G3 DM</v>
      </c>
      <c r="H128" s="261">
        <v>1</v>
      </c>
      <c r="I128" s="261" t="s">
        <v>57</v>
      </c>
      <c r="J128" s="261" t="s">
        <v>58</v>
      </c>
      <c r="K128" s="261" t="s">
        <v>69</v>
      </c>
      <c r="L128" s="646"/>
      <c r="M128" s="679" t="s">
        <v>386</v>
      </c>
      <c r="N128" s="289">
        <v>8</v>
      </c>
      <c r="O128" s="289">
        <v>500</v>
      </c>
      <c r="P128" s="290" t="s">
        <v>61</v>
      </c>
      <c r="Q128" s="261" t="s">
        <v>80</v>
      </c>
      <c r="R128" s="261"/>
      <c r="S128" s="261"/>
      <c r="T128" s="666"/>
      <c r="U128" s="291"/>
      <c r="V128" s="261" t="s">
        <v>387</v>
      </c>
      <c r="W128" s="289" t="s">
        <v>387</v>
      </c>
      <c r="X128" s="293"/>
      <c r="Y128" s="638" t="s">
        <v>64</v>
      </c>
      <c r="Z128" s="638" t="s">
        <v>64</v>
      </c>
      <c r="AA128" s="293"/>
    </row>
    <row r="129" spans="1:27" ht="26.25">
      <c r="A129" s="258">
        <f>A128+1</f>
        <v>106</v>
      </c>
      <c r="B129" s="258"/>
      <c r="C129" s="258" t="s">
        <v>54</v>
      </c>
      <c r="D129" s="277" t="s">
        <v>388</v>
      </c>
      <c r="E129" s="258" t="str">
        <f>VLOOKUP(D129,Store_Info_VN!B:P,2,0)</f>
        <v>CONVERSE VINCOM MY THO</v>
      </c>
      <c r="F129" s="258" t="s">
        <v>56</v>
      </c>
      <c r="G129" s="258" t="str">
        <f>I129&amp;" "&amp;J129&amp;" "&amp;K129</f>
        <v>A4 Printer HP  Laser NEVERSTOP 1000W</v>
      </c>
      <c r="H129" s="258">
        <v>1</v>
      </c>
      <c r="I129" s="258" t="s">
        <v>99</v>
      </c>
      <c r="J129" s="258" t="s">
        <v>58</v>
      </c>
      <c r="K129" s="258" t="s">
        <v>389</v>
      </c>
      <c r="M129" s="615" t="s">
        <v>390</v>
      </c>
      <c r="N129" s="277"/>
      <c r="O129" s="277"/>
      <c r="R129" s="258"/>
      <c r="S129" s="258"/>
      <c r="W129" s="308"/>
      <c r="X129" s="277"/>
    </row>
    <row r="130" spans="1:27">
      <c r="A130" s="258">
        <f>A129+1</f>
        <v>107</v>
      </c>
      <c r="B130" s="258"/>
      <c r="C130" s="258" t="s">
        <v>54</v>
      </c>
      <c r="D130" s="277" t="s">
        <v>388</v>
      </c>
      <c r="E130" s="258" t="str">
        <f>VLOOKUP(D130,Store_Info_VN!B:P,2,0)</f>
        <v>CONVERSE VINCOM MY THO</v>
      </c>
      <c r="F130" s="258" t="s">
        <v>56</v>
      </c>
      <c r="G130" s="258" t="str">
        <f>I130&amp;" "&amp;J130&amp;" "&amp;K130</f>
        <v xml:space="preserve">Monitor HP </v>
      </c>
      <c r="H130" s="258">
        <v>1</v>
      </c>
      <c r="I130" s="258" t="s">
        <v>116</v>
      </c>
      <c r="J130" s="258" t="s">
        <v>58</v>
      </c>
      <c r="M130" s="615" t="s">
        <v>391</v>
      </c>
      <c r="N130" s="277"/>
      <c r="O130" s="277"/>
      <c r="R130" s="258"/>
      <c r="S130" s="258"/>
      <c r="W130" s="308"/>
      <c r="X130" s="277"/>
    </row>
    <row r="131" spans="1:27">
      <c r="A131" s="258">
        <f>A130+1</f>
        <v>108</v>
      </c>
      <c r="B131" s="258"/>
      <c r="C131" s="258" t="s">
        <v>54</v>
      </c>
      <c r="D131" s="277" t="s">
        <v>388</v>
      </c>
      <c r="E131" s="258" t="str">
        <f>VLOOKUP(D131,Store_Info_VN!B:P,2,0)</f>
        <v>CONVERSE VINCOM MY THO</v>
      </c>
      <c r="F131" s="258" t="s">
        <v>56</v>
      </c>
      <c r="G131" s="258" t="str">
        <f>I131&amp;" "&amp;J131&amp;" "&amp;K131</f>
        <v>Bill Printer Epson TM-T82III</v>
      </c>
      <c r="H131" s="258">
        <v>1</v>
      </c>
      <c r="I131" s="258" t="s">
        <v>92</v>
      </c>
      <c r="J131" s="258" t="s">
        <v>93</v>
      </c>
      <c r="K131" s="258" t="s">
        <v>94</v>
      </c>
      <c r="M131" s="615" t="s">
        <v>392</v>
      </c>
      <c r="N131" s="277"/>
      <c r="O131" s="277"/>
      <c r="R131" s="258"/>
      <c r="S131" s="258"/>
      <c r="W131" s="308"/>
      <c r="X131" s="277"/>
    </row>
    <row r="132" spans="1:27">
      <c r="A132" s="258">
        <f>A131+1</f>
        <v>109</v>
      </c>
      <c r="B132" s="258"/>
      <c r="C132" s="258" t="s">
        <v>54</v>
      </c>
      <c r="D132" s="277" t="s">
        <v>388</v>
      </c>
      <c r="E132" s="258" t="str">
        <f>VLOOKUP(D132,Store_Info_VN!B:P,2,0)</f>
        <v>CONVERSE VINCOM MY THO</v>
      </c>
      <c r="F132" s="258" t="s">
        <v>56</v>
      </c>
      <c r="G132" s="258" t="str">
        <f>I132&amp;" "&amp;J132&amp;" "&amp;K132</f>
        <v xml:space="preserve">Pole Display VFD </v>
      </c>
      <c r="H132" s="258">
        <v>1</v>
      </c>
      <c r="I132" s="258" t="s">
        <v>125</v>
      </c>
      <c r="J132" s="258" t="s">
        <v>393</v>
      </c>
      <c r="M132" s="615" t="s">
        <v>394</v>
      </c>
      <c r="N132" s="277"/>
      <c r="O132" s="277"/>
      <c r="R132" s="258"/>
      <c r="S132" s="258"/>
      <c r="W132" s="308"/>
      <c r="X132" s="277"/>
    </row>
    <row r="133" spans="1:27">
      <c r="A133" s="258">
        <f>A132+1</f>
        <v>110</v>
      </c>
      <c r="B133" s="258"/>
      <c r="C133" s="258" t="s">
        <v>54</v>
      </c>
      <c r="D133" s="277" t="s">
        <v>388</v>
      </c>
      <c r="E133" s="258" t="str">
        <f>VLOOKUP(D133,Store_Info_VN!B:P,2,0)</f>
        <v>CONVERSE VINCOM MY THO</v>
      </c>
      <c r="F133" s="258" t="s">
        <v>56</v>
      </c>
      <c r="G133" s="258" t="str">
        <f>I133&amp;" "&amp;J133&amp;" "&amp;K133</f>
        <v xml:space="preserve">Cash Drawer MK 410 </v>
      </c>
      <c r="H133" s="258">
        <v>1</v>
      </c>
      <c r="I133" s="258" t="s">
        <v>159</v>
      </c>
      <c r="J133" s="258" t="s">
        <v>395</v>
      </c>
      <c r="M133" s="615" t="s">
        <v>396</v>
      </c>
      <c r="N133" s="277"/>
      <c r="O133" s="277"/>
      <c r="R133" s="258"/>
      <c r="S133" s="258"/>
      <c r="W133" s="308"/>
      <c r="X133" s="277"/>
    </row>
    <row r="134" spans="1:27">
      <c r="A134" s="258">
        <f>A133+1</f>
        <v>111</v>
      </c>
      <c r="B134" s="258"/>
      <c r="C134" s="258" t="s">
        <v>54</v>
      </c>
      <c r="D134" s="277" t="s">
        <v>388</v>
      </c>
      <c r="E134" s="258" t="str">
        <f>VLOOKUP(D134,Store_Info_VN!B:P,2,0)</f>
        <v>CONVERSE VINCOM MY THO</v>
      </c>
      <c r="F134" s="258" t="s">
        <v>56</v>
      </c>
      <c r="G134" s="258" t="str">
        <f>I134&amp;" "&amp;J134&amp;" "&amp;K134</f>
        <v>Scanner Datalogic QW2100</v>
      </c>
      <c r="H134" s="258">
        <v>1</v>
      </c>
      <c r="I134" s="258" t="s">
        <v>96</v>
      </c>
      <c r="J134" s="258" t="s">
        <v>97</v>
      </c>
      <c r="K134" s="258" t="s">
        <v>98</v>
      </c>
      <c r="M134" s="615" t="s">
        <v>397</v>
      </c>
      <c r="N134" s="277"/>
      <c r="O134" s="277"/>
      <c r="R134" s="258"/>
      <c r="S134" s="258"/>
      <c r="W134" s="308"/>
      <c r="X134" s="277"/>
    </row>
    <row r="135" spans="1:27" ht="14.25">
      <c r="A135" s="258">
        <f>A134+1</f>
        <v>112</v>
      </c>
      <c r="B135" s="258" t="s">
        <v>398</v>
      </c>
      <c r="C135" s="258" t="s">
        <v>54</v>
      </c>
      <c r="D135" s="277" t="s">
        <v>399</v>
      </c>
      <c r="E135" s="258" t="str">
        <f>VLOOKUP(D135,Store_Info_VN!B:P,2,0)</f>
        <v>CONVERSE VINCOM ROYAL CITY</v>
      </c>
      <c r="F135" s="258" t="s">
        <v>56</v>
      </c>
      <c r="G135" s="258" t="str">
        <f>I135&amp;" "&amp;J135&amp;" "&amp;K135</f>
        <v>Laptop HP Pavilion 550-170l</v>
      </c>
      <c r="H135" s="258">
        <v>1</v>
      </c>
      <c r="I135" s="258" t="s">
        <v>86</v>
      </c>
      <c r="J135" s="258" t="s">
        <v>58</v>
      </c>
      <c r="K135" s="258" t="s">
        <v>400</v>
      </c>
      <c r="L135" s="302"/>
      <c r="M135" s="615" t="s">
        <v>401</v>
      </c>
      <c r="N135" s="277">
        <v>8</v>
      </c>
      <c r="O135" s="277">
        <v>953251</v>
      </c>
      <c r="P135" s="258" t="s">
        <v>79</v>
      </c>
      <c r="Q135" s="258" t="s">
        <v>402</v>
      </c>
      <c r="R135" s="258"/>
      <c r="S135" s="258"/>
      <c r="V135" s="258" t="s">
        <v>403</v>
      </c>
      <c r="W135" s="277" t="s">
        <v>403</v>
      </c>
      <c r="Y135" s="271" t="s">
        <v>64</v>
      </c>
      <c r="Z135" s="271" t="s">
        <v>64</v>
      </c>
    </row>
    <row r="136" spans="1:27" ht="14.25">
      <c r="A136" s="258">
        <f>A135+1</f>
        <v>113</v>
      </c>
      <c r="B136" s="271"/>
      <c r="C136" s="258" t="s">
        <v>54</v>
      </c>
      <c r="D136" s="258" t="s">
        <v>399</v>
      </c>
      <c r="E136" s="258" t="str">
        <f>VLOOKUP(D136,Store_Info_VN!B:P,2,0)</f>
        <v>CONVERSE VINCOM ROYAL CITY</v>
      </c>
      <c r="F136" s="258" t="s">
        <v>56</v>
      </c>
      <c r="G136" s="258" t="str">
        <f>I136&amp;" "&amp;J136&amp;" "&amp;K136</f>
        <v xml:space="preserve">Monitor HP </v>
      </c>
      <c r="H136" s="258">
        <v>1</v>
      </c>
      <c r="I136" s="258" t="s">
        <v>116</v>
      </c>
      <c r="J136" s="258" t="s">
        <v>58</v>
      </c>
      <c r="M136" s="304" t="s">
        <v>404</v>
      </c>
      <c r="W136" s="277"/>
    </row>
    <row r="137" spans="1:27" ht="14.25">
      <c r="A137" s="258">
        <f>A136+1</f>
        <v>114</v>
      </c>
      <c r="B137" s="271"/>
      <c r="C137" s="258" t="s">
        <v>54</v>
      </c>
      <c r="D137" s="258" t="s">
        <v>399</v>
      </c>
      <c r="E137" s="258" t="str">
        <f>VLOOKUP(D137,Store_Info_VN!B:P,2,0)</f>
        <v>CONVERSE VINCOM ROYAL CITY</v>
      </c>
      <c r="F137" s="258" t="s">
        <v>56</v>
      </c>
      <c r="G137" s="258" t="str">
        <f>I137&amp;" "&amp;J137&amp;" "&amp;K137</f>
        <v>Bill Printer Epson TM-T82III</v>
      </c>
      <c r="H137" s="258">
        <v>1</v>
      </c>
      <c r="I137" s="258" t="s">
        <v>92</v>
      </c>
      <c r="J137" s="258" t="s">
        <v>93</v>
      </c>
      <c r="K137" s="258" t="s">
        <v>94</v>
      </c>
      <c r="M137" s="304" t="s">
        <v>405</v>
      </c>
      <c r="W137" s="277"/>
    </row>
    <row r="138" spans="1:27" ht="14.25">
      <c r="A138" s="258">
        <f>A137+1</f>
        <v>115</v>
      </c>
      <c r="B138" s="271"/>
      <c r="C138" s="258" t="s">
        <v>54</v>
      </c>
      <c r="D138" s="258" t="s">
        <v>399</v>
      </c>
      <c r="E138" s="258" t="str">
        <f>VLOOKUP(D138,Store_Info_VN!B:P,2,0)</f>
        <v>CONVERSE VINCOM ROYAL CITY</v>
      </c>
      <c r="F138" s="258" t="s">
        <v>56</v>
      </c>
      <c r="G138" s="258" t="str">
        <f>I138&amp;" "&amp;J138&amp;" "&amp;K138</f>
        <v>Scanner Datalogic QW2100</v>
      </c>
      <c r="H138" s="258">
        <v>1</v>
      </c>
      <c r="I138" s="258" t="s">
        <v>96</v>
      </c>
      <c r="J138" s="258" t="s">
        <v>97</v>
      </c>
      <c r="K138" s="258" t="s">
        <v>98</v>
      </c>
      <c r="M138" s="304" t="s">
        <v>406</v>
      </c>
      <c r="W138" s="277"/>
    </row>
    <row r="139" spans="1:27" ht="14.25">
      <c r="A139" s="258">
        <f>A138+1</f>
        <v>116</v>
      </c>
      <c r="B139" s="271"/>
      <c r="C139" s="258" t="s">
        <v>54</v>
      </c>
      <c r="D139" s="258" t="s">
        <v>399</v>
      </c>
      <c r="E139" s="258" t="str">
        <f>VLOOKUP(D139,Store_Info_VN!B:P,2,0)</f>
        <v>CONVERSE VINCOM ROYAL CITY</v>
      </c>
      <c r="F139" s="258" t="s">
        <v>56</v>
      </c>
      <c r="G139" s="258" t="str">
        <f>I139&amp;" "&amp;J139&amp;" "&amp;K139</f>
        <v>Pole Display  VFD220V</v>
      </c>
      <c r="H139" s="258">
        <v>1</v>
      </c>
      <c r="I139" s="258" t="s">
        <v>125</v>
      </c>
      <c r="K139" s="258" t="s">
        <v>407</v>
      </c>
      <c r="M139" s="304" t="s">
        <v>408</v>
      </c>
      <c r="W139" s="277"/>
    </row>
    <row r="140" spans="1:27" ht="14.25">
      <c r="A140" s="258">
        <f>A139+1</f>
        <v>117</v>
      </c>
      <c r="B140" s="271"/>
      <c r="C140" s="258" t="s">
        <v>54</v>
      </c>
      <c r="D140" s="258" t="s">
        <v>399</v>
      </c>
      <c r="E140" s="258" t="str">
        <f>VLOOKUP(D140,Store_Info_VN!B:P,2,0)</f>
        <v>CONVERSE VINCOM ROYAL CITY</v>
      </c>
      <c r="F140" s="258" t="s">
        <v>56</v>
      </c>
      <c r="G140" s="258" t="str">
        <f>I140&amp;" "&amp;J140&amp;" "&amp;K140</f>
        <v>Cash Drawer Maken MK410</v>
      </c>
      <c r="H140" s="258">
        <v>1</v>
      </c>
      <c r="I140" s="258" t="s">
        <v>159</v>
      </c>
      <c r="J140" s="258" t="s">
        <v>230</v>
      </c>
      <c r="K140" s="258" t="s">
        <v>231</v>
      </c>
      <c r="M140" s="304" t="s">
        <v>409</v>
      </c>
      <c r="W140" s="277"/>
    </row>
    <row r="141" spans="1:27" ht="14.25">
      <c r="A141" s="258">
        <f>A140+1</f>
        <v>118</v>
      </c>
      <c r="B141" s="271"/>
      <c r="C141" s="258" t="s">
        <v>54</v>
      </c>
      <c r="D141" s="258" t="s">
        <v>399</v>
      </c>
      <c r="E141" s="258" t="str">
        <f>VLOOKUP(D141,Store_Info_VN!B:P,2,0)</f>
        <v>CONVERSE VINCOM ROYAL CITY</v>
      </c>
      <c r="F141" s="258" t="s">
        <v>56</v>
      </c>
      <c r="G141" s="258" t="str">
        <f>I141&amp;" "&amp;J141&amp;" "&amp;K141</f>
        <v>A4 Printer Canon LBP 2900</v>
      </c>
      <c r="H141" s="258">
        <v>1</v>
      </c>
      <c r="I141" s="258" t="s">
        <v>99</v>
      </c>
      <c r="J141" s="258" t="s">
        <v>100</v>
      </c>
      <c r="K141" s="258" t="s">
        <v>101</v>
      </c>
      <c r="M141" s="304" t="s">
        <v>410</v>
      </c>
      <c r="W141" s="277"/>
    </row>
    <row r="142" spans="1:27" ht="14.25">
      <c r="A142" s="279">
        <f>A141+1</f>
        <v>119</v>
      </c>
      <c r="B142" s="284"/>
      <c r="C142" s="279" t="s">
        <v>54</v>
      </c>
      <c r="D142" s="279" t="s">
        <v>399</v>
      </c>
      <c r="E142" s="279" t="str">
        <f>VLOOKUP(D142,Store_Info_VN!B:P,2,0)</f>
        <v>CONVERSE VINCOM ROYAL CITY</v>
      </c>
      <c r="F142" s="279" t="s">
        <v>56</v>
      </c>
      <c r="G142" s="279" t="str">
        <f>I142&amp;" "&amp;J142&amp;" "&amp;K142</f>
        <v xml:space="preserve">Network Switch Mercusys </v>
      </c>
      <c r="H142" s="279">
        <v>1</v>
      </c>
      <c r="I142" s="279" t="s">
        <v>172</v>
      </c>
      <c r="J142" s="279" t="s">
        <v>173</v>
      </c>
      <c r="K142" s="279"/>
      <c r="L142" s="279" t="s">
        <v>174</v>
      </c>
      <c r="M142" s="629"/>
      <c r="N142" s="279"/>
      <c r="O142" s="279"/>
      <c r="P142" s="279"/>
      <c r="Q142" s="279"/>
      <c r="R142" s="284"/>
      <c r="S142" s="284"/>
      <c r="T142" s="285"/>
      <c r="U142" s="286"/>
      <c r="V142" s="279"/>
      <c r="W142" s="303"/>
      <c r="X142" s="284"/>
      <c r="Y142" s="284"/>
      <c r="Z142" s="284"/>
      <c r="AA142" s="284"/>
    </row>
    <row r="143" spans="1:27" s="257" customFormat="1" ht="14.25" hidden="1">
      <c r="A143" s="259">
        <f>A142+1</f>
        <v>120</v>
      </c>
      <c r="B143" s="259" t="s">
        <v>411</v>
      </c>
      <c r="C143" s="259" t="s">
        <v>65</v>
      </c>
      <c r="D143" s="277" t="s">
        <v>373</v>
      </c>
      <c r="E143" s="258" t="str">
        <f>VLOOKUP(D143,Store_Info_VN!B:P,2,0)</f>
        <v>CONVERSE AEON BINH DUONG</v>
      </c>
      <c r="F143" s="258" t="s">
        <v>56</v>
      </c>
      <c r="G143" s="258" t="str">
        <f>I143&amp;" "&amp;J143&amp;" "&amp;K143</f>
        <v>Desktop HP ProDesk 400 G3 DM</v>
      </c>
      <c r="H143" s="258">
        <v>1</v>
      </c>
      <c r="I143" s="258" t="s">
        <v>57</v>
      </c>
      <c r="J143" s="258" t="s">
        <v>58</v>
      </c>
      <c r="K143" s="258" t="s">
        <v>69</v>
      </c>
      <c r="L143" s="302"/>
      <c r="M143" s="288" t="s">
        <v>412</v>
      </c>
      <c r="N143" s="277">
        <v>8</v>
      </c>
      <c r="O143" s="277">
        <v>500</v>
      </c>
      <c r="P143" s="259" t="s">
        <v>61</v>
      </c>
      <c r="Q143" s="258" t="s">
        <v>80</v>
      </c>
      <c r="R143" s="258"/>
      <c r="S143" s="258"/>
      <c r="T143" s="278"/>
      <c r="U143" s="268"/>
      <c r="V143" s="258" t="s">
        <v>413</v>
      </c>
      <c r="W143" s="277" t="s">
        <v>413</v>
      </c>
      <c r="X143" s="271"/>
      <c r="Y143" s="273" t="s">
        <v>64</v>
      </c>
      <c r="Z143" s="273" t="s">
        <v>64</v>
      </c>
      <c r="AA143" s="271"/>
    </row>
    <row r="144" spans="1:27" ht="14.25" hidden="1">
      <c r="A144" s="290">
        <f>A143+1</f>
        <v>121</v>
      </c>
      <c r="B144" s="290" t="s">
        <v>414</v>
      </c>
      <c r="C144" s="290" t="s">
        <v>65</v>
      </c>
      <c r="D144" s="289" t="s">
        <v>415</v>
      </c>
      <c r="E144" s="261" t="str">
        <f>VLOOKUP(D144,Store_Info_VN!B:P,2,0)</f>
        <v>CONVERSE AEON BINH TAN</v>
      </c>
      <c r="F144" s="261" t="s">
        <v>56</v>
      </c>
      <c r="G144" s="261" t="str">
        <f>I144&amp;" "&amp;J144&amp;" "&amp;K144</f>
        <v>Desktop HP ProDesk 400 G3 DM</v>
      </c>
      <c r="H144" s="261">
        <v>1</v>
      </c>
      <c r="I144" s="261" t="s">
        <v>57</v>
      </c>
      <c r="J144" s="261" t="s">
        <v>58</v>
      </c>
      <c r="K144" s="261" t="s">
        <v>69</v>
      </c>
      <c r="L144" s="646"/>
      <c r="M144" s="679" t="s">
        <v>416</v>
      </c>
      <c r="N144" s="289">
        <v>8</v>
      </c>
      <c r="O144" s="289">
        <v>500</v>
      </c>
      <c r="P144" s="290" t="s">
        <v>61</v>
      </c>
      <c r="Q144" s="261" t="s">
        <v>80</v>
      </c>
      <c r="R144" s="261"/>
      <c r="S144" s="261"/>
      <c r="T144" s="666"/>
      <c r="U144" s="291"/>
      <c r="V144" s="261" t="s">
        <v>417</v>
      </c>
      <c r="W144" s="289" t="s">
        <v>417</v>
      </c>
      <c r="X144" s="293"/>
      <c r="Y144" s="638" t="s">
        <v>64</v>
      </c>
      <c r="Z144" s="638" t="s">
        <v>64</v>
      </c>
      <c r="AA144" s="293"/>
    </row>
    <row r="145" spans="1:27" ht="26.25">
      <c r="A145" s="258">
        <f>A144+1</f>
        <v>122</v>
      </c>
      <c r="B145" s="271"/>
      <c r="C145" s="258" t="s">
        <v>54</v>
      </c>
      <c r="D145" s="258" t="s">
        <v>157</v>
      </c>
      <c r="E145" s="258" t="s">
        <v>418</v>
      </c>
      <c r="F145" s="258" t="s">
        <v>56</v>
      </c>
      <c r="G145" s="258" t="str">
        <f>I145&amp;" "&amp;J145&amp;" "&amp;K145</f>
        <v xml:space="preserve">Monitor HP </v>
      </c>
      <c r="H145" s="258">
        <v>1</v>
      </c>
      <c r="I145" s="258" t="s">
        <v>116</v>
      </c>
      <c r="J145" s="258" t="s">
        <v>58</v>
      </c>
      <c r="M145" s="304" t="s">
        <v>419</v>
      </c>
      <c r="U145" s="268" t="s">
        <v>420</v>
      </c>
      <c r="W145" s="277"/>
    </row>
    <row r="146" spans="1:27" ht="42">
      <c r="A146" s="258">
        <f>A145+1</f>
        <v>123</v>
      </c>
      <c r="B146" s="271"/>
      <c r="C146" s="258" t="s">
        <v>54</v>
      </c>
      <c r="D146" s="258" t="s">
        <v>122</v>
      </c>
      <c r="E146" s="258" t="str">
        <f>VLOOKUP(D146,Store_Info_VN!B:P,2,0)</f>
        <v>ROOKIE LOTTE HA NOI DEPARTMENT</v>
      </c>
      <c r="F146" s="258" t="s">
        <v>56</v>
      </c>
      <c r="G146" s="258" t="str">
        <f>I146&amp;" "&amp;J146&amp;" "&amp;K146</f>
        <v>Bill Printer Epson TM-T82III</v>
      </c>
      <c r="H146" s="258">
        <v>1</v>
      </c>
      <c r="I146" s="258" t="s">
        <v>92</v>
      </c>
      <c r="J146" s="258" t="s">
        <v>93</v>
      </c>
      <c r="K146" s="258" t="s">
        <v>94</v>
      </c>
      <c r="M146" s="304" t="s">
        <v>421</v>
      </c>
      <c r="U146" s="268" t="s">
        <v>422</v>
      </c>
      <c r="W146" s="277"/>
    </row>
    <row r="147" spans="1:27" ht="26.25">
      <c r="A147" s="258">
        <f>A146+1</f>
        <v>124</v>
      </c>
      <c r="B147" s="271"/>
      <c r="C147" s="258" t="s">
        <v>54</v>
      </c>
      <c r="D147" s="258" t="s">
        <v>157</v>
      </c>
      <c r="E147" s="258" t="s">
        <v>418</v>
      </c>
      <c r="F147" s="258" t="s">
        <v>56</v>
      </c>
      <c r="G147" s="258" t="str">
        <f>I147&amp;" "&amp;J147&amp;" "&amp;K147</f>
        <v>A4 Printer Canon LBP 2900</v>
      </c>
      <c r="H147" s="258">
        <v>1</v>
      </c>
      <c r="I147" s="258" t="s">
        <v>99</v>
      </c>
      <c r="J147" s="258" t="s">
        <v>100</v>
      </c>
      <c r="K147" s="258" t="s">
        <v>101</v>
      </c>
      <c r="M147" s="304" t="s">
        <v>423</v>
      </c>
      <c r="U147" s="268" t="s">
        <v>420</v>
      </c>
      <c r="W147" s="277"/>
    </row>
    <row r="148" spans="1:27" ht="26.25">
      <c r="A148" s="258">
        <f>A147+1</f>
        <v>125</v>
      </c>
      <c r="B148" s="271"/>
      <c r="C148" s="258" t="s">
        <v>54</v>
      </c>
      <c r="D148" s="258" t="s">
        <v>157</v>
      </c>
      <c r="E148" s="258" t="s">
        <v>418</v>
      </c>
      <c r="F148" s="258" t="s">
        <v>56</v>
      </c>
      <c r="G148" s="258" t="str">
        <f>I148&amp;" "&amp;J148&amp;" "&amp;K148</f>
        <v>Pole Display  VFD220V-I</v>
      </c>
      <c r="H148" s="258">
        <v>1</v>
      </c>
      <c r="I148" s="258" t="s">
        <v>125</v>
      </c>
      <c r="K148" s="258" t="s">
        <v>424</v>
      </c>
      <c r="M148" s="304" t="s">
        <v>425</v>
      </c>
      <c r="U148" s="268" t="s">
        <v>420</v>
      </c>
      <c r="W148" s="277"/>
    </row>
    <row r="149" spans="1:27" ht="26.25">
      <c r="A149" s="258">
        <f>A148+1</f>
        <v>126</v>
      </c>
      <c r="B149" s="271"/>
      <c r="C149" s="258" t="s">
        <v>54</v>
      </c>
      <c r="D149" s="258" t="s">
        <v>157</v>
      </c>
      <c r="E149" s="258" t="s">
        <v>418</v>
      </c>
      <c r="F149" s="258" t="s">
        <v>56</v>
      </c>
      <c r="G149" s="258" t="str">
        <f>I149&amp;" "&amp;J149&amp;" "&amp;K149</f>
        <v>Cash Drawer Maken MK410</v>
      </c>
      <c r="H149" s="258">
        <v>1</v>
      </c>
      <c r="I149" s="258" t="s">
        <v>159</v>
      </c>
      <c r="J149" s="258" t="s">
        <v>230</v>
      </c>
      <c r="K149" s="258" t="s">
        <v>231</v>
      </c>
      <c r="M149" s="304" t="s">
        <v>426</v>
      </c>
      <c r="U149" s="268" t="s">
        <v>420</v>
      </c>
      <c r="W149" s="277"/>
    </row>
    <row r="150" spans="1:27" ht="26.25">
      <c r="A150" s="258">
        <f>A149+1</f>
        <v>127</v>
      </c>
      <c r="B150" s="271"/>
      <c r="C150" s="258" t="s">
        <v>54</v>
      </c>
      <c r="D150" s="258" t="s">
        <v>157</v>
      </c>
      <c r="E150" s="258" t="s">
        <v>418</v>
      </c>
      <c r="F150" s="258" t="s">
        <v>56</v>
      </c>
      <c r="G150" s="258" t="str">
        <f>I150&amp;" "&amp;J150&amp;" "&amp;K150</f>
        <v>Scanner Datalogic QW2100</v>
      </c>
      <c r="H150" s="258">
        <v>1</v>
      </c>
      <c r="I150" s="258" t="s">
        <v>96</v>
      </c>
      <c r="J150" s="258" t="s">
        <v>97</v>
      </c>
      <c r="K150" s="258" t="s">
        <v>98</v>
      </c>
      <c r="M150" s="304" t="s">
        <v>427</v>
      </c>
      <c r="U150" s="268" t="s">
        <v>420</v>
      </c>
      <c r="W150" s="277"/>
    </row>
    <row r="151" spans="1:27" ht="14.25">
      <c r="A151" s="258">
        <f>A150+1</f>
        <v>128</v>
      </c>
      <c r="B151" s="258" t="s">
        <v>428</v>
      </c>
      <c r="C151" s="258" t="s">
        <v>54</v>
      </c>
      <c r="D151" s="277" t="s">
        <v>388</v>
      </c>
      <c r="E151" s="258" t="str">
        <f>VLOOKUP(D151,Store_Info_VN!B:P,2,0)</f>
        <v>CONVERSE VINCOM MY THO</v>
      </c>
      <c r="F151" s="258" t="s">
        <v>56</v>
      </c>
      <c r="G151" s="258" t="str">
        <f>I151&amp;" "&amp;J151&amp;" "&amp;K151</f>
        <v>Desktop HP ProDesk 400 G3 DM</v>
      </c>
      <c r="H151" s="258">
        <v>1</v>
      </c>
      <c r="I151" s="258" t="s">
        <v>57</v>
      </c>
      <c r="J151" s="258" t="s">
        <v>58</v>
      </c>
      <c r="K151" s="258" t="s">
        <v>69</v>
      </c>
      <c r="L151" s="302"/>
      <c r="M151" s="615" t="s">
        <v>429</v>
      </c>
      <c r="N151" s="277">
        <v>8</v>
      </c>
      <c r="O151" s="277">
        <v>500</v>
      </c>
      <c r="P151" s="258" t="s">
        <v>61</v>
      </c>
      <c r="Q151" s="258" t="s">
        <v>80</v>
      </c>
      <c r="R151" s="258"/>
      <c r="S151" s="258"/>
      <c r="V151" s="258" t="s">
        <v>430</v>
      </c>
      <c r="W151" s="277" t="s">
        <v>430</v>
      </c>
      <c r="Y151" s="271" t="s">
        <v>64</v>
      </c>
      <c r="Z151" s="271" t="s">
        <v>64</v>
      </c>
    </row>
    <row r="152" spans="1:27" ht="14.25">
      <c r="A152" s="258">
        <f>A151+1</f>
        <v>129</v>
      </c>
      <c r="B152" s="258"/>
      <c r="C152" s="258" t="s">
        <v>54</v>
      </c>
      <c r="D152" s="277" t="s">
        <v>388</v>
      </c>
      <c r="F152" s="258" t="s">
        <v>56</v>
      </c>
      <c r="G152" s="258" t="str">
        <f>I152&amp;" "&amp;J152&amp;" "&amp;K152</f>
        <v xml:space="preserve">Monitor Dell </v>
      </c>
      <c r="H152" s="258">
        <v>1</v>
      </c>
      <c r="I152" s="258" t="s">
        <v>116</v>
      </c>
      <c r="J152" s="258" t="s">
        <v>133</v>
      </c>
      <c r="L152" s="302"/>
      <c r="M152" s="615" t="s">
        <v>431</v>
      </c>
      <c r="N152" s="277"/>
      <c r="O152" s="277"/>
      <c r="R152" s="258"/>
      <c r="S152" s="258"/>
      <c r="W152" s="277"/>
    </row>
    <row r="153" spans="1:27" ht="14.25">
      <c r="A153" s="258">
        <f>A152+1</f>
        <v>130</v>
      </c>
      <c r="B153" s="258"/>
      <c r="C153" s="258" t="s">
        <v>54</v>
      </c>
      <c r="D153" s="277" t="s">
        <v>388</v>
      </c>
      <c r="F153" s="258" t="s">
        <v>56</v>
      </c>
      <c r="G153" s="258" t="str">
        <f>I153&amp;" "&amp;J153&amp;" "&amp;K153</f>
        <v>Bill Printer Epson TM-T82III</v>
      </c>
      <c r="H153" s="258">
        <v>1</v>
      </c>
      <c r="I153" s="258" t="s">
        <v>92</v>
      </c>
      <c r="J153" s="258" t="s">
        <v>93</v>
      </c>
      <c r="K153" s="258" t="s">
        <v>94</v>
      </c>
      <c r="L153" s="302"/>
      <c r="M153" s="615" t="s">
        <v>432</v>
      </c>
      <c r="N153" s="277"/>
      <c r="O153" s="277"/>
      <c r="R153" s="258"/>
      <c r="S153" s="258"/>
      <c r="W153" s="277"/>
    </row>
    <row r="154" spans="1:27" ht="14.25">
      <c r="A154" s="258">
        <f>A153+1</f>
        <v>131</v>
      </c>
      <c r="B154" s="258"/>
      <c r="C154" s="258" t="s">
        <v>54</v>
      </c>
      <c r="D154" s="277" t="s">
        <v>388</v>
      </c>
      <c r="F154" s="258" t="s">
        <v>56</v>
      </c>
      <c r="G154" s="258" t="str">
        <f>I154&amp;" "&amp;J154&amp;" "&amp;K154</f>
        <v>Scanner Datalogic QW2100</v>
      </c>
      <c r="H154" s="258">
        <v>1</v>
      </c>
      <c r="I154" s="258" t="s">
        <v>96</v>
      </c>
      <c r="J154" s="258" t="s">
        <v>97</v>
      </c>
      <c r="K154" s="258" t="s">
        <v>98</v>
      </c>
      <c r="L154" s="302"/>
      <c r="M154" s="615" t="s">
        <v>433</v>
      </c>
      <c r="N154" s="277"/>
      <c r="O154" s="277"/>
      <c r="R154" s="258"/>
      <c r="S154" s="258"/>
      <c r="W154" s="277"/>
    </row>
    <row r="155" spans="1:27" ht="14.25">
      <c r="A155" s="258">
        <f>A154+1</f>
        <v>132</v>
      </c>
      <c r="B155" s="258"/>
      <c r="C155" s="258" t="s">
        <v>54</v>
      </c>
      <c r="D155" s="277" t="s">
        <v>388</v>
      </c>
      <c r="F155" s="258" t="s">
        <v>56</v>
      </c>
      <c r="G155" s="258" t="str">
        <f>I155&amp;" "&amp;J155&amp;" "&amp;K155</f>
        <v>Pole Display  VFD</v>
      </c>
      <c r="H155" s="258">
        <v>1</v>
      </c>
      <c r="I155" s="258" t="s">
        <v>125</v>
      </c>
      <c r="K155" s="258" t="s">
        <v>393</v>
      </c>
      <c r="L155" s="302"/>
      <c r="M155" s="615" t="s">
        <v>434</v>
      </c>
      <c r="N155" s="277"/>
      <c r="O155" s="277"/>
      <c r="R155" s="258"/>
      <c r="S155" s="258"/>
      <c r="W155" s="277"/>
    </row>
    <row r="156" spans="1:27" ht="14.25">
      <c r="A156" s="258">
        <f>A155+1</f>
        <v>133</v>
      </c>
      <c r="B156" s="258"/>
      <c r="C156" s="258" t="s">
        <v>54</v>
      </c>
      <c r="D156" s="277" t="s">
        <v>388</v>
      </c>
      <c r="F156" s="258" t="s">
        <v>56</v>
      </c>
      <c r="G156" s="258" t="str">
        <f>I156&amp;" "&amp;J156&amp;" "&amp;K156</f>
        <v>Cash Drawer Maken MK410</v>
      </c>
      <c r="H156" s="258">
        <v>1</v>
      </c>
      <c r="I156" s="258" t="s">
        <v>159</v>
      </c>
      <c r="J156" s="258" t="s">
        <v>230</v>
      </c>
      <c r="K156" s="258" t="s">
        <v>231</v>
      </c>
      <c r="L156" s="302"/>
      <c r="M156" s="615" t="s">
        <v>435</v>
      </c>
      <c r="N156" s="277"/>
      <c r="O156" s="277"/>
      <c r="R156" s="258"/>
      <c r="S156" s="258"/>
      <c r="W156" s="277"/>
    </row>
    <row r="157" spans="1:27" ht="14.25">
      <c r="A157" s="258">
        <f>A156+1</f>
        <v>134</v>
      </c>
      <c r="B157" s="258"/>
      <c r="C157" s="258" t="s">
        <v>54</v>
      </c>
      <c r="D157" s="277" t="s">
        <v>388</v>
      </c>
      <c r="F157" s="258" t="s">
        <v>56</v>
      </c>
      <c r="G157" s="258" t="str">
        <f>I157&amp;" "&amp;J157&amp;" "&amp;K157</f>
        <v xml:space="preserve">Network Switch Mercusys </v>
      </c>
      <c r="H157" s="258">
        <v>1</v>
      </c>
      <c r="I157" s="258" t="s">
        <v>172</v>
      </c>
      <c r="J157" s="258" t="s">
        <v>173</v>
      </c>
      <c r="L157" s="258" t="s">
        <v>174</v>
      </c>
      <c r="M157" s="615" t="s">
        <v>246</v>
      </c>
      <c r="N157" s="277"/>
      <c r="O157" s="277"/>
      <c r="R157" s="258"/>
      <c r="S157" s="258"/>
      <c r="W157" s="277"/>
    </row>
    <row r="158" spans="1:27" ht="14.25">
      <c r="A158" s="279">
        <f>A157+1</f>
        <v>135</v>
      </c>
      <c r="B158" s="279"/>
      <c r="C158" s="279" t="s">
        <v>54</v>
      </c>
      <c r="D158" s="277" t="s">
        <v>388</v>
      </c>
      <c r="E158" s="279"/>
      <c r="F158" s="279" t="s">
        <v>56</v>
      </c>
      <c r="G158" s="279" t="str">
        <f>I158&amp;" "&amp;J158&amp;" "&amp;K158</f>
        <v>A4 Printer Canon LBP 2900</v>
      </c>
      <c r="H158" s="279">
        <v>1</v>
      </c>
      <c r="I158" s="279" t="s">
        <v>99</v>
      </c>
      <c r="J158" s="279" t="s">
        <v>100</v>
      </c>
      <c r="K158" s="279" t="s">
        <v>101</v>
      </c>
      <c r="L158" s="318"/>
      <c r="M158" s="662" t="s">
        <v>436</v>
      </c>
      <c r="N158" s="303"/>
      <c r="O158" s="303"/>
      <c r="P158" s="279"/>
      <c r="Q158" s="279"/>
      <c r="R158" s="279"/>
      <c r="S158" s="279"/>
      <c r="T158" s="285"/>
      <c r="U158" s="286"/>
      <c r="V158" s="279"/>
      <c r="W158" s="303"/>
      <c r="X158" s="284"/>
      <c r="Y158" s="284"/>
      <c r="Z158" s="284"/>
      <c r="AA158" s="284"/>
    </row>
    <row r="159" spans="1:27" s="257" customFormat="1" ht="39" hidden="1">
      <c r="A159" s="259">
        <f>A158+1</f>
        <v>136</v>
      </c>
      <c r="B159" s="259"/>
      <c r="C159" s="259" t="s">
        <v>65</v>
      </c>
      <c r="D159" s="277" t="s">
        <v>370</v>
      </c>
      <c r="E159" s="258" t="str">
        <f>VLOOKUP(D159,Store_Info_VN!B:P,2,0)</f>
        <v>CONVERSE CRESCENT MALL</v>
      </c>
      <c r="F159" s="258" t="s">
        <v>56</v>
      </c>
      <c r="G159" s="258" t="str">
        <f>I159&amp;" "&amp;J159&amp;" "&amp;K159</f>
        <v>O2O Printer Postek IQ200 Bluetooth</v>
      </c>
      <c r="H159" s="258">
        <v>1</v>
      </c>
      <c r="I159" s="258" t="s">
        <v>437</v>
      </c>
      <c r="J159" s="258" t="s">
        <v>438</v>
      </c>
      <c r="K159" s="258" t="s">
        <v>439</v>
      </c>
      <c r="L159" s="302"/>
      <c r="M159" s="288" t="s">
        <v>440</v>
      </c>
      <c r="N159" s="277"/>
      <c r="O159" s="277"/>
      <c r="P159" s="259"/>
      <c r="Q159" s="258"/>
      <c r="R159" s="258"/>
      <c r="S159" s="258"/>
      <c r="T159" s="278"/>
      <c r="U159" s="268" t="s">
        <v>441</v>
      </c>
      <c r="V159" s="258"/>
      <c r="W159" s="277"/>
      <c r="X159" s="271"/>
      <c r="Y159" s="273"/>
      <c r="Z159" s="273"/>
      <c r="AA159" s="271"/>
    </row>
    <row r="160" spans="1:27" s="257" customFormat="1" ht="39" hidden="1">
      <c r="A160" s="259">
        <f>A159+1</f>
        <v>137</v>
      </c>
      <c r="B160" s="259"/>
      <c r="C160" s="259" t="s">
        <v>65</v>
      </c>
      <c r="D160" s="277" t="s">
        <v>370</v>
      </c>
      <c r="E160" s="258" t="str">
        <f>VLOOKUP(D160,Store_Info_VN!B:P,2,0)</f>
        <v>CONVERSE CRESCENT MALL</v>
      </c>
      <c r="F160" s="258" t="s">
        <v>56</v>
      </c>
      <c r="G160" s="258" t="str">
        <f>I160&amp;" "&amp;J160&amp;" "&amp;K160</f>
        <v>Tablet Samsung GALAXY S6 LITE 64GB LTE</v>
      </c>
      <c r="H160" s="258">
        <v>1</v>
      </c>
      <c r="I160" s="258" t="s">
        <v>442</v>
      </c>
      <c r="J160" s="258" t="s">
        <v>443</v>
      </c>
      <c r="K160" s="258" t="s">
        <v>444</v>
      </c>
      <c r="L160" s="302"/>
      <c r="M160" s="288" t="s">
        <v>445</v>
      </c>
      <c r="N160" s="277"/>
      <c r="O160" s="277"/>
      <c r="P160" s="259"/>
      <c r="Q160" s="258"/>
      <c r="R160" s="258"/>
      <c r="S160" s="258"/>
      <c r="T160" s="278" t="s">
        <v>446</v>
      </c>
      <c r="U160" s="268" t="s">
        <v>441</v>
      </c>
      <c r="V160" s="258"/>
      <c r="W160" s="277"/>
      <c r="X160" s="271"/>
      <c r="Y160" s="273"/>
      <c r="Z160" s="273"/>
      <c r="AA160" s="271"/>
    </row>
    <row r="161" spans="1:27" s="257" customFormat="1" ht="39" hidden="1">
      <c r="A161" s="259">
        <f>A160+1</f>
        <v>138</v>
      </c>
      <c r="B161" s="259"/>
      <c r="C161" s="259" t="s">
        <v>65</v>
      </c>
      <c r="D161" s="277" t="s">
        <v>370</v>
      </c>
      <c r="E161" s="258" t="str">
        <f>VLOOKUP(D161,Store_Info_VN!B:P,2,0)</f>
        <v>CONVERSE CRESCENT MALL</v>
      </c>
      <c r="F161" s="258" t="s">
        <v>56</v>
      </c>
      <c r="G161" s="258" t="str">
        <f>I161&amp;" "&amp;J161&amp;" "&amp;K161</f>
        <v xml:space="preserve">Sim 4G Mobifone </v>
      </c>
      <c r="H161" s="258">
        <v>1</v>
      </c>
      <c r="I161" s="258" t="s">
        <v>447</v>
      </c>
      <c r="J161" s="258" t="s">
        <v>448</v>
      </c>
      <c r="K161" s="258"/>
      <c r="L161" s="302"/>
      <c r="M161" s="288" t="s">
        <v>449</v>
      </c>
      <c r="N161" s="277"/>
      <c r="O161" s="277"/>
      <c r="P161" s="259"/>
      <c r="Q161" s="258"/>
      <c r="R161" s="258"/>
      <c r="S161" s="258"/>
      <c r="T161" s="278"/>
      <c r="U161" s="268" t="s">
        <v>441</v>
      </c>
      <c r="V161" s="258"/>
      <c r="W161" s="277"/>
      <c r="X161" s="271"/>
      <c r="Y161" s="273"/>
      <c r="Z161" s="273"/>
      <c r="AA161" s="271"/>
    </row>
    <row r="162" spans="1:27" s="257" customFormat="1" ht="39" hidden="1">
      <c r="A162" s="259">
        <f>A161+1</f>
        <v>139</v>
      </c>
      <c r="B162" s="259"/>
      <c r="C162" s="259" t="s">
        <v>65</v>
      </c>
      <c r="D162" s="277" t="s">
        <v>370</v>
      </c>
      <c r="E162" s="258" t="str">
        <f>VLOOKUP(D162,Store_Info_VN!B:P,2,0)</f>
        <v>CONVERSE CRESCENT MALL</v>
      </c>
      <c r="F162" s="258" t="s">
        <v>56</v>
      </c>
      <c r="G162" s="258" t="str">
        <f>I162&amp;" "&amp;J162&amp;" "&amp;K162</f>
        <v xml:space="preserve">Thermal Paper  </v>
      </c>
      <c r="H162" s="258">
        <v>15</v>
      </c>
      <c r="I162" s="258" t="s">
        <v>450</v>
      </c>
      <c r="J162" s="258"/>
      <c r="K162" s="258"/>
      <c r="L162" s="302"/>
      <c r="M162" s="288"/>
      <c r="N162" s="277"/>
      <c r="O162" s="277"/>
      <c r="P162" s="259"/>
      <c r="Q162" s="258"/>
      <c r="R162" s="258"/>
      <c r="S162" s="258"/>
      <c r="T162" s="278"/>
      <c r="U162" s="268" t="s">
        <v>441</v>
      </c>
      <c r="V162" s="258"/>
      <c r="W162" s="277"/>
      <c r="X162" s="271"/>
      <c r="Y162" s="273"/>
      <c r="Z162" s="273"/>
      <c r="AA162" s="271"/>
    </row>
    <row r="163" spans="1:27" ht="14.25" hidden="1">
      <c r="A163" s="290">
        <f>A162+1</f>
        <v>140</v>
      </c>
      <c r="B163" s="290" t="s">
        <v>428</v>
      </c>
      <c r="C163" s="290" t="s">
        <v>65</v>
      </c>
      <c r="D163" s="261" t="s">
        <v>451</v>
      </c>
      <c r="E163" s="674" t="s">
        <v>452</v>
      </c>
      <c r="F163" s="261" t="s">
        <v>56</v>
      </c>
      <c r="G163" s="463" t="s">
        <v>68</v>
      </c>
      <c r="H163" s="261">
        <v>1</v>
      </c>
      <c r="I163" s="671" t="s">
        <v>57</v>
      </c>
      <c r="J163" s="261" t="s">
        <v>58</v>
      </c>
      <c r="K163" s="261" t="s">
        <v>69</v>
      </c>
      <c r="L163" s="261"/>
      <c r="M163" s="463" t="s">
        <v>429</v>
      </c>
      <c r="N163" s="261"/>
      <c r="O163" s="261"/>
      <c r="P163" s="261"/>
      <c r="Q163" s="261"/>
      <c r="R163" s="293"/>
      <c r="S163" s="293"/>
      <c r="T163" s="666"/>
      <c r="U163" s="291"/>
      <c r="V163" s="261"/>
      <c r="W163" s="261"/>
      <c r="X163" s="293"/>
      <c r="Y163" s="293"/>
      <c r="Z163" s="293"/>
      <c r="AA163" s="293"/>
    </row>
    <row r="164" spans="1:27" ht="28.5" hidden="1">
      <c r="A164" s="259">
        <f>A163+1</f>
        <v>141</v>
      </c>
      <c r="B164" s="259" t="s">
        <v>453</v>
      </c>
      <c r="C164" s="259" t="s">
        <v>65</v>
      </c>
      <c r="D164" s="277" t="s">
        <v>454</v>
      </c>
      <c r="E164" s="258" t="str">
        <f>VLOOKUP(D164,Store_Info_VN!B:P,2,0)</f>
        <v>CONVERSE BA THANG HAI</v>
      </c>
      <c r="F164" s="258" t="s">
        <v>56</v>
      </c>
      <c r="G164" s="258" t="str">
        <f>I164&amp;" "&amp;J164&amp;" "&amp;K164</f>
        <v>Desktop HP PRODESK 400 G3 MINI</v>
      </c>
      <c r="H164" s="258">
        <v>1</v>
      </c>
      <c r="I164" s="258" t="s">
        <v>57</v>
      </c>
      <c r="J164" s="258" t="s">
        <v>58</v>
      </c>
      <c r="K164" s="258" t="s">
        <v>455</v>
      </c>
      <c r="L164" s="308"/>
      <c r="M164" s="288" t="s">
        <v>456</v>
      </c>
      <c r="N164" s="314">
        <v>8</v>
      </c>
      <c r="O164" s="314">
        <v>500</v>
      </c>
      <c r="P164" s="259" t="s">
        <v>61</v>
      </c>
      <c r="Q164" s="259" t="s">
        <v>80</v>
      </c>
      <c r="R164" s="258"/>
      <c r="S164" s="258"/>
      <c r="V164" s="258" t="s">
        <v>457</v>
      </c>
      <c r="W164" s="277" t="s">
        <v>457</v>
      </c>
      <c r="Y164" s="273" t="s">
        <v>64</v>
      </c>
      <c r="Z164" s="273" t="s">
        <v>64</v>
      </c>
    </row>
    <row r="165" spans="1:27" ht="14.25">
      <c r="A165" s="258">
        <f>A164+1</f>
        <v>142</v>
      </c>
      <c r="B165" s="258"/>
      <c r="C165" s="258" t="s">
        <v>54</v>
      </c>
      <c r="D165" s="277" t="s">
        <v>458</v>
      </c>
      <c r="E165" s="258" t="str">
        <f>VLOOKUP(D165,Store_Info_VN!B:P,2,0)</f>
        <v>CONVERSE BA CU VUNG TAU</v>
      </c>
      <c r="F165" s="258" t="s">
        <v>56</v>
      </c>
      <c r="G165" s="258" t="str">
        <f>I165&amp;" "&amp;J165&amp;" "&amp;K165</f>
        <v xml:space="preserve">Monitor HP </v>
      </c>
      <c r="H165" s="258">
        <v>1</v>
      </c>
      <c r="I165" s="258" t="s">
        <v>116</v>
      </c>
      <c r="J165" s="258" t="s">
        <v>58</v>
      </c>
      <c r="L165" s="302"/>
      <c r="M165" s="615" t="s">
        <v>459</v>
      </c>
      <c r="N165" s="277"/>
      <c r="O165" s="277"/>
      <c r="R165" s="258"/>
      <c r="S165" s="258"/>
      <c r="W165" s="277"/>
    </row>
    <row r="166" spans="1:27" ht="14.25">
      <c r="A166" s="258">
        <f>A165+1</f>
        <v>143</v>
      </c>
      <c r="B166" s="258"/>
      <c r="C166" s="258" t="s">
        <v>54</v>
      </c>
      <c r="D166" s="277" t="s">
        <v>458</v>
      </c>
      <c r="E166" s="258" t="str">
        <f>VLOOKUP(D166,Store_Info_VN!B:P,2,0)</f>
        <v>CONVERSE BA CU VUNG TAU</v>
      </c>
      <c r="F166" s="258" t="s">
        <v>56</v>
      </c>
      <c r="G166" s="258" t="str">
        <f>I166&amp;" "&amp;J166&amp;" "&amp;K166</f>
        <v>Bill Printer Epson TM-T82III</v>
      </c>
      <c r="H166" s="258">
        <v>1</v>
      </c>
      <c r="I166" s="258" t="s">
        <v>92</v>
      </c>
      <c r="J166" s="258" t="s">
        <v>93</v>
      </c>
      <c r="K166" s="258" t="s">
        <v>94</v>
      </c>
      <c r="M166" s="615" t="s">
        <v>460</v>
      </c>
      <c r="N166" s="277"/>
      <c r="O166" s="277"/>
      <c r="R166" s="258"/>
      <c r="S166" s="258"/>
      <c r="W166" s="277"/>
    </row>
    <row r="167" spans="1:27" ht="14.25">
      <c r="A167" s="258">
        <f>A166+1</f>
        <v>144</v>
      </c>
      <c r="B167" s="258"/>
      <c r="C167" s="258" t="s">
        <v>54</v>
      </c>
      <c r="D167" s="277" t="s">
        <v>458</v>
      </c>
      <c r="E167" s="258" t="str">
        <f>VLOOKUP(D167,Store_Info_VN!B:P,2,0)</f>
        <v>CONVERSE BA CU VUNG TAU</v>
      </c>
      <c r="F167" s="258" t="s">
        <v>56</v>
      </c>
      <c r="G167" s="258" t="str">
        <f>I167&amp;" "&amp;J167&amp;" "&amp;K167</f>
        <v>Scanner Datalogic QW2100</v>
      </c>
      <c r="H167" s="258">
        <v>1</v>
      </c>
      <c r="I167" s="258" t="s">
        <v>96</v>
      </c>
      <c r="J167" s="258" t="s">
        <v>97</v>
      </c>
      <c r="K167" s="258" t="s">
        <v>98</v>
      </c>
      <c r="M167" s="615" t="s">
        <v>461</v>
      </c>
      <c r="N167" s="277"/>
      <c r="O167" s="277"/>
      <c r="R167" s="258"/>
      <c r="S167" s="258"/>
      <c r="W167" s="277"/>
    </row>
    <row r="168" spans="1:27" ht="14.25">
      <c r="A168" s="258">
        <f>A167+1</f>
        <v>145</v>
      </c>
      <c r="B168" s="258"/>
      <c r="C168" s="258" t="s">
        <v>54</v>
      </c>
      <c r="D168" s="277" t="s">
        <v>458</v>
      </c>
      <c r="E168" s="258" t="str">
        <f>VLOOKUP(D168,Store_Info_VN!B:P,2,0)</f>
        <v>CONVERSE BA CU VUNG TAU</v>
      </c>
      <c r="F168" s="258" t="s">
        <v>56</v>
      </c>
      <c r="G168" s="258" t="str">
        <f>I168&amp;" "&amp;J168&amp;" "&amp;K168</f>
        <v>Pole Display  VFD220V-IUSB</v>
      </c>
      <c r="H168" s="258">
        <v>1</v>
      </c>
      <c r="I168" s="258" t="s">
        <v>125</v>
      </c>
      <c r="K168" s="258" t="s">
        <v>462</v>
      </c>
      <c r="L168" s="302"/>
      <c r="M168" s="615" t="s">
        <v>463</v>
      </c>
      <c r="N168" s="277"/>
      <c r="O168" s="277"/>
      <c r="R168" s="258"/>
      <c r="S168" s="258"/>
      <c r="W168" s="277"/>
    </row>
    <row r="169" spans="1:27" ht="14.25">
      <c r="A169" s="258">
        <f>A168+1</f>
        <v>146</v>
      </c>
      <c r="B169" s="258"/>
      <c r="C169" s="258" t="s">
        <v>54</v>
      </c>
      <c r="D169" s="277" t="s">
        <v>458</v>
      </c>
      <c r="E169" s="258" t="str">
        <f>VLOOKUP(D169,Store_Info_VN!B:P,2,0)</f>
        <v>CONVERSE BA CU VUNG TAU</v>
      </c>
      <c r="F169" s="258" t="s">
        <v>56</v>
      </c>
      <c r="G169" s="258" t="str">
        <f>I169&amp;" "&amp;J169&amp;" "&amp;K169</f>
        <v>Cash Drawer Maken MK410</v>
      </c>
      <c r="H169" s="258">
        <v>1</v>
      </c>
      <c r="I169" s="258" t="s">
        <v>159</v>
      </c>
      <c r="J169" s="258" t="s">
        <v>230</v>
      </c>
      <c r="K169" s="258" t="s">
        <v>231</v>
      </c>
      <c r="M169" s="615" t="s">
        <v>464</v>
      </c>
      <c r="N169" s="277"/>
      <c r="O169" s="277"/>
      <c r="R169" s="258"/>
      <c r="S169" s="258"/>
      <c r="W169" s="277"/>
    </row>
    <row r="170" spans="1:27" ht="14.25">
      <c r="A170" s="258">
        <f>A169+1</f>
        <v>147</v>
      </c>
      <c r="B170" s="258"/>
      <c r="C170" s="258" t="s">
        <v>54</v>
      </c>
      <c r="D170" s="277" t="s">
        <v>458</v>
      </c>
      <c r="E170" s="258" t="str">
        <f>VLOOKUP(D170,Store_Info_VN!B:P,2,0)</f>
        <v>CONVERSE BA CU VUNG TAU</v>
      </c>
      <c r="F170" s="258" t="s">
        <v>56</v>
      </c>
      <c r="G170" s="258" t="str">
        <f>I170&amp;" "&amp;J170&amp;" "&amp;K170</f>
        <v>A4 Printer Canon LBP 2900</v>
      </c>
      <c r="H170" s="258">
        <v>1</v>
      </c>
      <c r="I170" s="258" t="s">
        <v>99</v>
      </c>
      <c r="J170" s="258" t="s">
        <v>100</v>
      </c>
      <c r="K170" s="258" t="s">
        <v>101</v>
      </c>
      <c r="M170" s="615" t="s">
        <v>465</v>
      </c>
      <c r="N170" s="277"/>
      <c r="O170" s="277"/>
      <c r="R170" s="258"/>
      <c r="S170" s="258"/>
      <c r="W170" s="277"/>
    </row>
    <row r="171" spans="1:27" ht="14.25">
      <c r="A171" s="258">
        <f>A170+1</f>
        <v>148</v>
      </c>
      <c r="B171" s="258"/>
      <c r="C171" s="258" t="s">
        <v>54</v>
      </c>
      <c r="D171" s="277" t="s">
        <v>458</v>
      </c>
      <c r="E171" s="258" t="str">
        <f>VLOOKUP(D171,Store_Info_VN!B:P,2,0)</f>
        <v>CONVERSE BA CU VUNG TAU</v>
      </c>
      <c r="F171" s="258" t="s">
        <v>56</v>
      </c>
      <c r="G171" s="258" t="str">
        <f>I171&amp;" "&amp;J171&amp;" "&amp;K171</f>
        <v xml:space="preserve">USB Hub Orico </v>
      </c>
      <c r="H171" s="258">
        <v>1</v>
      </c>
      <c r="I171" s="258" t="s">
        <v>273</v>
      </c>
      <c r="J171" s="258" t="s">
        <v>274</v>
      </c>
      <c r="L171" s="258" t="s">
        <v>466</v>
      </c>
      <c r="M171" s="615"/>
      <c r="N171" s="277"/>
      <c r="O171" s="277"/>
      <c r="R171" s="258"/>
      <c r="S171" s="258"/>
      <c r="W171" s="277"/>
    </row>
    <row r="172" spans="1:27" ht="14.25">
      <c r="A172" s="258">
        <f>A171+1</f>
        <v>149</v>
      </c>
      <c r="B172" s="258"/>
      <c r="C172" s="258" t="s">
        <v>54</v>
      </c>
      <c r="D172" s="277" t="s">
        <v>458</v>
      </c>
      <c r="E172" s="258" t="str">
        <f>VLOOKUP(D172,Store_Info_VN!B:P,2,0)</f>
        <v>CONVERSE BA CU VUNG TAU</v>
      </c>
      <c r="F172" s="258" t="s">
        <v>56</v>
      </c>
      <c r="G172" s="258" t="str">
        <f>I172&amp;" "&amp;J172&amp;" "&amp;K172</f>
        <v xml:space="preserve">Network Switch Mercusys </v>
      </c>
      <c r="H172" s="258">
        <v>1</v>
      </c>
      <c r="I172" s="258" t="s">
        <v>172</v>
      </c>
      <c r="J172" s="258" t="s">
        <v>173</v>
      </c>
      <c r="L172" s="258" t="s">
        <v>174</v>
      </c>
      <c r="M172" s="615"/>
      <c r="N172" s="277"/>
      <c r="O172" s="277"/>
      <c r="R172" s="258"/>
      <c r="S172" s="258"/>
      <c r="W172" s="277"/>
    </row>
    <row r="173" spans="1:27" ht="28.5" hidden="1">
      <c r="A173" s="279">
        <f>A172+1</f>
        <v>150</v>
      </c>
      <c r="B173" s="279" t="s">
        <v>467</v>
      </c>
      <c r="C173" s="279" t="s">
        <v>65</v>
      </c>
      <c r="D173" s="303" t="s">
        <v>342</v>
      </c>
      <c r="E173" s="279" t="s">
        <v>468</v>
      </c>
      <c r="F173" s="279" t="s">
        <v>469</v>
      </c>
      <c r="G173" s="279" t="str">
        <f>I173&amp;" "&amp;J173&amp;" "&amp;K173</f>
        <v>Laptop Lenovo  LEGION</v>
      </c>
      <c r="H173" s="279">
        <v>1</v>
      </c>
      <c r="I173" s="279" t="s">
        <v>86</v>
      </c>
      <c r="J173" s="279" t="s">
        <v>279</v>
      </c>
      <c r="K173" s="279" t="s">
        <v>470</v>
      </c>
      <c r="L173" s="318"/>
      <c r="M173" s="662" t="s">
        <v>471</v>
      </c>
      <c r="N173" s="303">
        <v>8</v>
      </c>
      <c r="O173" s="303">
        <v>120</v>
      </c>
      <c r="P173" s="279" t="s">
        <v>79</v>
      </c>
      <c r="Q173" s="279" t="s">
        <v>282</v>
      </c>
      <c r="R173" s="279"/>
      <c r="S173" s="279"/>
      <c r="T173" s="285" t="s">
        <v>472</v>
      </c>
      <c r="U173" s="286" t="s">
        <v>473</v>
      </c>
      <c r="V173" s="279" t="s">
        <v>474</v>
      </c>
      <c r="W173" s="303" t="s">
        <v>474</v>
      </c>
      <c r="X173" s="284"/>
      <c r="Y173" s="284" t="s">
        <v>64</v>
      </c>
      <c r="Z173" s="284" t="s">
        <v>64</v>
      </c>
      <c r="AA173" s="284"/>
    </row>
    <row r="174" spans="1:27" s="257" customFormat="1" ht="28.5">
      <c r="A174" s="258">
        <f>A173+1</f>
        <v>151</v>
      </c>
      <c r="B174" s="258" t="s">
        <v>475</v>
      </c>
      <c r="C174" s="258" t="s">
        <v>54</v>
      </c>
      <c r="D174" s="258" t="s">
        <v>157</v>
      </c>
      <c r="E174" s="258" t="s">
        <v>418</v>
      </c>
      <c r="F174" s="258" t="s">
        <v>56</v>
      </c>
      <c r="G174" s="258" t="str">
        <f>I174&amp;" "&amp;J174&amp;" "&amp;K174</f>
        <v>Desktop HP PRODESK 400 G3 MINI -DM</v>
      </c>
      <c r="H174" s="258">
        <v>1</v>
      </c>
      <c r="I174" s="258" t="s">
        <v>57</v>
      </c>
      <c r="J174" s="258" t="s">
        <v>58</v>
      </c>
      <c r="K174" s="258" t="s">
        <v>476</v>
      </c>
      <c r="L174" s="258"/>
      <c r="M174" s="615" t="s">
        <v>477</v>
      </c>
      <c r="N174" s="277">
        <v>8</v>
      </c>
      <c r="O174" s="277">
        <v>500</v>
      </c>
      <c r="P174" s="258" t="s">
        <v>61</v>
      </c>
      <c r="Q174" s="258" t="s">
        <v>478</v>
      </c>
      <c r="R174" s="258"/>
      <c r="S174" s="258"/>
      <c r="T174" s="278"/>
      <c r="U174" s="268" t="s">
        <v>479</v>
      </c>
      <c r="V174" s="258" t="s">
        <v>480</v>
      </c>
      <c r="W174" s="277" t="s">
        <v>480</v>
      </c>
      <c r="X174" s="271"/>
      <c r="Y174" s="271" t="s">
        <v>64</v>
      </c>
      <c r="Z174" s="271" t="s">
        <v>64</v>
      </c>
      <c r="AA174" s="271"/>
    </row>
    <row r="175" spans="1:27" ht="28.5">
      <c r="A175" s="261">
        <f>A174+1</f>
        <v>152</v>
      </c>
      <c r="B175" s="261" t="s">
        <v>481</v>
      </c>
      <c r="C175" s="261" t="s">
        <v>54</v>
      </c>
      <c r="D175" s="289" t="s">
        <v>482</v>
      </c>
      <c r="E175" s="261" t="s">
        <v>468</v>
      </c>
      <c r="F175" s="261" t="s">
        <v>469</v>
      </c>
      <c r="G175" s="261" t="str">
        <f>I175&amp;" "&amp;J175&amp;" "&amp;K175</f>
        <v>Laptop Lenovo E490</v>
      </c>
      <c r="H175" s="261">
        <v>1</v>
      </c>
      <c r="I175" s="261" t="s">
        <v>86</v>
      </c>
      <c r="J175" s="261" t="s">
        <v>279</v>
      </c>
      <c r="K175" s="261" t="s">
        <v>483</v>
      </c>
      <c r="L175" s="647"/>
      <c r="M175" s="665" t="s">
        <v>484</v>
      </c>
      <c r="N175" s="289">
        <v>8</v>
      </c>
      <c r="O175" s="289">
        <v>1024</v>
      </c>
      <c r="P175" s="261" t="s">
        <v>61</v>
      </c>
      <c r="Q175" s="261" t="s">
        <v>485</v>
      </c>
      <c r="R175" s="261"/>
      <c r="S175" s="261"/>
      <c r="T175" s="666" t="s">
        <v>486</v>
      </c>
      <c r="U175" s="291"/>
      <c r="V175" s="261" t="s">
        <v>487</v>
      </c>
      <c r="W175" s="289" t="s">
        <v>487</v>
      </c>
      <c r="X175" s="293"/>
      <c r="Y175" s="293" t="s">
        <v>64</v>
      </c>
      <c r="Z175" s="293" t="s">
        <v>64</v>
      </c>
      <c r="AA175" s="293" t="s">
        <v>64</v>
      </c>
    </row>
    <row r="176" spans="1:27" ht="26.25">
      <c r="A176" s="279">
        <f>A175+1</f>
        <v>153</v>
      </c>
      <c r="B176" s="279" t="s">
        <v>488</v>
      </c>
      <c r="C176" s="279" t="s">
        <v>54</v>
      </c>
      <c r="D176" s="303" t="s">
        <v>489</v>
      </c>
      <c r="E176" s="279" t="s">
        <v>468</v>
      </c>
      <c r="F176" s="279" t="s">
        <v>469</v>
      </c>
      <c r="G176" s="279" t="str">
        <f>I176&amp;" "&amp;J176&amp;" "&amp;K176</f>
        <v>Laptop HP PROBOOK 440 G9</v>
      </c>
      <c r="H176" s="279">
        <v>1</v>
      </c>
      <c r="I176" s="279" t="s">
        <v>86</v>
      </c>
      <c r="J176" s="279" t="s">
        <v>58</v>
      </c>
      <c r="K176" s="279" t="s">
        <v>490</v>
      </c>
      <c r="L176" s="627"/>
      <c r="M176" s="662" t="s">
        <v>491</v>
      </c>
      <c r="N176" s="303">
        <v>16</v>
      </c>
      <c r="O176" s="303">
        <v>512000</v>
      </c>
      <c r="P176" s="279" t="s">
        <v>79</v>
      </c>
      <c r="Q176" s="664" t="s">
        <v>492</v>
      </c>
      <c r="R176" s="279"/>
      <c r="S176" s="279"/>
      <c r="T176" s="285" t="s">
        <v>493</v>
      </c>
      <c r="U176" s="286"/>
      <c r="V176" s="279" t="s">
        <v>494</v>
      </c>
      <c r="W176" s="303" t="s">
        <v>494</v>
      </c>
      <c r="X176" s="284"/>
      <c r="Y176" s="284" t="s">
        <v>64</v>
      </c>
      <c r="Z176" s="284" t="s">
        <v>64</v>
      </c>
      <c r="AA176" s="284" t="s">
        <v>64</v>
      </c>
    </row>
    <row r="177" spans="1:27" s="257" customFormat="1" ht="26.25" hidden="1">
      <c r="A177" s="259">
        <f>A176+1</f>
        <v>154</v>
      </c>
      <c r="B177" s="259" t="s">
        <v>495</v>
      </c>
      <c r="C177" s="259" t="s">
        <v>65</v>
      </c>
      <c r="D177" s="277" t="s">
        <v>496</v>
      </c>
      <c r="E177" s="258" t="s">
        <v>468</v>
      </c>
      <c r="F177" s="258" t="s">
        <v>469</v>
      </c>
      <c r="G177" s="258" t="str">
        <f>I177&amp;" "&amp;J177&amp;" "&amp;K177</f>
        <v>Laptop HP PROBOOK 440 G9</v>
      </c>
      <c r="H177" s="258">
        <v>1</v>
      </c>
      <c r="I177" s="258" t="s">
        <v>86</v>
      </c>
      <c r="J177" s="258" t="s">
        <v>58</v>
      </c>
      <c r="K177" s="258" t="s">
        <v>490</v>
      </c>
      <c r="L177" s="617"/>
      <c r="M177" s="288" t="s">
        <v>497</v>
      </c>
      <c r="N177" s="277">
        <v>16</v>
      </c>
      <c r="O177" s="277">
        <v>512000</v>
      </c>
      <c r="P177" s="259" t="s">
        <v>79</v>
      </c>
      <c r="Q177" s="619" t="s">
        <v>492</v>
      </c>
      <c r="R177" s="258"/>
      <c r="S177" s="258"/>
      <c r="T177" s="278" t="s">
        <v>498</v>
      </c>
      <c r="U177" s="268"/>
      <c r="V177" s="258" t="s">
        <v>499</v>
      </c>
      <c r="W177" s="277" t="s">
        <v>499</v>
      </c>
      <c r="X177" s="271"/>
      <c r="Y177" s="273" t="s">
        <v>64</v>
      </c>
      <c r="Z177" s="273" t="s">
        <v>64</v>
      </c>
      <c r="AA177" s="271"/>
    </row>
    <row r="178" spans="1:27" s="257" customFormat="1" hidden="1">
      <c r="A178" s="259">
        <f>A177+1</f>
        <v>155</v>
      </c>
      <c r="B178" s="259" t="s">
        <v>500</v>
      </c>
      <c r="C178" s="259" t="s">
        <v>65</v>
      </c>
      <c r="D178" s="277" t="s">
        <v>501</v>
      </c>
      <c r="E178" s="258" t="str">
        <f>VLOOKUP(D178,Store_Info_VN!B:P,2,0)</f>
        <v>NEW BALANCE CRESCENT MALL</v>
      </c>
      <c r="F178" s="258" t="s">
        <v>56</v>
      </c>
      <c r="G178" s="258" t="str">
        <f>I178&amp;" "&amp;J178&amp;" "&amp;K178</f>
        <v>Laptop HP PROBOOK 440 G9</v>
      </c>
      <c r="H178" s="258">
        <v>1</v>
      </c>
      <c r="I178" s="258" t="s">
        <v>86</v>
      </c>
      <c r="J178" s="258" t="s">
        <v>58</v>
      </c>
      <c r="K178" s="258" t="s">
        <v>490</v>
      </c>
      <c r="L178" s="617"/>
      <c r="M178" s="288" t="s">
        <v>502</v>
      </c>
      <c r="N178" s="277">
        <v>16</v>
      </c>
      <c r="O178" s="277">
        <v>512000</v>
      </c>
      <c r="P178" s="259" t="s">
        <v>79</v>
      </c>
      <c r="Q178" s="258" t="s">
        <v>503</v>
      </c>
      <c r="R178" s="258"/>
      <c r="S178" s="258"/>
      <c r="T178" s="278"/>
      <c r="U178" s="268"/>
      <c r="V178" s="258" t="s">
        <v>504</v>
      </c>
      <c r="W178" s="277" t="s">
        <v>504</v>
      </c>
      <c r="X178" s="271"/>
      <c r="Y178" s="273" t="s">
        <v>64</v>
      </c>
      <c r="Z178" s="273" t="s">
        <v>64</v>
      </c>
      <c r="AA178" s="271"/>
    </row>
    <row r="179" spans="1:27" ht="28.5">
      <c r="A179" s="296">
        <f>A178+1</f>
        <v>156</v>
      </c>
      <c r="B179" s="296" t="s">
        <v>505</v>
      </c>
      <c r="C179" s="296" t="s">
        <v>54</v>
      </c>
      <c r="D179" s="649" t="s">
        <v>506</v>
      </c>
      <c r="E179" s="296" t="str">
        <f>VLOOKUP(D179,Store_Info_VN!B:P,2,0)</f>
        <v>NEW ERA CRESCENT MALL</v>
      </c>
      <c r="F179" s="296" t="s">
        <v>56</v>
      </c>
      <c r="G179" s="296" t="str">
        <f>I179&amp;" "&amp;J179&amp;" "&amp;K179</f>
        <v>Laptop Lenovo Thinkpad x280</v>
      </c>
      <c r="H179" s="296">
        <v>1</v>
      </c>
      <c r="I179" s="296" t="s">
        <v>86</v>
      </c>
      <c r="J179" s="296" t="s">
        <v>279</v>
      </c>
      <c r="K179" s="296" t="s">
        <v>507</v>
      </c>
      <c r="L179" s="670"/>
      <c r="M179" s="667" t="s">
        <v>508</v>
      </c>
      <c r="N179" s="649">
        <v>8</v>
      </c>
      <c r="O179" s="649">
        <v>512000</v>
      </c>
      <c r="P179" s="296" t="s">
        <v>79</v>
      </c>
      <c r="Q179" s="296" t="s">
        <v>509</v>
      </c>
      <c r="R179" s="296"/>
      <c r="S179" s="296"/>
      <c r="T179" s="668"/>
      <c r="U179" s="635"/>
      <c r="V179" s="296" t="s">
        <v>510</v>
      </c>
      <c r="W179" s="649" t="s">
        <v>510</v>
      </c>
      <c r="X179" s="636"/>
      <c r="Y179" s="636" t="s">
        <v>64</v>
      </c>
      <c r="Z179" s="636" t="s">
        <v>64</v>
      </c>
      <c r="AA179" s="636"/>
    </row>
    <row r="180" spans="1:27" s="257" customFormat="1" ht="14.25">
      <c r="A180" s="258">
        <f>A179+1</f>
        <v>157</v>
      </c>
      <c r="B180" s="258" t="s">
        <v>511</v>
      </c>
      <c r="C180" s="258" t="s">
        <v>54</v>
      </c>
      <c r="D180" s="277" t="s">
        <v>512</v>
      </c>
      <c r="E180" s="258"/>
      <c r="F180" s="258" t="s">
        <v>56</v>
      </c>
      <c r="G180" s="258" t="str">
        <f>I180&amp;" "&amp;J180&amp;" "&amp;K180</f>
        <v>Desktop HP ProDesk 400 G3 DM</v>
      </c>
      <c r="H180" s="258">
        <v>1</v>
      </c>
      <c r="I180" s="258" t="s">
        <v>57</v>
      </c>
      <c r="J180" s="258" t="s">
        <v>58</v>
      </c>
      <c r="K180" s="258" t="s">
        <v>69</v>
      </c>
      <c r="L180" s="302"/>
      <c r="M180" s="615" t="s">
        <v>513</v>
      </c>
      <c r="N180" s="277">
        <v>8</v>
      </c>
      <c r="O180" s="277">
        <v>512</v>
      </c>
      <c r="P180" s="258" t="s">
        <v>79</v>
      </c>
      <c r="Q180" s="258" t="s">
        <v>478</v>
      </c>
      <c r="R180" s="258"/>
      <c r="S180" s="258"/>
      <c r="T180" s="278" t="s">
        <v>514</v>
      </c>
      <c r="U180" s="268"/>
      <c r="V180" s="258" t="s">
        <v>515</v>
      </c>
      <c r="W180" s="277" t="s">
        <v>516</v>
      </c>
      <c r="X180" s="271"/>
      <c r="Y180" s="271" t="s">
        <v>64</v>
      </c>
      <c r="Z180" s="271" t="s">
        <v>64</v>
      </c>
      <c r="AA180" s="271"/>
    </row>
    <row r="181" spans="1:27" s="257" customFormat="1" ht="14.25">
      <c r="A181" s="258">
        <f>A180+1</f>
        <v>158</v>
      </c>
      <c r="B181" s="258" t="s">
        <v>517</v>
      </c>
      <c r="C181" s="258" t="s">
        <v>54</v>
      </c>
      <c r="D181" s="277" t="s">
        <v>518</v>
      </c>
      <c r="E181" s="258" t="str">
        <f>VLOOKUP(D181,Store_Info_VN!B:P,2,0)</f>
        <v>SPORT BAZAAR PHAN VAN TRI HO CHI MINH</v>
      </c>
      <c r="F181" s="258" t="s">
        <v>56</v>
      </c>
      <c r="G181" s="258" t="str">
        <f>I181&amp;" "&amp;J181&amp;" "&amp;K181</f>
        <v>Desktop Dell OptiPlex 3090</v>
      </c>
      <c r="H181" s="258">
        <v>1</v>
      </c>
      <c r="I181" s="258" t="s">
        <v>57</v>
      </c>
      <c r="J181" s="258" t="s">
        <v>133</v>
      </c>
      <c r="K181" s="258" t="s">
        <v>519</v>
      </c>
      <c r="L181" s="302"/>
      <c r="M181" s="615" t="s">
        <v>520</v>
      </c>
      <c r="N181" s="277">
        <v>8</v>
      </c>
      <c r="O181" s="277">
        <v>488283</v>
      </c>
      <c r="P181" s="258" t="s">
        <v>79</v>
      </c>
      <c r="Q181" s="258" t="s">
        <v>521</v>
      </c>
      <c r="R181" s="258"/>
      <c r="S181" s="258"/>
      <c r="T181" s="278" t="s">
        <v>514</v>
      </c>
      <c r="U181" s="268"/>
      <c r="V181" s="258" t="s">
        <v>522</v>
      </c>
      <c r="W181" s="277" t="s">
        <v>523</v>
      </c>
      <c r="X181" s="271"/>
      <c r="Y181" s="271" t="s">
        <v>64</v>
      </c>
      <c r="Z181" s="271" t="s">
        <v>64</v>
      </c>
      <c r="AA181" s="271"/>
    </row>
    <row r="182" spans="1:27" s="257" customFormat="1" ht="14.25" hidden="1">
      <c r="A182" s="259">
        <f>A181+1</f>
        <v>159</v>
      </c>
      <c r="B182" s="259" t="s">
        <v>517</v>
      </c>
      <c r="C182" s="259" t="s">
        <v>65</v>
      </c>
      <c r="D182" s="258" t="s">
        <v>72</v>
      </c>
      <c r="E182" s="542" t="s">
        <v>73</v>
      </c>
      <c r="F182" s="258" t="s">
        <v>56</v>
      </c>
      <c r="G182" s="538" t="s">
        <v>524</v>
      </c>
      <c r="H182" s="258">
        <v>1</v>
      </c>
      <c r="I182" s="258" t="s">
        <v>57</v>
      </c>
      <c r="J182" s="71" t="s">
        <v>58</v>
      </c>
      <c r="K182" s="71" t="s">
        <v>525</v>
      </c>
      <c r="L182" s="28"/>
      <c r="M182" s="539" t="s">
        <v>526</v>
      </c>
      <c r="N182" s="258">
        <v>16</v>
      </c>
      <c r="O182" s="258">
        <v>512000</v>
      </c>
      <c r="P182" s="258" t="s">
        <v>79</v>
      </c>
      <c r="Q182" s="258" t="s">
        <v>492</v>
      </c>
      <c r="R182" s="271"/>
      <c r="S182" s="271"/>
      <c r="T182" s="278"/>
      <c r="U182" s="268"/>
      <c r="V182" s="258"/>
      <c r="W182" s="258"/>
      <c r="X182" s="271"/>
      <c r="Y182" s="271"/>
      <c r="Z182" s="271"/>
      <c r="AA182" s="271"/>
    </row>
    <row r="183" spans="1:27" s="257" customFormat="1" ht="14.25">
      <c r="A183" s="258">
        <f>A182+1</f>
        <v>160</v>
      </c>
      <c r="B183" s="258" t="s">
        <v>527</v>
      </c>
      <c r="C183" s="258" t="s">
        <v>54</v>
      </c>
      <c r="D183" s="277" t="s">
        <v>458</v>
      </c>
      <c r="E183" s="258" t="str">
        <f>VLOOKUP(D183,Store_Info_VN!B:P,2,0)</f>
        <v>CONVERSE BA CU VUNG TAU</v>
      </c>
      <c r="F183" s="258" t="s">
        <v>56</v>
      </c>
      <c r="G183" s="258" t="str">
        <f>I183&amp;" "&amp;J183&amp;" "&amp;K183</f>
        <v>Desktop Dell OptiPlex 3090</v>
      </c>
      <c r="H183" s="258">
        <v>1</v>
      </c>
      <c r="I183" s="258" t="s">
        <v>57</v>
      </c>
      <c r="J183" s="258" t="s">
        <v>133</v>
      </c>
      <c r="K183" s="258" t="s">
        <v>519</v>
      </c>
      <c r="L183" s="302"/>
      <c r="M183" s="615" t="s">
        <v>528</v>
      </c>
      <c r="N183" s="277">
        <v>8</v>
      </c>
      <c r="O183" s="277">
        <v>487751</v>
      </c>
      <c r="P183" s="258" t="s">
        <v>79</v>
      </c>
      <c r="Q183" s="258" t="s">
        <v>521</v>
      </c>
      <c r="R183" s="258"/>
      <c r="S183" s="258"/>
      <c r="T183" s="278"/>
      <c r="U183" s="268"/>
      <c r="V183" s="258" t="s">
        <v>529</v>
      </c>
      <c r="W183" s="277" t="s">
        <v>529</v>
      </c>
      <c r="X183" s="271"/>
      <c r="Y183" s="271" t="s">
        <v>64</v>
      </c>
      <c r="Z183" s="271" t="s">
        <v>64</v>
      </c>
      <c r="AA183" s="271"/>
    </row>
    <row r="184" spans="1:27" s="257" customFormat="1" hidden="1">
      <c r="A184" s="259">
        <f>A183+1</f>
        <v>161</v>
      </c>
      <c r="B184" s="259" t="s">
        <v>530</v>
      </c>
      <c r="C184" s="259" t="s">
        <v>65</v>
      </c>
      <c r="D184" s="277" t="s">
        <v>531</v>
      </c>
      <c r="E184" s="258" t="str">
        <f>VLOOKUP(D184,Store_Info_VN!B:P,2,0)</f>
        <v>NEW BALANCE DIAMOND PLAZA</v>
      </c>
      <c r="F184" s="258" t="s">
        <v>56</v>
      </c>
      <c r="G184" s="258" t="str">
        <f>I184&amp;" "&amp;J184&amp;" "&amp;K184</f>
        <v>Laptop HP PROBOOK 440 G9</v>
      </c>
      <c r="H184" s="258">
        <v>1</v>
      </c>
      <c r="I184" s="258" t="s">
        <v>86</v>
      </c>
      <c r="J184" s="258" t="s">
        <v>58</v>
      </c>
      <c r="K184" s="258" t="s">
        <v>490</v>
      </c>
      <c r="L184" s="302"/>
      <c r="M184" s="288" t="s">
        <v>532</v>
      </c>
      <c r="N184" s="277">
        <v>16</v>
      </c>
      <c r="O184" s="277">
        <v>512000</v>
      </c>
      <c r="P184" s="259" t="s">
        <v>79</v>
      </c>
      <c r="Q184" s="258" t="s">
        <v>492</v>
      </c>
      <c r="R184" s="258"/>
      <c r="S184" s="258"/>
      <c r="T184" s="278"/>
      <c r="U184" s="268"/>
      <c r="V184" s="416" t="s">
        <v>533</v>
      </c>
      <c r="W184" s="277" t="s">
        <v>533</v>
      </c>
      <c r="X184" s="271"/>
      <c r="Y184" s="273" t="s">
        <v>64</v>
      </c>
      <c r="Z184" s="273" t="s">
        <v>64</v>
      </c>
      <c r="AA184" s="271"/>
    </row>
    <row r="185" spans="1:27" s="257" customFormat="1" ht="28.5" hidden="1">
      <c r="A185" s="630">
        <f>A184+1</f>
        <v>162</v>
      </c>
      <c r="B185" s="630" t="s">
        <v>534</v>
      </c>
      <c r="C185" s="630" t="s">
        <v>65</v>
      </c>
      <c r="D185" s="631" t="s">
        <v>535</v>
      </c>
      <c r="E185" s="296" t="s">
        <v>468</v>
      </c>
      <c r="F185" s="296" t="s">
        <v>469</v>
      </c>
      <c r="G185" s="296" t="str">
        <f>I185&amp;" "&amp;J185&amp;" "&amp;K185</f>
        <v>Desktop HP HP Prodesk 400 G3</v>
      </c>
      <c r="H185" s="317">
        <v>1</v>
      </c>
      <c r="I185" s="296" t="s">
        <v>57</v>
      </c>
      <c r="J185" s="306" t="s">
        <v>58</v>
      </c>
      <c r="K185" s="306" t="s">
        <v>536</v>
      </c>
      <c r="L185" s="676"/>
      <c r="M185" s="626" t="s">
        <v>537</v>
      </c>
      <c r="N185" s="648">
        <v>8</v>
      </c>
      <c r="O185" s="683">
        <v>500</v>
      </c>
      <c r="P185" s="633" t="s">
        <v>61</v>
      </c>
      <c r="Q185" s="296" t="s">
        <v>80</v>
      </c>
      <c r="R185" s="296"/>
      <c r="S185" s="296"/>
      <c r="T185" s="634" t="s">
        <v>538</v>
      </c>
      <c r="U185" s="635"/>
      <c r="V185" s="296" t="s">
        <v>539</v>
      </c>
      <c r="W185" s="640" t="s">
        <v>539</v>
      </c>
      <c r="X185" s="636"/>
      <c r="Y185" s="643" t="s">
        <v>64</v>
      </c>
      <c r="Z185" s="644" t="s">
        <v>64</v>
      </c>
      <c r="AA185" s="636"/>
    </row>
    <row r="186" spans="1:27" s="257" customFormat="1" ht="28.5" hidden="1">
      <c r="A186" s="259">
        <f>A185+1</f>
        <v>163</v>
      </c>
      <c r="B186" s="259" t="s">
        <v>540</v>
      </c>
      <c r="C186" s="259" t="s">
        <v>65</v>
      </c>
      <c r="D186" s="277" t="s">
        <v>541</v>
      </c>
      <c r="E186" s="258" t="str">
        <f>VLOOKUP(D186,Store_Info_VN!B:P,2,0)</f>
        <v>CONVERSE CFS QUANG TRUNG</v>
      </c>
      <c r="F186" s="258" t="s">
        <v>56</v>
      </c>
      <c r="G186" s="258" t="str">
        <f>I186&amp;" "&amp;J186&amp;" "&amp;K186</f>
        <v>Desktop HP PRO MINI 400G6</v>
      </c>
      <c r="H186" s="258">
        <v>1</v>
      </c>
      <c r="I186" s="258" t="s">
        <v>57</v>
      </c>
      <c r="J186" s="258" t="s">
        <v>58</v>
      </c>
      <c r="K186" s="258" t="s">
        <v>525</v>
      </c>
      <c r="L186" s="302"/>
      <c r="M186" s="288" t="s">
        <v>542</v>
      </c>
      <c r="N186" s="277">
        <v>16</v>
      </c>
      <c r="O186" s="277">
        <v>512000</v>
      </c>
      <c r="P186" s="259" t="s">
        <v>79</v>
      </c>
      <c r="Q186" s="258" t="s">
        <v>543</v>
      </c>
      <c r="R186" s="258"/>
      <c r="S186" s="258"/>
      <c r="T186" s="278"/>
      <c r="U186" s="268"/>
      <c r="V186" s="258" t="s">
        <v>544</v>
      </c>
      <c r="W186" s="277" t="s">
        <v>544</v>
      </c>
      <c r="X186" s="271"/>
      <c r="Y186" s="273" t="s">
        <v>64</v>
      </c>
      <c r="Z186" s="273" t="s">
        <v>64</v>
      </c>
      <c r="AA186" s="271"/>
    </row>
    <row r="187" spans="1:27" ht="28.5" hidden="1">
      <c r="A187" s="630">
        <f>A186+1</f>
        <v>164</v>
      </c>
      <c r="B187" s="630" t="s">
        <v>545</v>
      </c>
      <c r="C187" s="630" t="s">
        <v>65</v>
      </c>
      <c r="D187" s="649" t="s">
        <v>541</v>
      </c>
      <c r="E187" s="296" t="str">
        <f>VLOOKUP(D187,Store_Info_VN!B:P,2,0)</f>
        <v>CONVERSE CFS QUANG TRUNG</v>
      </c>
      <c r="F187" s="296" t="s">
        <v>56</v>
      </c>
      <c r="G187" s="296" t="str">
        <f>I187&amp;" "&amp;J187&amp;" "&amp;K187</f>
        <v>Desktop HP PRO MINI 400G6</v>
      </c>
      <c r="H187" s="296">
        <v>1</v>
      </c>
      <c r="I187" s="296" t="s">
        <v>57</v>
      </c>
      <c r="J187" s="296" t="s">
        <v>58</v>
      </c>
      <c r="K187" s="296" t="s">
        <v>525</v>
      </c>
      <c r="L187" s="670"/>
      <c r="M187" s="681" t="s">
        <v>546</v>
      </c>
      <c r="N187" s="649">
        <v>16</v>
      </c>
      <c r="O187" s="649">
        <v>512000</v>
      </c>
      <c r="P187" s="630" t="s">
        <v>79</v>
      </c>
      <c r="Q187" s="296" t="s">
        <v>543</v>
      </c>
      <c r="R187" s="296"/>
      <c r="S187" s="296"/>
      <c r="T187" s="668"/>
      <c r="U187" s="635"/>
      <c r="V187" s="296" t="s">
        <v>547</v>
      </c>
      <c r="W187" s="649" t="s">
        <v>547</v>
      </c>
      <c r="X187" s="636"/>
      <c r="Y187" s="643" t="s">
        <v>64</v>
      </c>
      <c r="Z187" s="643" t="s">
        <v>64</v>
      </c>
      <c r="AA187" s="636"/>
    </row>
    <row r="188" spans="1:27" s="257" customFormat="1" ht="28.5" hidden="1">
      <c r="A188" s="259">
        <f>A187+1</f>
        <v>165</v>
      </c>
      <c r="B188" s="259" t="s">
        <v>548</v>
      </c>
      <c r="C188" s="259" t="s">
        <v>65</v>
      </c>
      <c r="D188" s="277" t="s">
        <v>541</v>
      </c>
      <c r="E188" s="258" t="str">
        <f>VLOOKUP(D188,Store_Info_VN!B:P,2,0)</f>
        <v>CONVERSE CFS QUANG TRUNG</v>
      </c>
      <c r="F188" s="258" t="s">
        <v>56</v>
      </c>
      <c r="G188" s="258" t="str">
        <f>I188&amp;" "&amp;J188&amp;" "&amp;K188</f>
        <v>Desktop HP PRO MINI 400G6</v>
      </c>
      <c r="H188" s="258">
        <v>1</v>
      </c>
      <c r="I188" s="258" t="s">
        <v>57</v>
      </c>
      <c r="J188" s="258" t="s">
        <v>58</v>
      </c>
      <c r="K188" s="258" t="s">
        <v>525</v>
      </c>
      <c r="L188" s="302"/>
      <c r="M188" s="288" t="s">
        <v>549</v>
      </c>
      <c r="N188" s="277">
        <v>16</v>
      </c>
      <c r="O188" s="277">
        <v>512000</v>
      </c>
      <c r="P188" s="259" t="s">
        <v>79</v>
      </c>
      <c r="Q188" s="258" t="s">
        <v>543</v>
      </c>
      <c r="R188" s="258"/>
      <c r="S188" s="258"/>
      <c r="T188" s="278"/>
      <c r="U188" s="268"/>
      <c r="V188" s="258" t="s">
        <v>550</v>
      </c>
      <c r="W188" s="277" t="s">
        <v>550</v>
      </c>
      <c r="X188" s="271"/>
      <c r="Y188" s="273" t="s">
        <v>64</v>
      </c>
      <c r="Z188" s="273" t="s">
        <v>64</v>
      </c>
      <c r="AA188" s="271"/>
    </row>
    <row r="189" spans="1:27" s="257" customFormat="1" hidden="1">
      <c r="A189" s="259">
        <f>A188+1</f>
        <v>166</v>
      </c>
      <c r="B189" s="259"/>
      <c r="C189" s="259" t="s">
        <v>65</v>
      </c>
      <c r="D189" s="277" t="s">
        <v>551</v>
      </c>
      <c r="E189" s="258" t="str">
        <f>VLOOKUP(D189,Store_Info_VN!B:P,2,0)</f>
        <v>NEW BALANCE LOTTE MALL</v>
      </c>
      <c r="F189" s="258" t="s">
        <v>56</v>
      </c>
      <c r="G189" s="258" t="str">
        <f>I189&amp;" "&amp;J189&amp;" "&amp;K189</f>
        <v>A4 Printer Canon LBP 2900</v>
      </c>
      <c r="H189" s="258">
        <v>1</v>
      </c>
      <c r="I189" s="258" t="s">
        <v>99</v>
      </c>
      <c r="J189" s="258" t="s">
        <v>100</v>
      </c>
      <c r="K189" s="258" t="s">
        <v>101</v>
      </c>
      <c r="L189" s="302"/>
      <c r="M189" s="288" t="s">
        <v>552</v>
      </c>
      <c r="N189" s="277"/>
      <c r="O189" s="277"/>
      <c r="P189" s="259"/>
      <c r="Q189" s="258"/>
      <c r="R189" s="271"/>
      <c r="S189" s="271"/>
      <c r="T189" s="278"/>
      <c r="U189" s="268"/>
      <c r="V189" s="258"/>
      <c r="W189" s="277"/>
      <c r="X189" s="271"/>
      <c r="Y189" s="273"/>
      <c r="Z189" s="273"/>
      <c r="AA189" s="271"/>
    </row>
    <row r="190" spans="1:27" s="257" customFormat="1" hidden="1">
      <c r="A190" s="259">
        <f>A189+1</f>
        <v>167</v>
      </c>
      <c r="B190" s="259"/>
      <c r="C190" s="259" t="s">
        <v>65</v>
      </c>
      <c r="D190" s="277" t="s">
        <v>551</v>
      </c>
      <c r="E190" s="258" t="str">
        <f>VLOOKUP(D190,Store_Info_VN!B:P,2,0)</f>
        <v>NEW BALANCE LOTTE MALL</v>
      </c>
      <c r="F190" s="258" t="s">
        <v>56</v>
      </c>
      <c r="G190" s="258" t="str">
        <f>I190&amp;" "&amp;J190&amp;" "&amp;K190</f>
        <v>Scanner Datalogic QW2100</v>
      </c>
      <c r="H190" s="258">
        <v>1</v>
      </c>
      <c r="I190" s="258" t="s">
        <v>96</v>
      </c>
      <c r="J190" s="258" t="s">
        <v>97</v>
      </c>
      <c r="K190" s="258" t="s">
        <v>98</v>
      </c>
      <c r="L190" s="302"/>
      <c r="M190" s="288" t="s">
        <v>553</v>
      </c>
      <c r="N190" s="277"/>
      <c r="O190" s="277"/>
      <c r="P190" s="259"/>
      <c r="Q190" s="258"/>
      <c r="R190" s="271"/>
      <c r="S190" s="271"/>
      <c r="T190" s="278"/>
      <c r="U190" s="268"/>
      <c r="V190" s="258"/>
      <c r="W190" s="277"/>
      <c r="X190" s="271"/>
      <c r="Y190" s="273"/>
      <c r="Z190" s="273"/>
      <c r="AA190" s="271"/>
    </row>
    <row r="191" spans="1:27" s="257" customFormat="1" hidden="1">
      <c r="A191" s="259">
        <f>A190+1</f>
        <v>168</v>
      </c>
      <c r="B191" s="259"/>
      <c r="C191" s="259" t="s">
        <v>65</v>
      </c>
      <c r="D191" s="277" t="s">
        <v>551</v>
      </c>
      <c r="E191" s="258" t="str">
        <f>VLOOKUP(D191,Store_Info_VN!B:P,2,0)</f>
        <v>NEW BALANCE LOTTE MALL</v>
      </c>
      <c r="F191" s="258" t="s">
        <v>56</v>
      </c>
      <c r="G191" s="258" t="str">
        <f>I191&amp;" "&amp;J191&amp;" "&amp;K191</f>
        <v>Bill Printer Epson TM-T82III</v>
      </c>
      <c r="H191" s="258">
        <v>1</v>
      </c>
      <c r="I191" s="258" t="s">
        <v>92</v>
      </c>
      <c r="J191" s="258" t="s">
        <v>93</v>
      </c>
      <c r="K191" s="258" t="s">
        <v>94</v>
      </c>
      <c r="L191" s="302"/>
      <c r="M191" s="288" t="s">
        <v>554</v>
      </c>
      <c r="N191" s="277"/>
      <c r="O191" s="277"/>
      <c r="P191" s="259"/>
      <c r="Q191" s="258"/>
      <c r="R191" s="271"/>
      <c r="S191" s="271"/>
      <c r="T191" s="278"/>
      <c r="U191" s="268"/>
      <c r="V191" s="258"/>
      <c r="W191" s="277"/>
      <c r="X191" s="271"/>
      <c r="Y191" s="273"/>
      <c r="Z191" s="273"/>
      <c r="AA191" s="271"/>
    </row>
    <row r="192" spans="1:27" s="257" customFormat="1" ht="26.25" hidden="1">
      <c r="A192" s="259">
        <f>A191+1</f>
        <v>169</v>
      </c>
      <c r="B192" s="259"/>
      <c r="C192" s="259" t="s">
        <v>65</v>
      </c>
      <c r="D192" s="277" t="s">
        <v>551</v>
      </c>
      <c r="E192" s="258" t="str">
        <f>VLOOKUP(D192,Store_Info_VN!B:P,2,0)</f>
        <v>NEW BALANCE LOTTE MALL</v>
      </c>
      <c r="F192" s="258" t="s">
        <v>56</v>
      </c>
      <c r="G192" s="258" t="str">
        <f>I192&amp;" "&amp;J192&amp;" "&amp;K192</f>
        <v>Other  Electric socket (LIOA 6 Slots 3m)</v>
      </c>
      <c r="H192" s="258">
        <v>1</v>
      </c>
      <c r="I192" s="258" t="s">
        <v>275</v>
      </c>
      <c r="J192" s="258"/>
      <c r="K192" s="258" t="s">
        <v>555</v>
      </c>
      <c r="L192" s="302"/>
      <c r="M192" s="288"/>
      <c r="N192" s="277"/>
      <c r="O192" s="277"/>
      <c r="P192" s="259"/>
      <c r="Q192" s="258"/>
      <c r="R192" s="271"/>
      <c r="S192" s="271"/>
      <c r="T192" s="278"/>
      <c r="U192" s="268"/>
      <c r="V192" s="258"/>
      <c r="W192" s="277"/>
      <c r="X192" s="271"/>
      <c r="Y192" s="273"/>
      <c r="Z192" s="273"/>
      <c r="AA192" s="271"/>
    </row>
    <row r="193" spans="1:27" s="257" customFormat="1" hidden="1">
      <c r="A193" s="259">
        <f>A192+1</f>
        <v>170</v>
      </c>
      <c r="B193" s="259"/>
      <c r="C193" s="259" t="s">
        <v>65</v>
      </c>
      <c r="D193" s="277" t="s">
        <v>551</v>
      </c>
      <c r="E193" s="258" t="str">
        <f>VLOOKUP(D193,Store_Info_VN!B:P,2,0)</f>
        <v>NEW BALANCE LOTTE MALL</v>
      </c>
      <c r="F193" s="258" t="s">
        <v>56</v>
      </c>
      <c r="G193" s="258" t="str">
        <f>I193&amp;" "&amp;J193&amp;" "&amp;K193</f>
        <v>Monitor HP HP V20 (with mount kit)</v>
      </c>
      <c r="H193" s="258">
        <v>1</v>
      </c>
      <c r="I193" s="258" t="s">
        <v>116</v>
      </c>
      <c r="J193" s="258" t="s">
        <v>58</v>
      </c>
      <c r="K193" s="258" t="s">
        <v>556</v>
      </c>
      <c r="L193" s="302"/>
      <c r="M193" s="288"/>
      <c r="N193" s="277"/>
      <c r="O193" s="277"/>
      <c r="P193" s="259"/>
      <c r="Q193" s="258"/>
      <c r="R193" s="271"/>
      <c r="S193" s="271"/>
      <c r="T193" s="278"/>
      <c r="U193" s="268"/>
      <c r="V193" s="258"/>
      <c r="W193" s="277"/>
      <c r="X193" s="271"/>
      <c r="Y193" s="273"/>
      <c r="Z193" s="273"/>
      <c r="AA193" s="271"/>
    </row>
    <row r="194" spans="1:27" s="257" customFormat="1" hidden="1">
      <c r="A194" s="259">
        <f>A193+1</f>
        <v>171</v>
      </c>
      <c r="B194" s="259"/>
      <c r="C194" s="259" t="s">
        <v>65</v>
      </c>
      <c r="D194" s="277" t="s">
        <v>551</v>
      </c>
      <c r="E194" s="258" t="str">
        <f>VLOOKUP(D194,Store_Info_VN!B:P,2,0)</f>
        <v>NEW BALANCE LOTTE MALL</v>
      </c>
      <c r="F194" s="258" t="s">
        <v>56</v>
      </c>
      <c r="G194" s="258" t="str">
        <f>I194&amp;" "&amp;J194&amp;" "&amp;K194</f>
        <v>Pole Display Birch DSP-V9</v>
      </c>
      <c r="H194" s="258">
        <v>1</v>
      </c>
      <c r="I194" s="258" t="s">
        <v>125</v>
      </c>
      <c r="J194" s="258" t="s">
        <v>557</v>
      </c>
      <c r="K194" s="258" t="s">
        <v>558</v>
      </c>
      <c r="L194" s="302"/>
      <c r="M194" s="288" t="s">
        <v>559</v>
      </c>
      <c r="N194" s="277"/>
      <c r="O194" s="277"/>
      <c r="P194" s="259"/>
      <c r="Q194" s="258"/>
      <c r="R194" s="271"/>
      <c r="S194" s="271"/>
      <c r="T194" s="278"/>
      <c r="U194" s="268"/>
      <c r="V194" s="258"/>
      <c r="W194" s="277"/>
      <c r="X194" s="271"/>
      <c r="Y194" s="273"/>
      <c r="Z194" s="273"/>
      <c r="AA194" s="271"/>
    </row>
    <row r="195" spans="1:27" s="257" customFormat="1" ht="26.25" hidden="1">
      <c r="A195" s="259">
        <f>A194+1</f>
        <v>172</v>
      </c>
      <c r="B195" s="259"/>
      <c r="C195" s="259" t="s">
        <v>65</v>
      </c>
      <c r="D195" s="277" t="s">
        <v>149</v>
      </c>
      <c r="E195" s="258" t="str">
        <f>VLOOKUP(D195,Store_Info_VN!B:P,2,0)</f>
        <v>NEW BALANCE AEON HAI PHONG</v>
      </c>
      <c r="F195" s="258" t="s">
        <v>56</v>
      </c>
      <c r="G195" s="258" t="str">
        <f>I195&amp;" "&amp;J195&amp;" "&amp;K195</f>
        <v>Cash Drawer Maken MK410</v>
      </c>
      <c r="H195" s="258">
        <v>1</v>
      </c>
      <c r="I195" s="258" t="s">
        <v>159</v>
      </c>
      <c r="J195" s="258" t="s">
        <v>230</v>
      </c>
      <c r="K195" s="258" t="s">
        <v>231</v>
      </c>
      <c r="L195" s="302"/>
      <c r="M195" s="288" t="s">
        <v>560</v>
      </c>
      <c r="N195" s="277"/>
      <c r="O195" s="277"/>
      <c r="P195" s="259"/>
      <c r="Q195" s="258"/>
      <c r="R195" s="271"/>
      <c r="S195" s="271"/>
      <c r="T195" s="278"/>
      <c r="U195" s="268" t="s">
        <v>561</v>
      </c>
      <c r="V195" s="258"/>
      <c r="W195" s="277"/>
      <c r="X195" s="271"/>
      <c r="Y195" s="273"/>
      <c r="Z195" s="273"/>
      <c r="AA195" s="271"/>
    </row>
    <row r="196" spans="1:27" s="257" customFormat="1" ht="26.25" hidden="1">
      <c r="A196" s="259">
        <f>A195+1</f>
        <v>173</v>
      </c>
      <c r="B196" s="259"/>
      <c r="C196" s="259" t="s">
        <v>65</v>
      </c>
      <c r="D196" s="277" t="s">
        <v>551</v>
      </c>
      <c r="E196" s="258" t="str">
        <f>VLOOKUP(D196,Store_Info_VN!B:P,2,0)</f>
        <v>NEW BALANCE LOTTE MALL</v>
      </c>
      <c r="F196" s="258" t="s">
        <v>56</v>
      </c>
      <c r="G196" s="258" t="str">
        <f>I196&amp;" "&amp;J196&amp;" "&amp;K196</f>
        <v>Network Switch Cisco CBS110-16T-EU</v>
      </c>
      <c r="H196" s="258">
        <v>1</v>
      </c>
      <c r="I196" s="258" t="s">
        <v>172</v>
      </c>
      <c r="J196" s="258" t="s">
        <v>562</v>
      </c>
      <c r="K196" s="258" t="s">
        <v>563</v>
      </c>
      <c r="L196" s="302"/>
      <c r="M196" s="288" t="s">
        <v>564</v>
      </c>
      <c r="N196" s="277"/>
      <c r="O196" s="277"/>
      <c r="P196" s="259"/>
      <c r="Q196" s="258"/>
      <c r="R196" s="271"/>
      <c r="S196" s="271"/>
      <c r="T196" s="278"/>
      <c r="U196" s="268"/>
      <c r="V196" s="258"/>
      <c r="W196" s="277"/>
      <c r="X196" s="271"/>
      <c r="Y196" s="273"/>
      <c r="Z196" s="273"/>
      <c r="AA196" s="271"/>
    </row>
    <row r="197" spans="1:27" s="257" customFormat="1" hidden="1">
      <c r="A197" s="259">
        <f>A196+1</f>
        <v>174</v>
      </c>
      <c r="B197" s="259"/>
      <c r="C197" s="259" t="s">
        <v>65</v>
      </c>
      <c r="D197" s="277" t="s">
        <v>551</v>
      </c>
      <c r="E197" s="258" t="str">
        <f>VLOOKUP(D197,Store_Info_VN!B:P,2,0)</f>
        <v>NEW BALANCE LOTTE MALL</v>
      </c>
      <c r="F197" s="258" t="s">
        <v>56</v>
      </c>
      <c r="G197" s="258" t="str">
        <f>I197&amp;" "&amp;J197&amp;" "&amp;K197</f>
        <v xml:space="preserve">USB Hub Orico </v>
      </c>
      <c r="H197" s="258">
        <v>1</v>
      </c>
      <c r="I197" s="258" t="s">
        <v>273</v>
      </c>
      <c r="J197" s="258" t="s">
        <v>274</v>
      </c>
      <c r="K197" s="258"/>
      <c r="L197" s="258" t="s">
        <v>466</v>
      </c>
      <c r="M197" s="288"/>
      <c r="N197" s="277"/>
      <c r="O197" s="277"/>
      <c r="P197" s="259"/>
      <c r="Q197" s="258"/>
      <c r="R197" s="271"/>
      <c r="S197" s="271"/>
      <c r="T197" s="278"/>
      <c r="U197" s="268"/>
      <c r="V197" s="258"/>
      <c r="W197" s="277"/>
      <c r="X197" s="271"/>
      <c r="Y197" s="273"/>
      <c r="Z197" s="273"/>
      <c r="AA197" s="271"/>
    </row>
    <row r="198" spans="1:27" s="257" customFormat="1" ht="28.5" hidden="1">
      <c r="A198" s="259">
        <f>A197+1</f>
        <v>175</v>
      </c>
      <c r="B198" s="259" t="s">
        <v>565</v>
      </c>
      <c r="C198" s="259" t="s">
        <v>65</v>
      </c>
      <c r="D198" s="277" t="s">
        <v>541</v>
      </c>
      <c r="E198" s="258" t="str">
        <f>VLOOKUP(D198,Store_Info_VN!B:P,2,0)</f>
        <v>CONVERSE CFS QUANG TRUNG</v>
      </c>
      <c r="F198" s="258" t="s">
        <v>56</v>
      </c>
      <c r="G198" s="258" t="str">
        <f>I198&amp;" "&amp;J198&amp;" "&amp;K198</f>
        <v>Desktop HP PRO MINI 400G6</v>
      </c>
      <c r="H198" s="258">
        <v>1</v>
      </c>
      <c r="I198" s="258" t="s">
        <v>57</v>
      </c>
      <c r="J198" s="258" t="s">
        <v>58</v>
      </c>
      <c r="K198" s="258" t="s">
        <v>525</v>
      </c>
      <c r="L198" s="302"/>
      <c r="M198" s="288" t="s">
        <v>566</v>
      </c>
      <c r="N198" s="277">
        <v>16</v>
      </c>
      <c r="O198" s="277">
        <v>512000</v>
      </c>
      <c r="P198" s="259" t="s">
        <v>79</v>
      </c>
      <c r="Q198" s="258" t="s">
        <v>543</v>
      </c>
      <c r="R198" s="258"/>
      <c r="S198" s="258"/>
      <c r="T198" s="278"/>
      <c r="U198" s="268"/>
      <c r="V198" s="258" t="s">
        <v>567</v>
      </c>
      <c r="W198" s="277" t="s">
        <v>567</v>
      </c>
      <c r="X198" s="271"/>
      <c r="Y198" s="273" t="s">
        <v>64</v>
      </c>
      <c r="Z198" s="273" t="s">
        <v>64</v>
      </c>
      <c r="AA198" s="271"/>
    </row>
    <row r="199" spans="1:27" ht="28.5" hidden="1">
      <c r="A199" s="290">
        <f>A198+1</f>
        <v>176</v>
      </c>
      <c r="B199" s="290" t="s">
        <v>568</v>
      </c>
      <c r="C199" s="290" t="s">
        <v>253</v>
      </c>
      <c r="D199" s="289" t="s">
        <v>569</v>
      </c>
      <c r="E199" s="261" t="str">
        <f>VLOOKUP(D199,Store_Info_VN!B:P,2,0)</f>
        <v>BIRKENSTOCK CRESCENT MALL</v>
      </c>
      <c r="F199" s="261" t="s">
        <v>56</v>
      </c>
      <c r="G199" s="261" t="str">
        <f>I199&amp;" "&amp;J199&amp;" "&amp;K199</f>
        <v>Desktop HP  PRO MINI 400 G9</v>
      </c>
      <c r="H199" s="261">
        <v>1</v>
      </c>
      <c r="I199" s="261" t="s">
        <v>57</v>
      </c>
      <c r="J199" s="261" t="s">
        <v>58</v>
      </c>
      <c r="K199" s="261" t="s">
        <v>570</v>
      </c>
      <c r="L199" s="646"/>
      <c r="M199" s="679" t="s">
        <v>571</v>
      </c>
      <c r="N199" s="289">
        <v>16</v>
      </c>
      <c r="O199" s="289">
        <v>512000</v>
      </c>
      <c r="P199" s="290" t="s">
        <v>79</v>
      </c>
      <c r="Q199" s="261" t="s">
        <v>492</v>
      </c>
      <c r="R199" s="293"/>
      <c r="S199" s="293"/>
      <c r="T199" s="666"/>
      <c r="U199" s="291"/>
      <c r="V199" s="261" t="s">
        <v>572</v>
      </c>
      <c r="W199" s="289" t="s">
        <v>572</v>
      </c>
      <c r="X199" s="293"/>
      <c r="Y199" s="638" t="s">
        <v>64</v>
      </c>
      <c r="Z199" s="638" t="s">
        <v>64</v>
      </c>
      <c r="AA199" s="293"/>
    </row>
    <row r="200" spans="1:27" ht="14.25">
      <c r="A200" s="258">
        <f>A199+1</f>
        <v>177</v>
      </c>
      <c r="B200" s="258"/>
      <c r="C200" s="258" t="s">
        <v>54</v>
      </c>
      <c r="D200" s="277" t="s">
        <v>573</v>
      </c>
      <c r="E200" s="258" t="str">
        <f>VLOOKUP(D200,Store_Info_VN!B:P,2,0)</f>
        <v>ROOKIE LOTTE MALL</v>
      </c>
      <c r="F200" s="258" t="s">
        <v>56</v>
      </c>
      <c r="G200" s="258" t="str">
        <f>I200&amp;" "&amp;J200&amp;" "&amp;K200</f>
        <v>A4 Printer Canon LBP 2900</v>
      </c>
      <c r="H200" s="258">
        <v>1</v>
      </c>
      <c r="I200" s="258" t="s">
        <v>99</v>
      </c>
      <c r="J200" s="258" t="s">
        <v>100</v>
      </c>
      <c r="K200" s="258" t="s">
        <v>101</v>
      </c>
      <c r="L200" s="302"/>
      <c r="M200" s="615" t="s">
        <v>574</v>
      </c>
      <c r="N200" s="277"/>
      <c r="O200" s="277"/>
      <c r="W200" s="277"/>
    </row>
    <row r="201" spans="1:27" ht="14.25">
      <c r="A201" s="258">
        <f>A200+1</f>
        <v>178</v>
      </c>
      <c r="B201" s="258"/>
      <c r="C201" s="258" t="s">
        <v>54</v>
      </c>
      <c r="D201" s="277" t="s">
        <v>573</v>
      </c>
      <c r="E201" s="258" t="str">
        <f>VLOOKUP(D201,Store_Info_VN!B:P,2,0)</f>
        <v>ROOKIE LOTTE MALL</v>
      </c>
      <c r="F201" s="258" t="s">
        <v>56</v>
      </c>
      <c r="G201" s="258" t="str">
        <f>I201&amp;" "&amp;J201&amp;" "&amp;K201</f>
        <v>Scanner Datalogic QW2100</v>
      </c>
      <c r="H201" s="258">
        <v>1</v>
      </c>
      <c r="I201" s="258" t="s">
        <v>96</v>
      </c>
      <c r="J201" s="258" t="s">
        <v>97</v>
      </c>
      <c r="K201" s="258" t="s">
        <v>98</v>
      </c>
      <c r="L201" s="302"/>
      <c r="M201" s="615" t="s">
        <v>575</v>
      </c>
      <c r="N201" s="277"/>
      <c r="O201" s="277"/>
      <c r="W201" s="277"/>
    </row>
    <row r="202" spans="1:27" ht="14.25">
      <c r="A202" s="258">
        <f>A201+1</f>
        <v>179</v>
      </c>
      <c r="B202" s="258"/>
      <c r="C202" s="258" t="s">
        <v>54</v>
      </c>
      <c r="D202" s="277" t="s">
        <v>573</v>
      </c>
      <c r="E202" s="258" t="str">
        <f>VLOOKUP(D202,Store_Info_VN!B:P,2,0)</f>
        <v>ROOKIE LOTTE MALL</v>
      </c>
      <c r="F202" s="258" t="s">
        <v>56</v>
      </c>
      <c r="G202" s="258" t="str">
        <f>I202&amp;" "&amp;J202&amp;" "&amp;K202</f>
        <v>Bill Printer Epson TM-T82III</v>
      </c>
      <c r="H202" s="258">
        <v>1</v>
      </c>
      <c r="I202" s="258" t="s">
        <v>92</v>
      </c>
      <c r="J202" s="258" t="s">
        <v>93</v>
      </c>
      <c r="K202" s="258" t="s">
        <v>94</v>
      </c>
      <c r="L202" s="302"/>
      <c r="M202" s="615" t="s">
        <v>576</v>
      </c>
      <c r="N202" s="277"/>
      <c r="O202" s="277"/>
      <c r="W202" s="277"/>
    </row>
    <row r="203" spans="1:27" ht="28.5">
      <c r="A203" s="258">
        <f>A202+1</f>
        <v>180</v>
      </c>
      <c r="B203" s="258"/>
      <c r="C203" s="258" t="s">
        <v>54</v>
      </c>
      <c r="D203" s="277" t="s">
        <v>573</v>
      </c>
      <c r="E203" s="258" t="str">
        <f>VLOOKUP(D203,Store_Info_VN!B:P,2,0)</f>
        <v>ROOKIE LOTTE MALL</v>
      </c>
      <c r="F203" s="258" t="s">
        <v>56</v>
      </c>
      <c r="G203" s="258" t="str">
        <f>I203&amp;" - "&amp;J203&amp;" "&amp;K203</f>
        <v>Other -  Electric socket (LIOA 6 Slots 3m)</v>
      </c>
      <c r="H203" s="258">
        <v>1</v>
      </c>
      <c r="I203" s="258" t="s">
        <v>275</v>
      </c>
      <c r="K203" s="258" t="s">
        <v>555</v>
      </c>
      <c r="L203" s="302"/>
      <c r="M203" s="615"/>
      <c r="N203" s="277"/>
      <c r="O203" s="277"/>
      <c r="W203" s="277"/>
    </row>
    <row r="204" spans="1:27" ht="28.5">
      <c r="A204" s="258">
        <f>A203+1</f>
        <v>181</v>
      </c>
      <c r="B204" s="258"/>
      <c r="C204" s="258" t="s">
        <v>54</v>
      </c>
      <c r="D204" s="277" t="s">
        <v>573</v>
      </c>
      <c r="E204" s="258" t="str">
        <f>VLOOKUP(D204,Store_Info_VN!B:P,2,0)</f>
        <v>ROOKIE LOTTE MALL</v>
      </c>
      <c r="F204" s="258" t="s">
        <v>56</v>
      </c>
      <c r="G204" s="258" t="str">
        <f>I204&amp;" "&amp;J204&amp;" "&amp;K204</f>
        <v>Monitor HP HP V20 (with mount kit)</v>
      </c>
      <c r="H204" s="258">
        <v>1</v>
      </c>
      <c r="I204" s="258" t="s">
        <v>116</v>
      </c>
      <c r="J204" s="258" t="s">
        <v>58</v>
      </c>
      <c r="K204" s="258" t="s">
        <v>556</v>
      </c>
      <c r="L204" s="302"/>
      <c r="M204" s="615" t="s">
        <v>577</v>
      </c>
      <c r="N204" s="277"/>
      <c r="O204" s="277"/>
      <c r="W204" s="277"/>
    </row>
    <row r="205" spans="1:27" ht="14.25">
      <c r="A205" s="258">
        <f>A204+1</f>
        <v>182</v>
      </c>
      <c r="B205" s="258"/>
      <c r="C205" s="258" t="s">
        <v>54</v>
      </c>
      <c r="D205" s="277" t="s">
        <v>573</v>
      </c>
      <c r="E205" s="258" t="str">
        <f>VLOOKUP(D205,Store_Info_VN!B:P,2,0)</f>
        <v>ROOKIE LOTTE MALL</v>
      </c>
      <c r="F205" s="258" t="s">
        <v>56</v>
      </c>
      <c r="G205" s="258" t="str">
        <f>I205&amp;" "&amp;J205&amp;" "&amp;K205</f>
        <v>Pole Display Birch DSP-V9</v>
      </c>
      <c r="H205" s="258">
        <v>1</v>
      </c>
      <c r="I205" s="258" t="s">
        <v>125</v>
      </c>
      <c r="J205" s="258" t="s">
        <v>557</v>
      </c>
      <c r="K205" s="258" t="s">
        <v>558</v>
      </c>
      <c r="L205" s="302"/>
      <c r="M205" s="615" t="s">
        <v>578</v>
      </c>
      <c r="N205" s="277"/>
      <c r="O205" s="277"/>
      <c r="W205" s="277"/>
    </row>
    <row r="206" spans="1:27" ht="28.5">
      <c r="A206" s="258">
        <f>A205+1</f>
        <v>183</v>
      </c>
      <c r="B206" s="258"/>
      <c r="C206" s="258" t="s">
        <v>54</v>
      </c>
      <c r="D206" s="277" t="s">
        <v>573</v>
      </c>
      <c r="E206" s="258" t="str">
        <f>VLOOKUP(D206,Store_Info_VN!B:P,2,0)</f>
        <v>ROOKIE LOTTE MALL</v>
      </c>
      <c r="F206" s="258" t="s">
        <v>56</v>
      </c>
      <c r="G206" s="258" t="str">
        <f>I206&amp;" "&amp;J206&amp;" "&amp;K206</f>
        <v>Network Switch Cisco CBS110-16T-EU</v>
      </c>
      <c r="H206" s="258">
        <v>1</v>
      </c>
      <c r="I206" s="258" t="s">
        <v>172</v>
      </c>
      <c r="J206" s="258" t="s">
        <v>562</v>
      </c>
      <c r="K206" s="258" t="s">
        <v>563</v>
      </c>
      <c r="L206" s="302"/>
      <c r="M206" s="615" t="s">
        <v>579</v>
      </c>
      <c r="N206" s="277"/>
      <c r="O206" s="277"/>
      <c r="W206" s="277"/>
    </row>
    <row r="207" spans="1:27" ht="14.25">
      <c r="A207" s="258">
        <f>A206+1</f>
        <v>184</v>
      </c>
      <c r="B207" s="258"/>
      <c r="C207" s="258" t="s">
        <v>54</v>
      </c>
      <c r="D207" s="277" t="s">
        <v>573</v>
      </c>
      <c r="E207" s="258" t="str">
        <f>VLOOKUP(D207,Store_Info_VN!B:P,2,0)</f>
        <v>ROOKIE LOTTE MALL</v>
      </c>
      <c r="F207" s="258" t="s">
        <v>56</v>
      </c>
      <c r="G207" s="258" t="str">
        <f>I207&amp;" "&amp;J207&amp;" "&amp;K207</f>
        <v xml:space="preserve">USB Hub Orico </v>
      </c>
      <c r="H207" s="258">
        <v>1</v>
      </c>
      <c r="I207" s="258" t="s">
        <v>273</v>
      </c>
      <c r="J207" s="258" t="s">
        <v>274</v>
      </c>
      <c r="L207" s="258" t="s">
        <v>466</v>
      </c>
      <c r="M207" s="615"/>
      <c r="N207" s="277"/>
      <c r="O207" s="277"/>
      <c r="W207" s="277"/>
    </row>
    <row r="208" spans="1:27" ht="14.25" hidden="1">
      <c r="A208" s="281">
        <f>A207+1</f>
        <v>185</v>
      </c>
      <c r="B208" s="281" t="s">
        <v>580</v>
      </c>
      <c r="C208" s="281" t="s">
        <v>65</v>
      </c>
      <c r="D208" s="303" t="s">
        <v>581</v>
      </c>
      <c r="E208" s="279" t="str">
        <f>VLOOKUP(D208,Store_Info_VN!B:P,2,0)</f>
        <v>CONVERSE LOTTE MALL</v>
      </c>
      <c r="F208" s="279" t="s">
        <v>56</v>
      </c>
      <c r="G208" s="279" t="str">
        <f>I208&amp;" "&amp;J208&amp;" "&amp;K208</f>
        <v>Desktop HP PRO MINI 400G6</v>
      </c>
      <c r="H208" s="279">
        <v>1</v>
      </c>
      <c r="I208" s="279" t="s">
        <v>57</v>
      </c>
      <c r="J208" s="279" t="s">
        <v>58</v>
      </c>
      <c r="K208" s="279" t="s">
        <v>525</v>
      </c>
      <c r="L208" s="318"/>
      <c r="M208" s="678" t="s">
        <v>582</v>
      </c>
      <c r="N208" s="303">
        <v>16</v>
      </c>
      <c r="O208" s="303">
        <v>512000</v>
      </c>
      <c r="P208" s="281" t="s">
        <v>79</v>
      </c>
      <c r="Q208" s="279" t="s">
        <v>492</v>
      </c>
      <c r="R208" s="284"/>
      <c r="S208" s="284"/>
      <c r="T208" s="285"/>
      <c r="U208" s="286"/>
      <c r="V208" s="279" t="s">
        <v>583</v>
      </c>
      <c r="W208" s="303" t="s">
        <v>583</v>
      </c>
      <c r="X208" s="284"/>
      <c r="Y208" s="312" t="s">
        <v>64</v>
      </c>
      <c r="Z208" s="312" t="s">
        <v>64</v>
      </c>
      <c r="AA208" s="284"/>
    </row>
    <row r="209" spans="1:27" s="257" customFormat="1" ht="14.25">
      <c r="A209" s="258">
        <f>A208+1</f>
        <v>186</v>
      </c>
      <c r="B209" s="258" t="s">
        <v>584</v>
      </c>
      <c r="C209" s="258" t="s">
        <v>54</v>
      </c>
      <c r="D209" s="277" t="s">
        <v>585</v>
      </c>
      <c r="E209" s="258" t="str">
        <f>VLOOKUP(D209,Store_Info_VN!B:P,2,0)</f>
        <v>NEW ERA LOTTE MALL</v>
      </c>
      <c r="F209" s="258" t="s">
        <v>56</v>
      </c>
      <c r="G209" s="258" t="str">
        <f>I209&amp;" "&amp;J209&amp;" "&amp;K209</f>
        <v>Desktop HP PRO MINI 400G6</v>
      </c>
      <c r="H209" s="258">
        <v>1</v>
      </c>
      <c r="I209" s="258" t="s">
        <v>57</v>
      </c>
      <c r="J209" s="258" t="s">
        <v>58</v>
      </c>
      <c r="K209" s="258" t="s">
        <v>525</v>
      </c>
      <c r="L209" s="302"/>
      <c r="M209" s="615" t="s">
        <v>586</v>
      </c>
      <c r="N209" s="277">
        <v>16</v>
      </c>
      <c r="O209" s="277">
        <v>512000</v>
      </c>
      <c r="P209" s="258" t="s">
        <v>79</v>
      </c>
      <c r="Q209" s="258" t="s">
        <v>492</v>
      </c>
      <c r="R209" s="271"/>
      <c r="S209" s="271"/>
      <c r="T209" s="278"/>
      <c r="U209" s="268"/>
      <c r="V209" s="258" t="s">
        <v>587</v>
      </c>
      <c r="W209" s="277" t="s">
        <v>587</v>
      </c>
      <c r="X209" s="271"/>
      <c r="Y209" s="271" t="s">
        <v>64</v>
      </c>
      <c r="Z209" s="271" t="s">
        <v>64</v>
      </c>
      <c r="AA209" s="271"/>
    </row>
    <row r="210" spans="1:27" s="257" customFormat="1" ht="14.25" hidden="1">
      <c r="A210" s="630">
        <f>A209+1</f>
        <v>187</v>
      </c>
      <c r="B210" s="630" t="s">
        <v>588</v>
      </c>
      <c r="C210" s="630" t="s">
        <v>65</v>
      </c>
      <c r="D210" s="345" t="s">
        <v>551</v>
      </c>
      <c r="E210" s="296" t="str">
        <f>VLOOKUP(D210,Store_Info_VN!B:P,2,0)</f>
        <v>NEW BALANCE LOTTE MALL</v>
      </c>
      <c r="F210" s="296" t="s">
        <v>56</v>
      </c>
      <c r="G210" s="296" t="str">
        <f>I210&amp;" "&amp;J210&amp;" "&amp;K210</f>
        <v>Desktop HP PRO MINI 400G6</v>
      </c>
      <c r="H210" s="317">
        <v>1</v>
      </c>
      <c r="I210" s="296" t="s">
        <v>57</v>
      </c>
      <c r="J210" s="306" t="s">
        <v>58</v>
      </c>
      <c r="K210" s="306" t="s">
        <v>525</v>
      </c>
      <c r="L210" s="670"/>
      <c r="M210" s="626" t="s">
        <v>589</v>
      </c>
      <c r="N210" s="649">
        <v>16</v>
      </c>
      <c r="O210" s="649">
        <v>512000</v>
      </c>
      <c r="P210" s="633" t="s">
        <v>79</v>
      </c>
      <c r="Q210" s="296" t="s">
        <v>492</v>
      </c>
      <c r="R210" s="636"/>
      <c r="S210" s="636"/>
      <c r="T210" s="634"/>
      <c r="U210" s="635"/>
      <c r="V210" s="296" t="s">
        <v>590</v>
      </c>
      <c r="W210" s="640" t="s">
        <v>590</v>
      </c>
      <c r="X210" s="636"/>
      <c r="Y210" s="643" t="s">
        <v>64</v>
      </c>
      <c r="Z210" s="644" t="s">
        <v>64</v>
      </c>
      <c r="AA210" s="636"/>
    </row>
    <row r="211" spans="1:27" s="257" customFormat="1" ht="14.25" hidden="1">
      <c r="A211" s="259">
        <f>A210+1</f>
        <v>188</v>
      </c>
      <c r="B211" s="259" t="s">
        <v>591</v>
      </c>
      <c r="C211" s="259" t="s">
        <v>65</v>
      </c>
      <c r="D211" s="277" t="s">
        <v>592</v>
      </c>
      <c r="E211" s="258" t="str">
        <f>VLOOKUP(D211,Store_Info_VN!B:P,2,0)</f>
        <v>NEW BALANCE VAN HANH MALL</v>
      </c>
      <c r="F211" s="258" t="s">
        <v>56</v>
      </c>
      <c r="G211" s="258" t="str">
        <f>I211&amp;" "&amp;J211&amp;" "&amp;K211</f>
        <v>Desktop HP PRO MINI 400 G9</v>
      </c>
      <c r="H211" s="258">
        <v>1</v>
      </c>
      <c r="I211" s="258" t="s">
        <v>57</v>
      </c>
      <c r="J211" s="258" t="s">
        <v>58</v>
      </c>
      <c r="K211" s="258" t="s">
        <v>593</v>
      </c>
      <c r="L211" s="308"/>
      <c r="M211" s="288" t="s">
        <v>594</v>
      </c>
      <c r="N211" s="277">
        <v>16</v>
      </c>
      <c r="O211" s="277">
        <v>512000</v>
      </c>
      <c r="P211" s="259" t="s">
        <v>79</v>
      </c>
      <c r="Q211" s="258" t="s">
        <v>492</v>
      </c>
      <c r="R211" s="271"/>
      <c r="S211" s="271"/>
      <c r="T211" s="278"/>
      <c r="U211" s="268"/>
      <c r="V211" s="258" t="s">
        <v>595</v>
      </c>
      <c r="W211" s="277" t="s">
        <v>595</v>
      </c>
      <c r="X211" s="271"/>
      <c r="Y211" s="273" t="s">
        <v>64</v>
      </c>
      <c r="Z211" s="273" t="s">
        <v>64</v>
      </c>
      <c r="AA211" s="271"/>
    </row>
    <row r="212" spans="1:27" s="257" customFormat="1" ht="14.25">
      <c r="A212" s="258">
        <f>A211+1</f>
        <v>189</v>
      </c>
      <c r="B212" s="258" t="s">
        <v>596</v>
      </c>
      <c r="C212" s="258" t="s">
        <v>54</v>
      </c>
      <c r="D212" s="277" t="s">
        <v>573</v>
      </c>
      <c r="E212" s="258" t="str">
        <f>VLOOKUP(D212,Store_Info_VN!B:P,2,0)</f>
        <v>ROOKIE LOTTE MALL</v>
      </c>
      <c r="F212" s="258" t="s">
        <v>56</v>
      </c>
      <c r="G212" s="258" t="str">
        <f>I212&amp;" "&amp;J212&amp;" "&amp;K212</f>
        <v>Desktop HP PRO MINI 400G6</v>
      </c>
      <c r="H212" s="258">
        <v>1</v>
      </c>
      <c r="I212" s="258" t="s">
        <v>57</v>
      </c>
      <c r="J212" s="258" t="s">
        <v>58</v>
      </c>
      <c r="K212" s="258" t="s">
        <v>525</v>
      </c>
      <c r="L212" s="302"/>
      <c r="M212" s="615" t="s">
        <v>526</v>
      </c>
      <c r="N212" s="277">
        <v>16</v>
      </c>
      <c r="O212" s="277">
        <v>512000</v>
      </c>
      <c r="P212" s="258" t="s">
        <v>79</v>
      </c>
      <c r="Q212" s="258" t="s">
        <v>492</v>
      </c>
      <c r="R212" s="271"/>
      <c r="S212" s="271"/>
      <c r="T212" s="278"/>
      <c r="U212" s="268"/>
      <c r="V212" s="258" t="s">
        <v>597</v>
      </c>
      <c r="W212" s="277" t="s">
        <v>597</v>
      </c>
      <c r="X212" s="271"/>
      <c r="Y212" s="271" t="s">
        <v>64</v>
      </c>
      <c r="Z212" s="271" t="s">
        <v>64</v>
      </c>
      <c r="AA212" s="271"/>
    </row>
    <row r="213" spans="1:27" s="257" customFormat="1" ht="14.25">
      <c r="A213" s="258">
        <f>A212+1</f>
        <v>190</v>
      </c>
      <c r="B213" s="258" t="s">
        <v>598</v>
      </c>
      <c r="C213" s="258" t="s">
        <v>54</v>
      </c>
      <c r="D213" s="277" t="s">
        <v>599</v>
      </c>
      <c r="E213" s="258" t="str">
        <f>VLOOKUP(D213,Store_Info_VN!B:P,2,0)</f>
        <v>NEW BALANCE IPH MALL</v>
      </c>
      <c r="F213" s="258" t="s">
        <v>56</v>
      </c>
      <c r="G213" s="258" t="str">
        <f>I213&amp;" "&amp;J213&amp;" "&amp;K213</f>
        <v>Desktop HP PRO MINI 400 G9</v>
      </c>
      <c r="H213" s="258">
        <v>1</v>
      </c>
      <c r="I213" s="258" t="s">
        <v>57</v>
      </c>
      <c r="J213" s="258" t="s">
        <v>58</v>
      </c>
      <c r="K213" s="258" t="s">
        <v>593</v>
      </c>
      <c r="L213" s="308"/>
      <c r="M213" s="615" t="s">
        <v>600</v>
      </c>
      <c r="N213" s="277">
        <v>16</v>
      </c>
      <c r="O213" s="277">
        <v>512000</v>
      </c>
      <c r="P213" s="258" t="s">
        <v>79</v>
      </c>
      <c r="Q213" s="258" t="s">
        <v>492</v>
      </c>
      <c r="R213" s="271"/>
      <c r="S213" s="271"/>
      <c r="T213" s="278"/>
      <c r="U213" s="268"/>
      <c r="V213" s="258" t="s">
        <v>601</v>
      </c>
      <c r="W213" s="277" t="s">
        <v>601</v>
      </c>
      <c r="X213" s="271"/>
      <c r="Y213" s="271" t="s">
        <v>64</v>
      </c>
      <c r="Z213" s="271" t="s">
        <v>64</v>
      </c>
      <c r="AA213" s="271"/>
    </row>
    <row r="214" spans="1:27" s="257" customFormat="1" ht="14.25" hidden="1">
      <c r="A214" s="259">
        <f>A213+1</f>
        <v>191</v>
      </c>
      <c r="B214" s="259" t="s">
        <v>602</v>
      </c>
      <c r="C214" s="259" t="s">
        <v>65</v>
      </c>
      <c r="D214" s="277" t="s">
        <v>603</v>
      </c>
      <c r="E214" s="258" t="str">
        <f>VLOOKUP(D214,Store_Info_VN!B:P,2,0)</f>
        <v>NEW BALANCE 89 NGUYEN TRAI</v>
      </c>
      <c r="F214" s="258" t="s">
        <v>56</v>
      </c>
      <c r="G214" s="258" t="str">
        <f>I214&amp;" "&amp;J214&amp;" "&amp;K214</f>
        <v>Desktop HP PRO MINI 400 G9</v>
      </c>
      <c r="H214" s="258">
        <v>1</v>
      </c>
      <c r="I214" s="258" t="s">
        <v>57</v>
      </c>
      <c r="J214" s="258" t="s">
        <v>58</v>
      </c>
      <c r="K214" s="258" t="s">
        <v>593</v>
      </c>
      <c r="L214" s="308"/>
      <c r="M214" s="288" t="s">
        <v>604</v>
      </c>
      <c r="N214" s="277">
        <v>16</v>
      </c>
      <c r="O214" s="277">
        <v>512000</v>
      </c>
      <c r="P214" s="259" t="s">
        <v>79</v>
      </c>
      <c r="Q214" s="258" t="s">
        <v>492</v>
      </c>
      <c r="R214" s="271"/>
      <c r="S214" s="271"/>
      <c r="T214" s="278"/>
      <c r="U214" s="268"/>
      <c r="V214" s="258" t="s">
        <v>605</v>
      </c>
      <c r="W214" s="277" t="s">
        <v>605</v>
      </c>
      <c r="X214" s="271"/>
      <c r="Y214" s="273" t="s">
        <v>64</v>
      </c>
      <c r="Z214" s="273" t="s">
        <v>64</v>
      </c>
      <c r="AA214" s="271"/>
    </row>
    <row r="215" spans="1:27" s="257" customFormat="1" ht="28.5" hidden="1">
      <c r="A215" s="259">
        <f>A214+1</f>
        <v>192</v>
      </c>
      <c r="B215" s="259" t="s">
        <v>606</v>
      </c>
      <c r="C215" s="259" t="s">
        <v>253</v>
      </c>
      <c r="D215" s="277" t="s">
        <v>607</v>
      </c>
      <c r="E215" s="258" t="str">
        <f>VLOOKUP(D215,Store_Info_VN!B:P,2,0)</f>
        <v xml:space="preserve">BIRKENSTOCK LOTTE MALL </v>
      </c>
      <c r="F215" s="258" t="s">
        <v>56</v>
      </c>
      <c r="G215" s="258" t="str">
        <f>I215&amp;" "&amp;J215&amp;" "&amp;K215</f>
        <v>Desktop HP PRO MINI 400 G9</v>
      </c>
      <c r="H215" s="258">
        <v>1</v>
      </c>
      <c r="I215" s="258" t="s">
        <v>57</v>
      </c>
      <c r="J215" s="258" t="s">
        <v>58</v>
      </c>
      <c r="K215" s="258" t="s">
        <v>593</v>
      </c>
      <c r="L215" s="308"/>
      <c r="M215" s="288" t="s">
        <v>608</v>
      </c>
      <c r="N215" s="277">
        <v>16</v>
      </c>
      <c r="O215" s="277">
        <v>512000</v>
      </c>
      <c r="P215" s="259" t="s">
        <v>79</v>
      </c>
      <c r="Q215" s="258" t="s">
        <v>492</v>
      </c>
      <c r="R215" s="271"/>
      <c r="S215" s="271"/>
      <c r="T215" s="278"/>
      <c r="U215" s="268"/>
      <c r="V215" s="258" t="s">
        <v>609</v>
      </c>
      <c r="W215" s="277" t="s">
        <v>609</v>
      </c>
      <c r="X215" s="271"/>
      <c r="Y215" s="273" t="s">
        <v>64</v>
      </c>
      <c r="Z215" s="273" t="s">
        <v>64</v>
      </c>
      <c r="AA215" s="271"/>
    </row>
    <row r="216" spans="1:27" s="257" customFormat="1" ht="14.25" hidden="1">
      <c r="A216" s="259">
        <f>A215+1</f>
        <v>193</v>
      </c>
      <c r="B216" s="259" t="s">
        <v>610</v>
      </c>
      <c r="C216" s="259" t="s">
        <v>65</v>
      </c>
      <c r="D216" s="277" t="s">
        <v>611</v>
      </c>
      <c r="E216" s="258" t="str">
        <f>VLOOKUP(D216,Store_Info_VN!B:P,2,0)</f>
        <v>FOOTLOCKER LOTTE MALL</v>
      </c>
      <c r="F216" s="258" t="s">
        <v>56</v>
      </c>
      <c r="G216" s="258" t="str">
        <f>I216&amp;" "&amp;J216&amp;" "&amp;K216</f>
        <v>Desktop HP Elite Mini 600 G9</v>
      </c>
      <c r="H216" s="258">
        <v>1</v>
      </c>
      <c r="I216" s="258" t="s">
        <v>57</v>
      </c>
      <c r="J216" s="258" t="s">
        <v>58</v>
      </c>
      <c r="K216" s="258" t="s">
        <v>612</v>
      </c>
      <c r="L216" s="302"/>
      <c r="M216" s="288" t="s">
        <v>613</v>
      </c>
      <c r="N216" s="277">
        <v>16</v>
      </c>
      <c r="O216" s="277">
        <v>512000</v>
      </c>
      <c r="P216" s="259" t="s">
        <v>79</v>
      </c>
      <c r="Q216" s="258" t="s">
        <v>614</v>
      </c>
      <c r="R216" s="271"/>
      <c r="S216" s="271"/>
      <c r="T216" s="278"/>
      <c r="U216" s="268"/>
      <c r="V216" s="258" t="s">
        <v>615</v>
      </c>
      <c r="W216" s="277" t="s">
        <v>615</v>
      </c>
      <c r="X216" s="271"/>
      <c r="Y216" s="273" t="s">
        <v>64</v>
      </c>
      <c r="Z216" s="273" t="s">
        <v>64</v>
      </c>
      <c r="AA216" s="271"/>
    </row>
    <row r="217" spans="1:27" s="257" customFormat="1" ht="14.25" hidden="1">
      <c r="A217" s="259">
        <f>A216+1</f>
        <v>194</v>
      </c>
      <c r="B217" s="259" t="s">
        <v>616</v>
      </c>
      <c r="C217" s="259" t="s">
        <v>65</v>
      </c>
      <c r="D217" s="277" t="s">
        <v>611</v>
      </c>
      <c r="E217" s="258" t="str">
        <f>VLOOKUP(D217,Store_Info_VN!B:P,2,0)</f>
        <v>FOOTLOCKER LOTTE MALL</v>
      </c>
      <c r="F217" s="258" t="s">
        <v>56</v>
      </c>
      <c r="G217" s="258" t="str">
        <f>I217&amp;" "&amp;J217&amp;" "&amp;K217</f>
        <v>Desktop HP Elite Mini 600 G9</v>
      </c>
      <c r="H217" s="258">
        <v>1</v>
      </c>
      <c r="I217" s="258" t="s">
        <v>57</v>
      </c>
      <c r="J217" s="258" t="s">
        <v>58</v>
      </c>
      <c r="K217" s="258" t="s">
        <v>612</v>
      </c>
      <c r="L217" s="302"/>
      <c r="M217" s="288" t="s">
        <v>617</v>
      </c>
      <c r="N217" s="277">
        <v>16</v>
      </c>
      <c r="O217" s="277">
        <v>512000</v>
      </c>
      <c r="P217" s="259" t="s">
        <v>79</v>
      </c>
      <c r="Q217" s="258" t="s">
        <v>614</v>
      </c>
      <c r="R217" s="271"/>
      <c r="S217" s="271"/>
      <c r="T217" s="278"/>
      <c r="U217" s="268"/>
      <c r="V217" s="258" t="s">
        <v>618</v>
      </c>
      <c r="W217" s="277" t="s">
        <v>618</v>
      </c>
      <c r="X217" s="271"/>
      <c r="Y217" s="273" t="s">
        <v>64</v>
      </c>
      <c r="Z217" s="273" t="s">
        <v>64</v>
      </c>
      <c r="AA217" s="271"/>
    </row>
    <row r="218" spans="1:27" s="257" customFormat="1" ht="14.25" hidden="1">
      <c r="A218" s="259">
        <f>A217+1</f>
        <v>195</v>
      </c>
      <c r="B218" s="259" t="s">
        <v>619</v>
      </c>
      <c r="C218" s="259" t="s">
        <v>65</v>
      </c>
      <c r="D218" s="277" t="s">
        <v>611</v>
      </c>
      <c r="E218" s="258" t="str">
        <f>VLOOKUP(D218,Store_Info_VN!B:P,2,0)</f>
        <v>FOOTLOCKER LOTTE MALL</v>
      </c>
      <c r="F218" s="258" t="s">
        <v>56</v>
      </c>
      <c r="G218" s="258" t="str">
        <f>I218&amp;" "&amp;J218&amp;" "&amp;K218</f>
        <v>Desktop HP Elite Mini 600 G9</v>
      </c>
      <c r="H218" s="258">
        <v>1</v>
      </c>
      <c r="I218" s="258" t="s">
        <v>57</v>
      </c>
      <c r="J218" s="258" t="s">
        <v>58</v>
      </c>
      <c r="K218" s="258" t="s">
        <v>612</v>
      </c>
      <c r="L218" s="302"/>
      <c r="M218" s="288" t="s">
        <v>620</v>
      </c>
      <c r="N218" s="277">
        <v>16</v>
      </c>
      <c r="O218" s="277">
        <v>512000</v>
      </c>
      <c r="P218" s="259" t="s">
        <v>79</v>
      </c>
      <c r="Q218" s="258" t="s">
        <v>614</v>
      </c>
      <c r="R218" s="271"/>
      <c r="S218" s="271"/>
      <c r="T218" s="278"/>
      <c r="U218" s="268"/>
      <c r="V218" s="258" t="s">
        <v>621</v>
      </c>
      <c r="W218" s="277" t="s">
        <v>621</v>
      </c>
      <c r="X218" s="271"/>
      <c r="Y218" s="273" t="s">
        <v>64</v>
      </c>
      <c r="Z218" s="273" t="s">
        <v>64</v>
      </c>
      <c r="AA218" s="271"/>
    </row>
    <row r="219" spans="1:27" s="257" customFormat="1" ht="14.25" hidden="1">
      <c r="A219" s="259">
        <f>A218+1</f>
        <v>196</v>
      </c>
      <c r="B219" s="259" t="s">
        <v>622</v>
      </c>
      <c r="C219" s="259" t="s">
        <v>65</v>
      </c>
      <c r="D219" s="277" t="s">
        <v>611</v>
      </c>
      <c r="E219" s="258" t="str">
        <f>VLOOKUP(D219,Store_Info_VN!B:P,2,0)</f>
        <v>FOOTLOCKER LOTTE MALL</v>
      </c>
      <c r="F219" s="258" t="s">
        <v>56</v>
      </c>
      <c r="G219" s="258" t="str">
        <f>I219&amp;" "&amp;J219&amp;" "&amp;K219</f>
        <v>Desktop HP Elite Mini 600 G9</v>
      </c>
      <c r="H219" s="258">
        <v>1</v>
      </c>
      <c r="I219" s="258" t="s">
        <v>57</v>
      </c>
      <c r="J219" s="258" t="s">
        <v>58</v>
      </c>
      <c r="K219" s="258" t="s">
        <v>612</v>
      </c>
      <c r="L219" s="302"/>
      <c r="M219" s="288" t="s">
        <v>623</v>
      </c>
      <c r="N219" s="277">
        <v>16</v>
      </c>
      <c r="O219" s="277">
        <v>512000</v>
      </c>
      <c r="P219" s="259" t="s">
        <v>79</v>
      </c>
      <c r="Q219" s="258" t="s">
        <v>614</v>
      </c>
      <c r="R219" s="271"/>
      <c r="S219" s="271"/>
      <c r="T219" s="278"/>
      <c r="U219" s="268"/>
      <c r="V219" s="258" t="s">
        <v>624</v>
      </c>
      <c r="W219" s="277" t="s">
        <v>624</v>
      </c>
      <c r="X219" s="271"/>
      <c r="Y219" s="273" t="s">
        <v>64</v>
      </c>
      <c r="Z219" s="273" t="s">
        <v>64</v>
      </c>
      <c r="AA219" s="271"/>
    </row>
    <row r="220" spans="1:27" s="257" customFormat="1" ht="14.25" hidden="1">
      <c r="A220" s="259">
        <f>A219+1</f>
        <v>197</v>
      </c>
      <c r="B220" s="259" t="s">
        <v>625</v>
      </c>
      <c r="C220" s="259" t="s">
        <v>65</v>
      </c>
      <c r="D220" s="277" t="s">
        <v>611</v>
      </c>
      <c r="E220" s="258" t="str">
        <f>VLOOKUP(D220,Store_Info_VN!B:P,2,0)</f>
        <v>FOOTLOCKER LOTTE MALL</v>
      </c>
      <c r="F220" s="258" t="s">
        <v>56</v>
      </c>
      <c r="G220" s="258" t="str">
        <f>I220&amp;" "&amp;J220&amp;" "&amp;K220</f>
        <v>Desktop HP Elite Mini 600 G9</v>
      </c>
      <c r="H220" s="258">
        <v>1</v>
      </c>
      <c r="I220" s="258" t="s">
        <v>57</v>
      </c>
      <c r="J220" s="258" t="s">
        <v>58</v>
      </c>
      <c r="K220" s="258" t="s">
        <v>612</v>
      </c>
      <c r="L220" s="302"/>
      <c r="M220" s="288" t="s">
        <v>626</v>
      </c>
      <c r="N220" s="277">
        <v>16</v>
      </c>
      <c r="O220" s="277">
        <v>512000</v>
      </c>
      <c r="P220" s="259" t="s">
        <v>79</v>
      </c>
      <c r="Q220" s="258" t="s">
        <v>614</v>
      </c>
      <c r="R220" s="271"/>
      <c r="S220" s="271"/>
      <c r="T220" s="278"/>
      <c r="U220" s="268"/>
      <c r="V220" s="258" t="s">
        <v>627</v>
      </c>
      <c r="W220" s="277" t="s">
        <v>627</v>
      </c>
      <c r="X220" s="271"/>
      <c r="Y220" s="273" t="s">
        <v>64</v>
      </c>
      <c r="Z220" s="273" t="s">
        <v>64</v>
      </c>
      <c r="AA220" s="271"/>
    </row>
    <row r="221" spans="1:27" s="257" customFormat="1" ht="28.5" hidden="1">
      <c r="A221" s="259">
        <f>A220+1</f>
        <v>198</v>
      </c>
      <c r="B221" s="259" t="s">
        <v>628</v>
      </c>
      <c r="C221" s="259" t="s">
        <v>65</v>
      </c>
      <c r="D221" s="374" t="s">
        <v>629</v>
      </c>
      <c r="E221" s="258" t="s">
        <v>630</v>
      </c>
      <c r="F221" s="258" t="s">
        <v>469</v>
      </c>
      <c r="G221" s="258" t="str">
        <f>I221&amp;" "&amp;J221&amp;" "&amp;K221</f>
        <v>Desktop HP PRODESK 400 G3 MINI -DM</v>
      </c>
      <c r="H221" s="258">
        <v>1</v>
      </c>
      <c r="I221" s="258" t="s">
        <v>57</v>
      </c>
      <c r="J221" s="258" t="s">
        <v>58</v>
      </c>
      <c r="K221" s="258" t="s">
        <v>476</v>
      </c>
      <c r="L221" s="302"/>
      <c r="M221" s="288" t="s">
        <v>631</v>
      </c>
      <c r="N221" s="259">
        <v>8</v>
      </c>
      <c r="O221" s="259">
        <v>500</v>
      </c>
      <c r="P221" s="259" t="s">
        <v>61</v>
      </c>
      <c r="Q221" s="259" t="s">
        <v>80</v>
      </c>
      <c r="R221" s="271"/>
      <c r="S221" s="271"/>
      <c r="T221" s="278"/>
      <c r="U221" s="268"/>
      <c r="V221" s="309" t="s">
        <v>632</v>
      </c>
      <c r="W221" s="277" t="s">
        <v>632</v>
      </c>
      <c r="X221" s="271"/>
      <c r="Y221" s="273" t="s">
        <v>64</v>
      </c>
      <c r="Z221" s="273" t="s">
        <v>64</v>
      </c>
      <c r="AA221" s="271"/>
    </row>
    <row r="222" spans="1:27" s="257" customFormat="1" ht="26.25" hidden="1">
      <c r="A222" s="259">
        <f>A221+1</f>
        <v>199</v>
      </c>
      <c r="B222" s="259"/>
      <c r="C222" s="259" t="s">
        <v>65</v>
      </c>
      <c r="D222" s="258" t="s">
        <v>149</v>
      </c>
      <c r="E222" s="258" t="str">
        <f>VLOOKUP(D222,Store_Info_VN!B:P,2,0)</f>
        <v>NEW BALANCE AEON HAI PHONG</v>
      </c>
      <c r="F222" s="258" t="s">
        <v>56</v>
      </c>
      <c r="G222" s="258" t="str">
        <f>I222&amp;" "&amp;J222&amp;" "&amp;K222</f>
        <v>Network Switch Cisco CBS110-16T-EU</v>
      </c>
      <c r="H222" s="258">
        <v>1</v>
      </c>
      <c r="I222" s="258" t="s">
        <v>172</v>
      </c>
      <c r="J222" s="258" t="s">
        <v>562</v>
      </c>
      <c r="K222" s="258" t="s">
        <v>563</v>
      </c>
      <c r="L222" s="302"/>
      <c r="M222" s="288" t="s">
        <v>633</v>
      </c>
      <c r="N222" s="258"/>
      <c r="O222" s="258"/>
      <c r="P222" s="258"/>
      <c r="Q222" s="258"/>
      <c r="R222" s="271"/>
      <c r="S222" s="271"/>
      <c r="T222" s="278" t="s">
        <v>634</v>
      </c>
      <c r="U222" s="268"/>
      <c r="V222" s="258"/>
      <c r="W222" s="258"/>
      <c r="X222" s="271"/>
      <c r="Y222" s="273"/>
      <c r="Z222" s="273"/>
      <c r="AA222" s="271"/>
    </row>
    <row r="223" spans="1:27" s="257" customFormat="1" hidden="1">
      <c r="A223" s="259">
        <f>A222+1</f>
        <v>200</v>
      </c>
      <c r="B223" s="259"/>
      <c r="C223" s="259" t="s">
        <v>65</v>
      </c>
      <c r="D223" s="258" t="s">
        <v>149</v>
      </c>
      <c r="E223" s="258" t="str">
        <f>VLOOKUP(D223,Store_Info_VN!B:P,2,0)</f>
        <v>NEW BALANCE AEON HAI PHONG</v>
      </c>
      <c r="F223" s="258" t="s">
        <v>56</v>
      </c>
      <c r="G223" s="258" t="str">
        <f>I223&amp;" - "&amp;J223&amp;" "&amp;K223</f>
        <v>Other -  Network cable</v>
      </c>
      <c r="H223" s="258">
        <v>2</v>
      </c>
      <c r="I223" s="258" t="s">
        <v>275</v>
      </c>
      <c r="J223" s="258"/>
      <c r="K223" s="258" t="s">
        <v>635</v>
      </c>
      <c r="L223" s="302"/>
      <c r="M223" s="288"/>
      <c r="N223" s="258"/>
      <c r="O223" s="258"/>
      <c r="P223" s="258"/>
      <c r="Q223" s="258"/>
      <c r="R223" s="271"/>
      <c r="S223" s="271"/>
      <c r="T223" s="278"/>
      <c r="U223" s="268"/>
      <c r="V223" s="258"/>
      <c r="W223" s="258"/>
      <c r="X223" s="271"/>
      <c r="Y223" s="273"/>
      <c r="Z223" s="273"/>
      <c r="AA223" s="271"/>
    </row>
    <row r="224" spans="1:27" s="257" customFormat="1" hidden="1">
      <c r="A224" s="259">
        <f>A223+1</f>
        <v>201</v>
      </c>
      <c r="B224" s="259"/>
      <c r="C224" s="259" t="s">
        <v>65</v>
      </c>
      <c r="D224" s="258" t="s">
        <v>149</v>
      </c>
      <c r="E224" s="258" t="str">
        <f>VLOOKUP(D224,Store_Info_VN!B:P,2,0)</f>
        <v>NEW BALANCE AEON HAI PHONG</v>
      </c>
      <c r="F224" s="258" t="s">
        <v>56</v>
      </c>
      <c r="G224" s="258" t="str">
        <f>I224&amp;" - "&amp;J224&amp;" "&amp;K224</f>
        <v>Other -  Electric socket</v>
      </c>
      <c r="H224" s="258">
        <v>1</v>
      </c>
      <c r="I224" s="258" t="s">
        <v>275</v>
      </c>
      <c r="J224" s="258"/>
      <c r="K224" s="258" t="s">
        <v>636</v>
      </c>
      <c r="L224" s="302"/>
      <c r="M224" s="288"/>
      <c r="N224" s="258"/>
      <c r="O224" s="258"/>
      <c r="P224" s="258"/>
      <c r="Q224" s="258"/>
      <c r="R224" s="271"/>
      <c r="S224" s="271"/>
      <c r="T224" s="278" t="s">
        <v>634</v>
      </c>
      <c r="U224" s="268"/>
      <c r="V224" s="258"/>
      <c r="W224" s="258"/>
      <c r="X224" s="271"/>
      <c r="Y224" s="273"/>
      <c r="Z224" s="273"/>
      <c r="AA224" s="271"/>
    </row>
    <row r="225" spans="1:27" s="257" customFormat="1" hidden="1">
      <c r="A225" s="259">
        <f>A224+1</f>
        <v>202</v>
      </c>
      <c r="B225" s="259"/>
      <c r="C225" s="259" t="s">
        <v>65</v>
      </c>
      <c r="D225" s="258" t="s">
        <v>149</v>
      </c>
      <c r="E225" s="258" t="str">
        <f>VLOOKUP(D225,Store_Info_VN!B:P,2,0)</f>
        <v>NEW BALANCE AEON HAI PHONG</v>
      </c>
      <c r="F225" s="258" t="s">
        <v>56</v>
      </c>
      <c r="G225" s="258" t="str">
        <f>I225&amp;" "&amp;J225&amp;" "&amp;K225</f>
        <v xml:space="preserve">USB Hub Orico </v>
      </c>
      <c r="H225" s="258">
        <v>1</v>
      </c>
      <c r="I225" s="258" t="s">
        <v>273</v>
      </c>
      <c r="J225" s="258" t="s">
        <v>274</v>
      </c>
      <c r="K225" s="258"/>
      <c r="L225" s="258" t="s">
        <v>466</v>
      </c>
      <c r="M225" s="288"/>
      <c r="N225" s="258"/>
      <c r="O225" s="258"/>
      <c r="P225" s="258"/>
      <c r="Q225" s="258"/>
      <c r="R225" s="271"/>
      <c r="S225" s="271"/>
      <c r="T225" s="278" t="s">
        <v>634</v>
      </c>
      <c r="U225" s="268"/>
      <c r="V225" s="258"/>
      <c r="W225" s="258"/>
      <c r="X225" s="271"/>
      <c r="Y225" s="273"/>
      <c r="Z225" s="273"/>
      <c r="AA225" s="271"/>
    </row>
    <row r="226" spans="1:27" s="257" customFormat="1" hidden="1">
      <c r="A226" s="259">
        <f>A225+1</f>
        <v>203</v>
      </c>
      <c r="B226" s="259"/>
      <c r="C226" s="259" t="s">
        <v>65</v>
      </c>
      <c r="D226" s="258" t="s">
        <v>149</v>
      </c>
      <c r="E226" s="258" t="str">
        <f>VLOOKUP(D226,Store_Info_VN!B:P,2,0)</f>
        <v>NEW BALANCE AEON HAI PHONG</v>
      </c>
      <c r="F226" s="258" t="s">
        <v>56</v>
      </c>
      <c r="G226" s="258" t="str">
        <f>I226&amp;" - "&amp;J226&amp;" "&amp;K226</f>
        <v>Other - Unitek VGA to HDMI</v>
      </c>
      <c r="H226" s="258">
        <v>1</v>
      </c>
      <c r="I226" s="258" t="s">
        <v>275</v>
      </c>
      <c r="J226" s="258" t="s">
        <v>637</v>
      </c>
      <c r="K226" s="258" t="s">
        <v>638</v>
      </c>
      <c r="L226" s="302"/>
      <c r="M226" s="288"/>
      <c r="N226" s="258"/>
      <c r="O226" s="258"/>
      <c r="P226" s="258"/>
      <c r="Q226" s="258"/>
      <c r="R226" s="271"/>
      <c r="S226" s="271"/>
      <c r="T226" s="278" t="s">
        <v>634</v>
      </c>
      <c r="U226" s="268"/>
      <c r="V226" s="258"/>
      <c r="W226" s="258"/>
      <c r="X226" s="271"/>
      <c r="Y226" s="273"/>
      <c r="Z226" s="273"/>
      <c r="AA226" s="271"/>
    </row>
    <row r="227" spans="1:27" s="257" customFormat="1" ht="28.5" hidden="1">
      <c r="A227" s="259">
        <f>A226+1</f>
        <v>204</v>
      </c>
      <c r="B227" s="259" t="s">
        <v>639</v>
      </c>
      <c r="C227" s="259" t="s">
        <v>65</v>
      </c>
      <c r="D227" s="657" t="s">
        <v>640</v>
      </c>
      <c r="E227" s="259" t="s">
        <v>641</v>
      </c>
      <c r="F227" s="258" t="s">
        <v>469</v>
      </c>
      <c r="G227" s="258" t="str">
        <f>I227&amp;" "&amp;J227&amp;" "&amp;K227</f>
        <v>Desktop iNTEL PC DELUX</v>
      </c>
      <c r="H227" s="258">
        <v>1</v>
      </c>
      <c r="I227" s="258" t="s">
        <v>57</v>
      </c>
      <c r="J227" s="258" t="s">
        <v>642</v>
      </c>
      <c r="K227" s="258" t="s">
        <v>643</v>
      </c>
      <c r="L227" s="258"/>
      <c r="M227" s="288" t="s">
        <v>644</v>
      </c>
      <c r="N227" s="259">
        <v>8</v>
      </c>
      <c r="O227" s="259">
        <v>500</v>
      </c>
      <c r="P227" s="259" t="s">
        <v>61</v>
      </c>
      <c r="Q227" s="259" t="s">
        <v>645</v>
      </c>
      <c r="R227" s="271"/>
      <c r="S227" s="271"/>
      <c r="T227" s="278"/>
      <c r="U227" s="268"/>
      <c r="V227" s="309" t="s">
        <v>646</v>
      </c>
      <c r="W227" s="314" t="s">
        <v>646</v>
      </c>
      <c r="X227" s="271"/>
      <c r="Y227" s="273" t="s">
        <v>64</v>
      </c>
      <c r="Z227" s="273" t="s">
        <v>64</v>
      </c>
      <c r="AA227" s="271"/>
    </row>
    <row r="228" spans="1:27" s="257" customFormat="1" ht="28.5" hidden="1">
      <c r="A228" s="259">
        <f>A227+1</f>
        <v>205</v>
      </c>
      <c r="B228" s="259" t="s">
        <v>647</v>
      </c>
      <c r="C228" s="259" t="s">
        <v>65</v>
      </c>
      <c r="D228" s="374" t="s">
        <v>648</v>
      </c>
      <c r="E228" s="258" t="s">
        <v>630</v>
      </c>
      <c r="F228" s="258" t="s">
        <v>469</v>
      </c>
      <c r="G228" s="258" t="str">
        <f>I228&amp;" "&amp;J228&amp;" "&amp;K228</f>
        <v>Desktop HP 280 G3 MT</v>
      </c>
      <c r="H228" s="258">
        <v>1</v>
      </c>
      <c r="I228" s="258" t="s">
        <v>57</v>
      </c>
      <c r="J228" s="258" t="s">
        <v>58</v>
      </c>
      <c r="K228" s="258" t="s">
        <v>649</v>
      </c>
      <c r="L228" s="258"/>
      <c r="M228" s="288" t="s">
        <v>650</v>
      </c>
      <c r="N228" s="259">
        <v>8</v>
      </c>
      <c r="O228" s="259">
        <v>1024</v>
      </c>
      <c r="P228" s="259" t="s">
        <v>61</v>
      </c>
      <c r="Q228" s="259" t="s">
        <v>80</v>
      </c>
      <c r="R228" s="271"/>
      <c r="S228" s="271"/>
      <c r="T228" s="278"/>
      <c r="U228" s="268"/>
      <c r="V228" s="309" t="s">
        <v>651</v>
      </c>
      <c r="W228" s="277" t="s">
        <v>651</v>
      </c>
      <c r="X228" s="271"/>
      <c r="Y228" s="273" t="s">
        <v>64</v>
      </c>
      <c r="Z228" s="273" t="s">
        <v>64</v>
      </c>
      <c r="AA228" s="271"/>
    </row>
    <row r="229" spans="1:27" s="257" customFormat="1" hidden="1">
      <c r="A229" s="290">
        <f>A228+1</f>
        <v>206</v>
      </c>
      <c r="B229" s="290" t="s">
        <v>652</v>
      </c>
      <c r="C229" s="293"/>
      <c r="D229" s="261"/>
      <c r="E229" s="261"/>
      <c r="F229" s="293"/>
      <c r="G229" s="261"/>
      <c r="H229" s="261"/>
      <c r="I229" s="261"/>
      <c r="J229" s="261"/>
      <c r="K229" s="261"/>
      <c r="L229" s="261"/>
      <c r="M229" s="546"/>
      <c r="N229" s="261"/>
      <c r="O229" s="261"/>
      <c r="P229" s="261"/>
      <c r="Q229" s="261"/>
      <c r="R229" s="293"/>
      <c r="S229" s="293"/>
      <c r="T229" s="666"/>
      <c r="U229" s="291"/>
      <c r="V229" s="261"/>
      <c r="W229" s="261"/>
      <c r="X229" s="293"/>
      <c r="Y229" s="293"/>
      <c r="Z229" s="293"/>
      <c r="AA229" s="293"/>
    </row>
    <row r="230" spans="1:27" s="257" customFormat="1" ht="26.25" hidden="1">
      <c r="A230" s="281">
        <f>A229+1</f>
        <v>207</v>
      </c>
      <c r="B230" s="280"/>
      <c r="C230" s="281" t="s">
        <v>180</v>
      </c>
      <c r="D230" s="279" t="s">
        <v>157</v>
      </c>
      <c r="E230" s="279" t="s">
        <v>653</v>
      </c>
      <c r="F230" s="279" t="s">
        <v>56</v>
      </c>
      <c r="G230" s="279" t="str">
        <f>I230&amp;" "&amp;J230&amp;" "&amp;K230</f>
        <v>Scanner Datalogic QW2100</v>
      </c>
      <c r="H230" s="279">
        <v>1</v>
      </c>
      <c r="I230" s="279" t="s">
        <v>96</v>
      </c>
      <c r="J230" s="279" t="s">
        <v>97</v>
      </c>
      <c r="K230" s="279" t="s">
        <v>98</v>
      </c>
      <c r="L230" s="279"/>
      <c r="M230" s="629" t="s">
        <v>654</v>
      </c>
      <c r="N230" s="279"/>
      <c r="O230" s="279"/>
      <c r="P230" s="279"/>
      <c r="Q230" s="279"/>
      <c r="R230" s="284"/>
      <c r="S230" s="284"/>
      <c r="T230" s="285" t="s">
        <v>655</v>
      </c>
      <c r="U230" s="286"/>
      <c r="V230" s="279"/>
      <c r="W230" s="279"/>
      <c r="X230" s="284"/>
      <c r="Y230" s="284"/>
      <c r="Z230" s="284"/>
      <c r="AA230" s="284"/>
    </row>
    <row r="231" spans="1:27" ht="28.5" hidden="1">
      <c r="A231" s="259">
        <f>A230+1</f>
        <v>208</v>
      </c>
      <c r="B231" s="259" t="s">
        <v>656</v>
      </c>
      <c r="C231" s="259" t="s">
        <v>65</v>
      </c>
      <c r="D231" s="374" t="s">
        <v>657</v>
      </c>
      <c r="E231" s="258" t="s">
        <v>630</v>
      </c>
      <c r="F231" s="258" t="s">
        <v>469</v>
      </c>
      <c r="G231" s="258" t="str">
        <f>I231&amp;" "&amp;J231&amp;" "&amp;K231</f>
        <v>Desktop HP PRODESK 400 G3 MINI -DM</v>
      </c>
      <c r="H231" s="258">
        <v>1</v>
      </c>
      <c r="I231" s="258" t="s">
        <v>57</v>
      </c>
      <c r="J231" s="258" t="s">
        <v>58</v>
      </c>
      <c r="K231" s="258" t="s">
        <v>476</v>
      </c>
      <c r="L231" s="302"/>
      <c r="M231" s="288" t="s">
        <v>658</v>
      </c>
      <c r="N231" s="259">
        <v>8</v>
      </c>
      <c r="O231" s="259">
        <v>128</v>
      </c>
      <c r="P231" s="259" t="s">
        <v>79</v>
      </c>
      <c r="Q231" s="259" t="s">
        <v>80</v>
      </c>
      <c r="V231" s="309" t="s">
        <v>659</v>
      </c>
      <c r="W231" s="277" t="s">
        <v>659</v>
      </c>
      <c r="Y231" s="273" t="s">
        <v>64</v>
      </c>
      <c r="Z231" s="273" t="s">
        <v>64</v>
      </c>
    </row>
    <row r="232" spans="1:27" ht="14.25">
      <c r="A232" s="258">
        <f>A231+1</f>
        <v>209</v>
      </c>
      <c r="B232" s="258"/>
      <c r="C232" s="258" t="s">
        <v>54</v>
      </c>
      <c r="D232" s="277" t="s">
        <v>660</v>
      </c>
      <c r="E232" s="258" t="str">
        <f>VLOOKUP(D232,Store_Info_VN!B:P,2,0)</f>
        <v>CONVERSE SMART CITY</v>
      </c>
      <c r="F232" s="258" t="s">
        <v>56</v>
      </c>
      <c r="G232" s="258" t="str">
        <f>I232&amp;" "&amp;J232&amp;" "&amp;K232</f>
        <v xml:space="preserve">Monitor HP </v>
      </c>
      <c r="H232" s="258">
        <v>1</v>
      </c>
      <c r="I232" s="258" t="s">
        <v>116</v>
      </c>
      <c r="J232" s="258" t="s">
        <v>58</v>
      </c>
      <c r="M232" s="615" t="s">
        <v>419</v>
      </c>
      <c r="N232" s="277"/>
      <c r="O232" s="277"/>
      <c r="R232" s="258"/>
      <c r="S232" s="258"/>
      <c r="W232" s="308"/>
      <c r="X232" s="277"/>
    </row>
    <row r="233" spans="1:27" ht="14.25">
      <c r="A233" s="258">
        <f>A232+1</f>
        <v>210</v>
      </c>
      <c r="B233" s="258"/>
      <c r="C233" s="258" t="s">
        <v>54</v>
      </c>
      <c r="D233" s="277" t="s">
        <v>660</v>
      </c>
      <c r="E233" s="258" t="str">
        <f>VLOOKUP(D233,Store_Info_VN!B:P,2,0)</f>
        <v>CONVERSE SMART CITY</v>
      </c>
      <c r="F233" s="258" t="s">
        <v>56</v>
      </c>
      <c r="G233" s="258" t="str">
        <f>I233&amp;" "&amp;J233&amp;" "&amp;K233</f>
        <v>A4 Printer Canon LPL 2900</v>
      </c>
      <c r="H233" s="258">
        <v>1</v>
      </c>
      <c r="I233" s="258" t="s">
        <v>99</v>
      </c>
      <c r="J233" s="258" t="s">
        <v>100</v>
      </c>
      <c r="K233" s="258" t="s">
        <v>661</v>
      </c>
      <c r="M233" s="615" t="s">
        <v>423</v>
      </c>
      <c r="N233" s="277"/>
      <c r="O233" s="277"/>
      <c r="R233" s="258"/>
      <c r="S233" s="258"/>
      <c r="W233" s="308"/>
      <c r="X233" s="277"/>
    </row>
    <row r="234" spans="1:27" ht="14.25">
      <c r="A234" s="258">
        <f>A233+1</f>
        <v>211</v>
      </c>
      <c r="B234" s="258"/>
      <c r="C234" s="258" t="s">
        <v>54</v>
      </c>
      <c r="D234" s="277" t="s">
        <v>660</v>
      </c>
      <c r="E234" s="258" t="str">
        <f>VLOOKUP(D234,Store_Info_VN!B:P,2,0)</f>
        <v>CONVERSE SMART CITY</v>
      </c>
      <c r="F234" s="258" t="s">
        <v>56</v>
      </c>
      <c r="G234" s="258" t="str">
        <f>I234&amp;" "&amp;J234&amp;" "&amp;K234</f>
        <v>Pole Display  VFD220V-I</v>
      </c>
      <c r="H234" s="258">
        <v>1</v>
      </c>
      <c r="I234" s="258" t="s">
        <v>125</v>
      </c>
      <c r="K234" s="258" t="s">
        <v>424</v>
      </c>
      <c r="M234" s="620" t="s">
        <v>425</v>
      </c>
      <c r="N234" s="277"/>
      <c r="O234" s="277"/>
      <c r="R234" s="258"/>
      <c r="S234" s="258"/>
      <c r="W234" s="308"/>
      <c r="X234" s="277"/>
    </row>
    <row r="235" spans="1:27" ht="14.25">
      <c r="A235" s="258">
        <f>A234+1</f>
        <v>212</v>
      </c>
      <c r="B235" s="258"/>
      <c r="C235" s="258" t="s">
        <v>54</v>
      </c>
      <c r="D235" s="277" t="s">
        <v>660</v>
      </c>
      <c r="E235" s="258" t="str">
        <f>VLOOKUP(D235,Store_Info_VN!B:P,2,0)</f>
        <v>CONVERSE SMART CITY</v>
      </c>
      <c r="F235" s="258" t="s">
        <v>56</v>
      </c>
      <c r="G235" s="258" t="str">
        <f>I235&amp;" "&amp;J235&amp;" "&amp;K235</f>
        <v>Cash Drawer Maken MK410</v>
      </c>
      <c r="H235" s="258">
        <v>1</v>
      </c>
      <c r="I235" s="258" t="s">
        <v>159</v>
      </c>
      <c r="J235" s="258" t="s">
        <v>230</v>
      </c>
      <c r="K235" s="258" t="s">
        <v>231</v>
      </c>
      <c r="M235" s="615" t="s">
        <v>426</v>
      </c>
      <c r="N235" s="277"/>
      <c r="O235" s="277"/>
      <c r="R235" s="258"/>
      <c r="S235" s="258"/>
      <c r="W235" s="308"/>
      <c r="X235" s="277"/>
    </row>
    <row r="236" spans="1:27" ht="14.25">
      <c r="A236" s="279">
        <f>A235+1</f>
        <v>213</v>
      </c>
      <c r="B236" s="279"/>
      <c r="C236" s="279" t="s">
        <v>54</v>
      </c>
      <c r="D236" s="303" t="s">
        <v>660</v>
      </c>
      <c r="E236" s="279" t="str">
        <f>VLOOKUP(D236,Store_Info_VN!B:P,2,0)</f>
        <v>CONVERSE SMART CITY</v>
      </c>
      <c r="F236" s="279" t="s">
        <v>56</v>
      </c>
      <c r="G236" s="279" t="str">
        <f>I236&amp;" "&amp;J236&amp;" "&amp;K236</f>
        <v>Scanner Datalogic QW2100</v>
      </c>
      <c r="H236" s="279">
        <v>1</v>
      </c>
      <c r="I236" s="279" t="s">
        <v>96</v>
      </c>
      <c r="J236" s="279" t="s">
        <v>97</v>
      </c>
      <c r="K236" s="279" t="s">
        <v>98</v>
      </c>
      <c r="L236" s="279"/>
      <c r="M236" s="662" t="s">
        <v>427</v>
      </c>
      <c r="N236" s="303"/>
      <c r="O236" s="303"/>
      <c r="P236" s="279"/>
      <c r="Q236" s="279"/>
      <c r="R236" s="279"/>
      <c r="S236" s="279"/>
      <c r="T236" s="285"/>
      <c r="U236" s="286"/>
      <c r="V236" s="279"/>
      <c r="W236" s="628"/>
      <c r="X236" s="303"/>
      <c r="Y236" s="284"/>
      <c r="Z236" s="284"/>
      <c r="AA236" s="284"/>
    </row>
    <row r="237" spans="1:27" s="257" customFormat="1" ht="26.25" hidden="1">
      <c r="A237" s="259">
        <f>A236+1</f>
        <v>214</v>
      </c>
      <c r="B237" s="259"/>
      <c r="C237" s="259" t="s">
        <v>65</v>
      </c>
      <c r="D237" s="277" t="s">
        <v>370</v>
      </c>
      <c r="E237" s="258" t="str">
        <f>VLOOKUP(D237,Store_Info_VN!B:P,2,0)</f>
        <v>CONVERSE CRESCENT MALL</v>
      </c>
      <c r="F237" s="258" t="s">
        <v>56</v>
      </c>
      <c r="G237" s="258" t="str">
        <f>I237&amp;" "&amp;J237&amp;" "&amp;K237</f>
        <v>A4 Printer HP Neverstop laser 1000w</v>
      </c>
      <c r="H237" s="258">
        <v>1</v>
      </c>
      <c r="I237" s="258" t="s">
        <v>99</v>
      </c>
      <c r="J237" s="258" t="s">
        <v>58</v>
      </c>
      <c r="K237" s="258" t="s">
        <v>662</v>
      </c>
      <c r="L237" s="258"/>
      <c r="M237" s="288" t="s">
        <v>663</v>
      </c>
      <c r="N237" s="314"/>
      <c r="O237" s="314"/>
      <c r="P237" s="259"/>
      <c r="Q237" s="259"/>
      <c r="R237" s="258"/>
      <c r="S237" s="258"/>
      <c r="T237" s="278"/>
      <c r="U237" s="268"/>
      <c r="V237" s="258"/>
      <c r="W237" s="308"/>
      <c r="X237" s="277"/>
      <c r="Y237" s="271"/>
      <c r="Z237" s="271"/>
      <c r="AA237" s="271"/>
    </row>
    <row r="238" spans="1:27" s="257" customFormat="1" hidden="1">
      <c r="A238" s="259">
        <f>A237+1</f>
        <v>215</v>
      </c>
      <c r="B238" s="259"/>
      <c r="C238" s="259" t="s">
        <v>65</v>
      </c>
      <c r="D238" s="277" t="s">
        <v>370</v>
      </c>
      <c r="E238" s="258" t="str">
        <f>VLOOKUP(D238,Store_Info_VN!B:P,2,0)</f>
        <v>CONVERSE CRESCENT MALL</v>
      </c>
      <c r="F238" s="258" t="s">
        <v>56</v>
      </c>
      <c r="G238" s="258" t="str">
        <f>I238&amp;" "&amp;J238&amp;" "&amp;K238</f>
        <v xml:space="preserve">Monitor HP </v>
      </c>
      <c r="H238" s="258">
        <v>1</v>
      </c>
      <c r="I238" s="258" t="s">
        <v>116</v>
      </c>
      <c r="J238" s="258" t="s">
        <v>58</v>
      </c>
      <c r="K238" s="258"/>
      <c r="L238" s="258"/>
      <c r="M238" s="288"/>
      <c r="N238" s="314"/>
      <c r="O238" s="314"/>
      <c r="P238" s="259"/>
      <c r="Q238" s="259"/>
      <c r="R238" s="258"/>
      <c r="S238" s="258"/>
      <c r="T238" s="278"/>
      <c r="U238" s="268"/>
      <c r="V238" s="258"/>
      <c r="W238" s="308"/>
      <c r="X238" s="277"/>
      <c r="Y238" s="271"/>
      <c r="Z238" s="271"/>
      <c r="AA238" s="271"/>
    </row>
    <row r="239" spans="1:27" s="257" customFormat="1" hidden="1">
      <c r="A239" s="259">
        <f>A238+1</f>
        <v>216</v>
      </c>
      <c r="B239" s="259"/>
      <c r="C239" s="259" t="s">
        <v>65</v>
      </c>
      <c r="D239" s="277" t="s">
        <v>370</v>
      </c>
      <c r="E239" s="258" t="str">
        <f>VLOOKUP(D239,Store_Info_VN!B:P,2,0)</f>
        <v>CONVERSE CRESCENT MALL</v>
      </c>
      <c r="F239" s="258" t="s">
        <v>56</v>
      </c>
      <c r="G239" s="258" t="str">
        <f>I239&amp;" "&amp;J239&amp;" "&amp;K239</f>
        <v>Bill Printer Epson TM-82III</v>
      </c>
      <c r="H239" s="258">
        <v>1</v>
      </c>
      <c r="I239" s="258" t="s">
        <v>92</v>
      </c>
      <c r="J239" s="258" t="s">
        <v>93</v>
      </c>
      <c r="K239" s="258" t="s">
        <v>664</v>
      </c>
      <c r="L239" s="258"/>
      <c r="M239" s="288" t="s">
        <v>665</v>
      </c>
      <c r="N239" s="314"/>
      <c r="O239" s="314"/>
      <c r="P239" s="259"/>
      <c r="Q239" s="259"/>
      <c r="R239" s="258"/>
      <c r="S239" s="258"/>
      <c r="T239" s="278"/>
      <c r="U239" s="268"/>
      <c r="V239" s="258"/>
      <c r="W239" s="308"/>
      <c r="X239" s="277"/>
      <c r="Y239" s="271"/>
      <c r="Z239" s="271"/>
      <c r="AA239" s="271"/>
    </row>
    <row r="240" spans="1:27" s="257" customFormat="1" hidden="1">
      <c r="A240" s="259">
        <f>A239+1</f>
        <v>217</v>
      </c>
      <c r="B240" s="259"/>
      <c r="C240" s="259" t="s">
        <v>65</v>
      </c>
      <c r="D240" s="277" t="s">
        <v>370</v>
      </c>
      <c r="E240" s="258" t="str">
        <f>VLOOKUP(D240,Store_Info_VN!B:P,2,0)</f>
        <v>CONVERSE CRESCENT MALL</v>
      </c>
      <c r="F240" s="258" t="s">
        <v>56</v>
      </c>
      <c r="G240" s="258" t="str">
        <f>I240&amp;" "&amp;J240&amp;" "&amp;K240</f>
        <v>Pole Display  VDF</v>
      </c>
      <c r="H240" s="258">
        <v>1</v>
      </c>
      <c r="I240" s="258" t="s">
        <v>125</v>
      </c>
      <c r="J240" s="258"/>
      <c r="K240" s="258" t="s">
        <v>666</v>
      </c>
      <c r="L240" s="258"/>
      <c r="M240" s="288">
        <v>120035</v>
      </c>
      <c r="N240" s="314"/>
      <c r="O240" s="314"/>
      <c r="P240" s="259"/>
      <c r="Q240" s="259"/>
      <c r="R240" s="258"/>
      <c r="S240" s="258"/>
      <c r="T240" s="278"/>
      <c r="U240" s="268"/>
      <c r="V240" s="258"/>
      <c r="W240" s="308"/>
      <c r="X240" s="277"/>
      <c r="Y240" s="271"/>
      <c r="Z240" s="271"/>
      <c r="AA240" s="271"/>
    </row>
    <row r="241" spans="1:27" s="257" customFormat="1" hidden="1">
      <c r="A241" s="259">
        <f>A240+1</f>
        <v>218</v>
      </c>
      <c r="B241" s="259"/>
      <c r="C241" s="259" t="s">
        <v>65</v>
      </c>
      <c r="D241" s="277" t="s">
        <v>370</v>
      </c>
      <c r="E241" s="258" t="str">
        <f>VLOOKUP(D241,Store_Info_VN!B:P,2,0)</f>
        <v>CONVERSE CRESCENT MALL</v>
      </c>
      <c r="F241" s="258" t="s">
        <v>56</v>
      </c>
      <c r="G241" s="258" t="str">
        <f>I241&amp;" "&amp;J241&amp;" "&amp;K241</f>
        <v>Cash Drawer Maxcode M330E</v>
      </c>
      <c r="H241" s="258">
        <v>1</v>
      </c>
      <c r="I241" s="258" t="s">
        <v>159</v>
      </c>
      <c r="J241" s="258" t="s">
        <v>667</v>
      </c>
      <c r="K241" s="258" t="s">
        <v>668</v>
      </c>
      <c r="L241" s="258"/>
      <c r="M241" s="288"/>
      <c r="N241" s="314"/>
      <c r="O241" s="314"/>
      <c r="P241" s="259"/>
      <c r="Q241" s="259"/>
      <c r="R241" s="258"/>
      <c r="S241" s="258"/>
      <c r="T241" s="278"/>
      <c r="U241" s="268"/>
      <c r="V241" s="258"/>
      <c r="W241" s="308"/>
      <c r="X241" s="277"/>
      <c r="Y241" s="271"/>
      <c r="Z241" s="271"/>
      <c r="AA241" s="271"/>
    </row>
    <row r="242" spans="1:27" s="257" customFormat="1" hidden="1">
      <c r="A242" s="259">
        <f>A241+1</f>
        <v>219</v>
      </c>
      <c r="B242" s="259"/>
      <c r="C242" s="259" t="s">
        <v>65</v>
      </c>
      <c r="D242" s="277" t="s">
        <v>370</v>
      </c>
      <c r="E242" s="258" t="str">
        <f>VLOOKUP(D242,Store_Info_VN!B:P,2,0)</f>
        <v>CONVERSE CRESCENT MALL</v>
      </c>
      <c r="F242" s="258" t="s">
        <v>56</v>
      </c>
      <c r="G242" s="258" t="str">
        <f>I242&amp;" "&amp;J242&amp;" "&amp;K242</f>
        <v>Scanner  X7BA004094</v>
      </c>
      <c r="H242" s="258">
        <v>1</v>
      </c>
      <c r="I242" s="258" t="s">
        <v>96</v>
      </c>
      <c r="J242" s="258"/>
      <c r="K242" s="258" t="s">
        <v>665</v>
      </c>
      <c r="L242" s="258"/>
      <c r="M242" s="288" t="s">
        <v>669</v>
      </c>
      <c r="N242" s="314"/>
      <c r="O242" s="314"/>
      <c r="P242" s="259"/>
      <c r="Q242" s="259"/>
      <c r="R242" s="258"/>
      <c r="S242" s="258"/>
      <c r="T242" s="278"/>
      <c r="U242" s="268"/>
      <c r="V242" s="258"/>
      <c r="W242" s="308"/>
      <c r="X242" s="277"/>
      <c r="Y242" s="271"/>
      <c r="Z242" s="271"/>
      <c r="AA242" s="271"/>
    </row>
    <row r="243" spans="1:27" s="257" customFormat="1" hidden="1">
      <c r="A243" s="259">
        <f>A242+1</f>
        <v>220</v>
      </c>
      <c r="B243" s="259"/>
      <c r="C243" s="259" t="s">
        <v>65</v>
      </c>
      <c r="D243" s="277" t="s">
        <v>501</v>
      </c>
      <c r="E243" s="258" t="str">
        <f>VLOOKUP(D243,Store_Info_VN!B:P,2,0)</f>
        <v>NEW BALANCE CRESCENT MALL</v>
      </c>
      <c r="F243" s="258" t="s">
        <v>56</v>
      </c>
      <c r="G243" s="258" t="str">
        <f>I243&amp;" "&amp;J243&amp;" "&amp;K243</f>
        <v>A4 Printer Canon LBP 2900</v>
      </c>
      <c r="H243" s="258">
        <v>1</v>
      </c>
      <c r="I243" s="258" t="s">
        <v>99</v>
      </c>
      <c r="J243" s="258" t="s">
        <v>100</v>
      </c>
      <c r="K243" s="258" t="s">
        <v>101</v>
      </c>
      <c r="L243" s="258"/>
      <c r="M243" s="288" t="s">
        <v>670</v>
      </c>
      <c r="N243" s="314"/>
      <c r="O243" s="314"/>
      <c r="P243" s="259"/>
      <c r="Q243" s="259"/>
      <c r="R243" s="258"/>
      <c r="S243" s="258"/>
      <c r="T243" s="278"/>
      <c r="U243" s="268"/>
      <c r="V243" s="258"/>
      <c r="W243" s="308"/>
      <c r="X243" s="277"/>
      <c r="Y243" s="271"/>
      <c r="Z243" s="271"/>
      <c r="AA243" s="271"/>
    </row>
    <row r="244" spans="1:27" s="257" customFormat="1" hidden="1">
      <c r="A244" s="259">
        <f>A243+1</f>
        <v>221</v>
      </c>
      <c r="B244" s="259"/>
      <c r="C244" s="259" t="s">
        <v>65</v>
      </c>
      <c r="D244" s="277" t="s">
        <v>501</v>
      </c>
      <c r="E244" s="258" t="str">
        <f>VLOOKUP(D244,Store_Info_VN!B:P,2,0)</f>
        <v>NEW BALANCE CRESCENT MALL</v>
      </c>
      <c r="F244" s="258" t="s">
        <v>56</v>
      </c>
      <c r="G244" s="258" t="str">
        <f>I244&amp;" "&amp;J244&amp;" "&amp;K244</f>
        <v>Bill Printer Epson TM-82III</v>
      </c>
      <c r="H244" s="258">
        <v>1</v>
      </c>
      <c r="I244" s="258" t="s">
        <v>92</v>
      </c>
      <c r="J244" s="258" t="s">
        <v>93</v>
      </c>
      <c r="K244" s="258" t="s">
        <v>664</v>
      </c>
      <c r="L244" s="258"/>
      <c r="M244" s="288" t="s">
        <v>671</v>
      </c>
      <c r="N244" s="314"/>
      <c r="O244" s="314"/>
      <c r="P244" s="259"/>
      <c r="Q244" s="259"/>
      <c r="R244" s="258"/>
      <c r="S244" s="258"/>
      <c r="T244" s="278"/>
      <c r="U244" s="268"/>
      <c r="V244" s="258"/>
      <c r="W244" s="308"/>
      <c r="X244" s="277"/>
      <c r="Y244" s="271"/>
      <c r="Z244" s="271"/>
      <c r="AA244" s="271"/>
    </row>
    <row r="245" spans="1:27" s="257" customFormat="1" hidden="1">
      <c r="A245" s="259">
        <f>A244+1</f>
        <v>222</v>
      </c>
      <c r="B245" s="259"/>
      <c r="C245" s="259" t="s">
        <v>65</v>
      </c>
      <c r="D245" s="277" t="s">
        <v>501</v>
      </c>
      <c r="E245" s="258" t="str">
        <f>VLOOKUP(D245,Store_Info_VN!B:P,2,0)</f>
        <v>NEW BALANCE CRESCENT MALL</v>
      </c>
      <c r="F245" s="258" t="s">
        <v>56</v>
      </c>
      <c r="G245" s="258" t="str">
        <f>I245&amp;" "&amp;J245&amp;" "&amp;K245</f>
        <v>Cash Drawer Maken MK410</v>
      </c>
      <c r="H245" s="258">
        <v>1</v>
      </c>
      <c r="I245" s="258" t="s">
        <v>159</v>
      </c>
      <c r="J245" s="258" t="s">
        <v>230</v>
      </c>
      <c r="K245" s="258" t="s">
        <v>231</v>
      </c>
      <c r="L245" s="258"/>
      <c r="M245" s="288" t="s">
        <v>672</v>
      </c>
      <c r="N245" s="314"/>
      <c r="O245" s="314"/>
      <c r="P245" s="259"/>
      <c r="Q245" s="259"/>
      <c r="R245" s="258"/>
      <c r="S245" s="258"/>
      <c r="T245" s="278"/>
      <c r="U245" s="268"/>
      <c r="V245" s="258"/>
      <c r="W245" s="308"/>
      <c r="X245" s="277"/>
      <c r="Y245" s="271"/>
      <c r="Z245" s="271"/>
      <c r="AA245" s="271"/>
    </row>
    <row r="246" spans="1:27" s="257" customFormat="1" hidden="1">
      <c r="A246" s="259">
        <f>A245+1</f>
        <v>223</v>
      </c>
      <c r="B246" s="259"/>
      <c r="C246" s="259" t="s">
        <v>65</v>
      </c>
      <c r="D246" s="277" t="s">
        <v>501</v>
      </c>
      <c r="E246" s="258" t="str">
        <f>VLOOKUP(D246,Store_Info_VN!B:P,2,0)</f>
        <v>NEW BALANCE CRESCENT MALL</v>
      </c>
      <c r="F246" s="258" t="s">
        <v>56</v>
      </c>
      <c r="G246" s="258" t="str">
        <f>I246&amp;" "&amp;J246&amp;" "&amp;K246</f>
        <v>Scanner Datalogic Qw2100</v>
      </c>
      <c r="H246" s="258">
        <v>1</v>
      </c>
      <c r="I246" s="258" t="s">
        <v>96</v>
      </c>
      <c r="J246" s="258" t="s">
        <v>97</v>
      </c>
      <c r="K246" s="258" t="s">
        <v>673</v>
      </c>
      <c r="L246" s="258"/>
      <c r="M246" s="288" t="s">
        <v>502</v>
      </c>
      <c r="N246" s="314"/>
      <c r="O246" s="314"/>
      <c r="P246" s="259"/>
      <c r="Q246" s="259"/>
      <c r="R246" s="258"/>
      <c r="S246" s="258"/>
      <c r="T246" s="278"/>
      <c r="U246" s="268"/>
      <c r="V246" s="258"/>
      <c r="W246" s="308"/>
      <c r="X246" s="277"/>
      <c r="Y246" s="271"/>
      <c r="Z246" s="271"/>
      <c r="AA246" s="271"/>
    </row>
    <row r="247" spans="1:27" s="257" customFormat="1" hidden="1">
      <c r="A247" s="259">
        <f>A246+1</f>
        <v>224</v>
      </c>
      <c r="B247" s="259"/>
      <c r="C247" s="259" t="s">
        <v>65</v>
      </c>
      <c r="D247" s="277" t="s">
        <v>501</v>
      </c>
      <c r="E247" s="258" t="str">
        <f>VLOOKUP(D247,Store_Info_VN!B:P,2,0)</f>
        <v>NEW BALANCE CRESCENT MALL</v>
      </c>
      <c r="F247" s="258" t="s">
        <v>56</v>
      </c>
      <c r="G247" s="258" t="str">
        <f>I247&amp;" "&amp;J247&amp;" "&amp;K247</f>
        <v>Other Lioa  Power Supply</v>
      </c>
      <c r="H247" s="258">
        <v>1</v>
      </c>
      <c r="I247" s="258" t="s">
        <v>275</v>
      </c>
      <c r="J247" s="258" t="s">
        <v>674</v>
      </c>
      <c r="K247" s="258" t="s">
        <v>675</v>
      </c>
      <c r="L247" s="258"/>
      <c r="M247" s="288"/>
      <c r="N247" s="314"/>
      <c r="O247" s="314"/>
      <c r="P247" s="259"/>
      <c r="Q247" s="259"/>
      <c r="R247" s="258"/>
      <c r="S247" s="258"/>
      <c r="T247" s="278"/>
      <c r="U247" s="268"/>
      <c r="V247" s="258"/>
      <c r="W247" s="308"/>
      <c r="X247" s="277"/>
      <c r="Y247" s="271"/>
      <c r="Z247" s="271"/>
      <c r="AA247" s="271"/>
    </row>
    <row r="248" spans="1:27" s="257" customFormat="1" hidden="1">
      <c r="A248" s="259">
        <f>A247+1</f>
        <v>225</v>
      </c>
      <c r="B248" s="259"/>
      <c r="C248" s="259" t="s">
        <v>65</v>
      </c>
      <c r="D248" s="277" t="s">
        <v>501</v>
      </c>
      <c r="E248" s="258" t="str">
        <f>VLOOKUP(D248,Store_Info_VN!B:P,2,0)</f>
        <v>NEW BALANCE CRESCENT MALL</v>
      </c>
      <c r="F248" s="258" t="s">
        <v>56</v>
      </c>
      <c r="G248" s="258" t="str">
        <f>I248&amp;" "&amp;J248&amp;" "&amp;K248</f>
        <v xml:space="preserve">USB Hub Unitek </v>
      </c>
      <c r="H248" s="258">
        <v>1</v>
      </c>
      <c r="I248" s="258" t="s">
        <v>273</v>
      </c>
      <c r="J248" s="258" t="s">
        <v>637</v>
      </c>
      <c r="K248" s="258"/>
      <c r="L248" s="258"/>
      <c r="M248" s="288"/>
      <c r="N248" s="314"/>
      <c r="O248" s="314"/>
      <c r="P248" s="259"/>
      <c r="Q248" s="259"/>
      <c r="R248" s="258"/>
      <c r="S248" s="258"/>
      <c r="T248" s="278"/>
      <c r="U248" s="268"/>
      <c r="V248" s="258"/>
      <c r="W248" s="308"/>
      <c r="X248" s="277"/>
      <c r="Y248" s="271"/>
      <c r="Z248" s="271"/>
      <c r="AA248" s="271"/>
    </row>
    <row r="249" spans="1:27" s="257" customFormat="1" hidden="1">
      <c r="A249" s="259">
        <f>A248+1</f>
        <v>226</v>
      </c>
      <c r="B249" s="259"/>
      <c r="C249" s="259" t="s">
        <v>65</v>
      </c>
      <c r="D249" s="277" t="s">
        <v>501</v>
      </c>
      <c r="E249" s="258" t="str">
        <f>VLOOKUP(D249,Store_Info_VN!B:P,2,0)</f>
        <v>NEW BALANCE CRESCENT MALL</v>
      </c>
      <c r="F249" s="258" t="s">
        <v>56</v>
      </c>
      <c r="G249" s="258" t="str">
        <f>I249&amp;" "&amp;J249&amp;" "&amp;K249</f>
        <v xml:space="preserve">Network Switch MERCUSYS </v>
      </c>
      <c r="H249" s="258">
        <v>1</v>
      </c>
      <c r="I249" s="258" t="s">
        <v>172</v>
      </c>
      <c r="J249" s="258" t="s">
        <v>676</v>
      </c>
      <c r="K249" s="258"/>
      <c r="L249" s="258"/>
      <c r="M249" s="288" t="s">
        <v>677</v>
      </c>
      <c r="N249" s="314"/>
      <c r="O249" s="314"/>
      <c r="P249" s="259"/>
      <c r="Q249" s="259"/>
      <c r="R249" s="258"/>
      <c r="S249" s="258"/>
      <c r="T249" s="278"/>
      <c r="U249" s="268"/>
      <c r="V249" s="258"/>
      <c r="W249" s="308"/>
      <c r="X249" s="277"/>
      <c r="Y249" s="271"/>
      <c r="Z249" s="271"/>
      <c r="AA249" s="271"/>
    </row>
    <row r="250" spans="1:27" s="257" customFormat="1" hidden="1">
      <c r="A250" s="259">
        <f>A249+1</f>
        <v>227</v>
      </c>
      <c r="B250" s="259"/>
      <c r="C250" s="259" t="s">
        <v>65</v>
      </c>
      <c r="D250" s="277" t="s">
        <v>501</v>
      </c>
      <c r="E250" s="258" t="str">
        <f>VLOOKUP(D250,Store_Info_VN!B:P,2,0)</f>
        <v>NEW BALANCE CRESCENT MALL</v>
      </c>
      <c r="F250" s="258" t="s">
        <v>56</v>
      </c>
      <c r="G250" s="258" t="str">
        <f>I250&amp;" "&amp;J250&amp;" "&amp;K250</f>
        <v>USB  Lexar 32Gb</v>
      </c>
      <c r="H250" s="258">
        <v>1</v>
      </c>
      <c r="I250" s="258" t="s">
        <v>103</v>
      </c>
      <c r="J250" s="258" t="s">
        <v>678</v>
      </c>
      <c r="K250" s="258" t="s">
        <v>679</v>
      </c>
      <c r="L250" s="258"/>
      <c r="M250" s="288"/>
      <c r="N250" s="314"/>
      <c r="O250" s="314"/>
      <c r="P250" s="259"/>
      <c r="Q250" s="259"/>
      <c r="R250" s="258"/>
      <c r="S250" s="258"/>
      <c r="T250" s="278"/>
      <c r="U250" s="268"/>
      <c r="V250" s="258"/>
      <c r="W250" s="308"/>
      <c r="X250" s="277"/>
      <c r="Y250" s="271"/>
      <c r="Z250" s="271"/>
      <c r="AA250" s="271"/>
    </row>
    <row r="251" spans="1:27" ht="14.25">
      <c r="A251" s="261">
        <f>A250+1</f>
        <v>228</v>
      </c>
      <c r="B251" s="261"/>
      <c r="C251" s="261" t="s">
        <v>54</v>
      </c>
      <c r="D251" s="289" t="s">
        <v>278</v>
      </c>
      <c r="E251" s="261" t="str">
        <f>VLOOKUP(D251,Store_Info_VN!B:P,2,0)</f>
        <v>SMIGGLE ROBINS CRESCENT MALL</v>
      </c>
      <c r="F251" s="261" t="s">
        <v>56</v>
      </c>
      <c r="G251" s="261" t="str">
        <f>I251&amp;" "&amp;J251&amp;" "&amp;K251</f>
        <v>Bill Printer Epson  TM-82II</v>
      </c>
      <c r="H251" s="261">
        <v>1</v>
      </c>
      <c r="I251" s="261" t="s">
        <v>92</v>
      </c>
      <c r="J251" s="261" t="s">
        <v>680</v>
      </c>
      <c r="K251" s="261" t="s">
        <v>681</v>
      </c>
      <c r="L251" s="261"/>
      <c r="M251" s="665" t="s">
        <v>682</v>
      </c>
      <c r="N251" s="289"/>
      <c r="O251" s="289"/>
      <c r="P251" s="261"/>
      <c r="Q251" s="261"/>
      <c r="R251" s="261"/>
      <c r="S251" s="261"/>
      <c r="T251" s="666"/>
      <c r="U251" s="291"/>
      <c r="V251" s="261"/>
      <c r="W251" s="305"/>
      <c r="X251" s="289"/>
      <c r="Y251" s="293"/>
      <c r="Z251" s="293"/>
      <c r="AA251" s="293"/>
    </row>
    <row r="252" spans="1:27" ht="14.25">
      <c r="A252" s="258">
        <f>A251+1</f>
        <v>229</v>
      </c>
      <c r="B252" s="258"/>
      <c r="C252" s="258" t="s">
        <v>54</v>
      </c>
      <c r="D252" s="277" t="s">
        <v>278</v>
      </c>
      <c r="E252" s="258" t="str">
        <f>VLOOKUP(D252,Store_Info_VN!B:P,2,0)</f>
        <v>SMIGGLE ROBINS CRESCENT MALL</v>
      </c>
      <c r="F252" s="258" t="s">
        <v>56</v>
      </c>
      <c r="G252" s="258" t="str">
        <f>I252&amp;" "&amp;J252&amp;" "&amp;K252</f>
        <v>Scanner datalogic QW2100</v>
      </c>
      <c r="H252" s="258">
        <v>1</v>
      </c>
      <c r="I252" s="258" t="s">
        <v>96</v>
      </c>
      <c r="J252" s="258" t="s">
        <v>683</v>
      </c>
      <c r="K252" s="258" t="s">
        <v>98</v>
      </c>
      <c r="M252" s="615" t="s">
        <v>684</v>
      </c>
      <c r="N252" s="277"/>
      <c r="O252" s="277"/>
      <c r="R252" s="258"/>
      <c r="S252" s="258"/>
      <c r="W252" s="308"/>
      <c r="X252" s="277"/>
    </row>
    <row r="253" spans="1:27" ht="14.25">
      <c r="A253" s="258">
        <f>A252+1</f>
        <v>230</v>
      </c>
      <c r="B253" s="258"/>
      <c r="C253" s="258" t="s">
        <v>54</v>
      </c>
      <c r="D253" s="277" t="s">
        <v>506</v>
      </c>
      <c r="E253" s="258" t="str">
        <f>VLOOKUP(D253,Store_Info_VN!B:P,2,0)</f>
        <v>NEW ERA CRESCENT MALL</v>
      </c>
      <c r="F253" s="258" t="s">
        <v>56</v>
      </c>
      <c r="G253" s="258" t="str">
        <f>I253&amp;" "&amp;J253&amp;" "&amp;K253</f>
        <v>Bill Printer Xprinter XP-K300L</v>
      </c>
      <c r="H253" s="258">
        <v>1</v>
      </c>
      <c r="I253" s="258" t="s">
        <v>92</v>
      </c>
      <c r="J253" s="258" t="s">
        <v>353</v>
      </c>
      <c r="K253" s="258" t="s">
        <v>685</v>
      </c>
      <c r="M253" s="615" t="s">
        <v>686</v>
      </c>
      <c r="N253" s="277"/>
      <c r="O253" s="277"/>
      <c r="R253" s="258"/>
      <c r="S253" s="258"/>
      <c r="W253" s="308"/>
      <c r="X253" s="277"/>
    </row>
    <row r="254" spans="1:27" ht="14.25">
      <c r="A254" s="258">
        <f>A253+1</f>
        <v>231</v>
      </c>
      <c r="B254" s="258"/>
      <c r="C254" s="258" t="s">
        <v>54</v>
      </c>
      <c r="D254" s="277" t="s">
        <v>506</v>
      </c>
      <c r="E254" s="258" t="str">
        <f>VLOOKUP(D254,Store_Info_VN!B:P,2,0)</f>
        <v>NEW ERA CRESCENT MALL</v>
      </c>
      <c r="F254" s="258" t="s">
        <v>56</v>
      </c>
      <c r="G254" s="258" t="str">
        <f>I254&amp;" "&amp;J254&amp;" "&amp;K254</f>
        <v>Scanner datalogic  QW2100</v>
      </c>
      <c r="H254" s="258">
        <v>1</v>
      </c>
      <c r="I254" s="258" t="s">
        <v>96</v>
      </c>
      <c r="J254" s="258" t="s">
        <v>683</v>
      </c>
      <c r="K254" s="258" t="s">
        <v>687</v>
      </c>
      <c r="M254" s="615" t="s">
        <v>688</v>
      </c>
      <c r="N254" s="277"/>
      <c r="O254" s="277"/>
      <c r="R254" s="258"/>
      <c r="S254" s="258"/>
      <c r="W254" s="308"/>
      <c r="X254" s="277"/>
    </row>
    <row r="255" spans="1:27" ht="14.25">
      <c r="A255" s="258">
        <f>A254+1</f>
        <v>232</v>
      </c>
      <c r="B255" s="258"/>
      <c r="C255" s="258" t="s">
        <v>54</v>
      </c>
      <c r="D255" s="277" t="s">
        <v>506</v>
      </c>
      <c r="E255" s="258" t="str">
        <f>VLOOKUP(D255,Store_Info_VN!B:P,2,0)</f>
        <v>NEW ERA CRESCENT MALL</v>
      </c>
      <c r="F255" s="258" t="s">
        <v>56</v>
      </c>
      <c r="G255" s="258" t="str">
        <f>I255&amp;" "&amp;J255&amp;" "&amp;K255</f>
        <v xml:space="preserve">Pole Display Customer </v>
      </c>
      <c r="H255" s="258">
        <v>1</v>
      </c>
      <c r="I255" s="258" t="s">
        <v>125</v>
      </c>
      <c r="J255" s="258" t="s">
        <v>689</v>
      </c>
      <c r="M255" s="615" t="s">
        <v>690</v>
      </c>
      <c r="N255" s="277"/>
      <c r="O255" s="277"/>
      <c r="R255" s="258"/>
      <c r="S255" s="258"/>
      <c r="W255" s="308"/>
      <c r="X255" s="277"/>
    </row>
    <row r="256" spans="1:27" ht="14.25">
      <c r="A256" s="258">
        <f>A255+1</f>
        <v>233</v>
      </c>
      <c r="B256" s="258"/>
      <c r="C256" s="258" t="s">
        <v>54</v>
      </c>
      <c r="D256" s="277" t="s">
        <v>506</v>
      </c>
      <c r="E256" s="258" t="str">
        <f>VLOOKUP(D256,Store_Info_VN!B:P,2,0)</f>
        <v>NEW ERA CRESCENT MALL</v>
      </c>
      <c r="F256" s="258" t="s">
        <v>56</v>
      </c>
      <c r="G256" s="258" t="str">
        <f>I256&amp;" "&amp;J256&amp;" "&amp;K256</f>
        <v>Cash Drawer Maxcode M330E</v>
      </c>
      <c r="H256" s="258">
        <v>1</v>
      </c>
      <c r="I256" s="258" t="s">
        <v>159</v>
      </c>
      <c r="J256" s="258" t="s">
        <v>667</v>
      </c>
      <c r="K256" s="258" t="s">
        <v>668</v>
      </c>
      <c r="M256" s="615" t="s">
        <v>691</v>
      </c>
      <c r="N256" s="277"/>
      <c r="O256" s="277"/>
      <c r="R256" s="258"/>
      <c r="S256" s="258"/>
      <c r="W256" s="308"/>
      <c r="X256" s="277"/>
    </row>
    <row r="257" spans="1:27" ht="14.25">
      <c r="A257" s="258">
        <f>A256+1</f>
        <v>234</v>
      </c>
      <c r="B257" s="258"/>
      <c r="C257" s="258" t="s">
        <v>54</v>
      </c>
      <c r="D257" s="277" t="s">
        <v>506</v>
      </c>
      <c r="E257" s="258" t="str">
        <f>VLOOKUP(D257,Store_Info_VN!B:P,2,0)</f>
        <v>NEW ERA CRESCENT MALL</v>
      </c>
      <c r="F257" s="258" t="s">
        <v>56</v>
      </c>
      <c r="G257" s="258" t="str">
        <f>I257&amp;" "&amp;J257&amp;" "&amp;K257</f>
        <v xml:space="preserve">Network Switch  MERCUSYS </v>
      </c>
      <c r="H257" s="258">
        <v>1</v>
      </c>
      <c r="I257" s="258" t="s">
        <v>172</v>
      </c>
      <c r="J257" s="258" t="s">
        <v>692</v>
      </c>
      <c r="M257" s="615" t="s">
        <v>686</v>
      </c>
      <c r="N257" s="277"/>
      <c r="O257" s="277"/>
      <c r="R257" s="258"/>
      <c r="S257" s="258"/>
      <c r="W257" s="308"/>
      <c r="X257" s="277"/>
    </row>
    <row r="258" spans="1:27" ht="14.25">
      <c r="A258" s="258">
        <f>A257+1</f>
        <v>235</v>
      </c>
      <c r="B258" s="258"/>
      <c r="C258" s="258" t="s">
        <v>54</v>
      </c>
      <c r="D258" s="277" t="s">
        <v>506</v>
      </c>
      <c r="E258" s="258" t="str">
        <f>VLOOKUP(D258,Store_Info_VN!B:P,2,0)</f>
        <v>NEW ERA CRESCENT MALL</v>
      </c>
      <c r="F258" s="258" t="s">
        <v>56</v>
      </c>
      <c r="G258" s="258" t="str">
        <f>I258&amp;" "&amp;J258&amp;" "&amp;K258</f>
        <v>USB Hub Unitek 4 port</v>
      </c>
      <c r="H258" s="258">
        <v>1</v>
      </c>
      <c r="I258" s="258" t="s">
        <v>273</v>
      </c>
      <c r="J258" s="258" t="s">
        <v>637</v>
      </c>
      <c r="K258" s="258" t="s">
        <v>693</v>
      </c>
      <c r="M258" s="615"/>
      <c r="N258" s="277"/>
      <c r="O258" s="277"/>
      <c r="R258" s="258"/>
      <c r="S258" s="258"/>
      <c r="W258" s="308"/>
      <c r="X258" s="277"/>
    </row>
    <row r="259" spans="1:27" ht="14.25">
      <c r="A259" s="258">
        <f>A258+1</f>
        <v>236</v>
      </c>
      <c r="B259" s="258"/>
      <c r="C259" s="258" t="s">
        <v>54</v>
      </c>
      <c r="D259" s="277" t="s">
        <v>223</v>
      </c>
      <c r="E259" s="258" t="str">
        <f>VLOOKUP(D259,Store_Info_VN!B:P,2,0)</f>
        <v>CHAMPION CRESCENT MALL</v>
      </c>
      <c r="F259" s="258" t="s">
        <v>56</v>
      </c>
      <c r="G259" s="258" t="str">
        <f>I259&amp;" "&amp;J259&amp;" "&amp;K259</f>
        <v xml:space="preserve">Monitor HP </v>
      </c>
      <c r="H259" s="258">
        <v>1</v>
      </c>
      <c r="I259" s="258" t="s">
        <v>116</v>
      </c>
      <c r="J259" s="258" t="s">
        <v>58</v>
      </c>
      <c r="M259" s="615"/>
      <c r="N259" s="277"/>
      <c r="O259" s="277"/>
      <c r="R259" s="258"/>
      <c r="S259" s="258"/>
      <c r="W259" s="308"/>
      <c r="X259" s="277"/>
    </row>
    <row r="260" spans="1:27" ht="14.25">
      <c r="A260" s="258">
        <f>A259+1</f>
        <v>237</v>
      </c>
      <c r="B260" s="258"/>
      <c r="C260" s="258" t="s">
        <v>54</v>
      </c>
      <c r="D260" s="277" t="s">
        <v>223</v>
      </c>
      <c r="E260" s="258" t="str">
        <f>VLOOKUP(D260,Store_Info_VN!B:P,2,0)</f>
        <v>CHAMPION CRESCENT MALL</v>
      </c>
      <c r="F260" s="258" t="s">
        <v>56</v>
      </c>
      <c r="G260" s="258" t="str">
        <f>I260&amp;" "&amp;J260&amp;" "&amp;K260</f>
        <v>Bill Printer Xprinter Xp-K300l</v>
      </c>
      <c r="H260" s="258">
        <v>1</v>
      </c>
      <c r="I260" s="258" t="s">
        <v>92</v>
      </c>
      <c r="J260" s="258" t="s">
        <v>353</v>
      </c>
      <c r="K260" s="258" t="s">
        <v>694</v>
      </c>
      <c r="M260" s="615" t="s">
        <v>695</v>
      </c>
      <c r="N260" s="277"/>
      <c r="O260" s="277"/>
      <c r="R260" s="258"/>
      <c r="S260" s="258"/>
      <c r="W260" s="308"/>
      <c r="X260" s="277"/>
    </row>
    <row r="261" spans="1:27" ht="14.25">
      <c r="A261" s="258">
        <f>A260+1</f>
        <v>238</v>
      </c>
      <c r="B261" s="258"/>
      <c r="C261" s="258" t="s">
        <v>54</v>
      </c>
      <c r="D261" s="277" t="s">
        <v>223</v>
      </c>
      <c r="E261" s="258" t="str">
        <f>VLOOKUP(D261,Store_Info_VN!B:P,2,0)</f>
        <v>CHAMPION CRESCENT MALL</v>
      </c>
      <c r="F261" s="258" t="s">
        <v>56</v>
      </c>
      <c r="G261" s="258" t="str">
        <f>I261&amp;" "&amp;J261&amp;" "&amp;K261</f>
        <v>Scanner  datalogic QW2100</v>
      </c>
      <c r="H261" s="258">
        <v>1</v>
      </c>
      <c r="I261" s="258" t="s">
        <v>96</v>
      </c>
      <c r="J261" s="258" t="s">
        <v>696</v>
      </c>
      <c r="K261" s="258" t="s">
        <v>98</v>
      </c>
      <c r="M261" s="615" t="s">
        <v>697</v>
      </c>
      <c r="N261" s="277"/>
      <c r="O261" s="277"/>
      <c r="R261" s="258"/>
      <c r="S261" s="258"/>
      <c r="W261" s="308"/>
      <c r="X261" s="277"/>
    </row>
    <row r="262" spans="1:27" ht="14.25">
      <c r="A262" s="258">
        <f>A261+1</f>
        <v>239</v>
      </c>
      <c r="B262" s="258"/>
      <c r="C262" s="258" t="s">
        <v>54</v>
      </c>
      <c r="D262" s="277" t="s">
        <v>223</v>
      </c>
      <c r="E262" s="258" t="str">
        <f>VLOOKUP(D262,Store_Info_VN!B:P,2,0)</f>
        <v>CHAMPION CRESCENT MALL</v>
      </c>
      <c r="F262" s="258" t="s">
        <v>56</v>
      </c>
      <c r="G262" s="258" t="str">
        <f>I262&amp;" "&amp;J262&amp;" "&amp;K262</f>
        <v xml:space="preserve">Pole Display Customer </v>
      </c>
      <c r="H262" s="258">
        <v>1</v>
      </c>
      <c r="I262" s="258" t="s">
        <v>125</v>
      </c>
      <c r="J262" s="258" t="s">
        <v>689</v>
      </c>
      <c r="M262" s="615" t="s">
        <v>698</v>
      </c>
      <c r="N262" s="277"/>
      <c r="O262" s="277"/>
      <c r="R262" s="258"/>
      <c r="S262" s="258"/>
      <c r="W262" s="308"/>
      <c r="X262" s="277"/>
    </row>
    <row r="263" spans="1:27" ht="14.25">
      <c r="A263" s="258">
        <f>A262+1</f>
        <v>240</v>
      </c>
      <c r="B263" s="258"/>
      <c r="C263" s="258" t="s">
        <v>54</v>
      </c>
      <c r="D263" s="277" t="s">
        <v>223</v>
      </c>
      <c r="E263" s="258" t="str">
        <f>VLOOKUP(D263,Store_Info_VN!B:P,2,0)</f>
        <v>CHAMPION CRESCENT MALL</v>
      </c>
      <c r="F263" s="258" t="s">
        <v>56</v>
      </c>
      <c r="G263" s="258" t="str">
        <f>I263&amp;" "&amp;J263&amp;" "&amp;K263</f>
        <v xml:space="preserve">Network Switch  MERCUSYS </v>
      </c>
      <c r="H263" s="258">
        <v>1</v>
      </c>
      <c r="I263" s="258" t="s">
        <v>172</v>
      </c>
      <c r="J263" s="258" t="s">
        <v>692</v>
      </c>
      <c r="M263" s="615" t="s">
        <v>699</v>
      </c>
      <c r="N263" s="277"/>
      <c r="O263" s="277"/>
      <c r="R263" s="258"/>
      <c r="S263" s="258"/>
      <c r="W263" s="308"/>
      <c r="X263" s="277"/>
    </row>
    <row r="264" spans="1:27" ht="28.5">
      <c r="A264" s="258">
        <f>A263+1</f>
        <v>241</v>
      </c>
      <c r="B264" s="258"/>
      <c r="C264" s="258" t="s">
        <v>54</v>
      </c>
      <c r="D264" s="277" t="s">
        <v>223</v>
      </c>
      <c r="E264" s="258" t="str">
        <f>VLOOKUP(D264,Store_Info_VN!B:P,2,0)</f>
        <v>CHAMPION CRESCENT MALL</v>
      </c>
      <c r="F264" s="258" t="s">
        <v>56</v>
      </c>
      <c r="G264" s="258" t="str">
        <f>I264&amp;" "&amp;J264&amp;" "&amp;K264</f>
        <v xml:space="preserve">A4 Printer HP  Neverstop laser 1000w </v>
      </c>
      <c r="H264" s="258">
        <v>1</v>
      </c>
      <c r="I264" s="258" t="s">
        <v>99</v>
      </c>
      <c r="J264" s="258" t="s">
        <v>58</v>
      </c>
      <c r="K264" s="258" t="s">
        <v>700</v>
      </c>
      <c r="M264" s="615" t="s">
        <v>701</v>
      </c>
      <c r="N264" s="277"/>
      <c r="O264" s="277"/>
      <c r="R264" s="258"/>
      <c r="S264" s="258"/>
      <c r="W264" s="308"/>
      <c r="X264" s="277"/>
    </row>
    <row r="265" spans="1:27" ht="14.25">
      <c r="A265" s="258">
        <f>A264+1</f>
        <v>242</v>
      </c>
      <c r="B265" s="258"/>
      <c r="C265" s="258" t="s">
        <v>54</v>
      </c>
      <c r="D265" s="277" t="s">
        <v>223</v>
      </c>
      <c r="E265" s="258" t="str">
        <f>VLOOKUP(D265,Store_Info_VN!B:P,2,0)</f>
        <v>CHAMPION CRESCENT MALL</v>
      </c>
      <c r="F265" s="258" t="s">
        <v>56</v>
      </c>
      <c r="G265" s="258" t="str">
        <f>I265&amp;" "&amp;J265&amp;" "&amp;K265</f>
        <v>Cash Drawer MAXCODE  M330E</v>
      </c>
      <c r="H265" s="258">
        <v>1</v>
      </c>
      <c r="I265" s="258" t="s">
        <v>159</v>
      </c>
      <c r="J265" s="258" t="s">
        <v>702</v>
      </c>
      <c r="K265" s="258" t="s">
        <v>668</v>
      </c>
      <c r="M265" s="615" t="s">
        <v>703</v>
      </c>
      <c r="N265" s="277"/>
      <c r="O265" s="277"/>
      <c r="R265" s="258"/>
      <c r="S265" s="258"/>
      <c r="W265" s="308"/>
      <c r="X265" s="277"/>
    </row>
    <row r="266" spans="1:27">
      <c r="A266" s="258">
        <f>A265+1</f>
        <v>243</v>
      </c>
      <c r="B266" s="258"/>
      <c r="C266" s="258" t="s">
        <v>54</v>
      </c>
      <c r="D266" s="277" t="s">
        <v>304</v>
      </c>
      <c r="E266" s="258" t="str">
        <f>VLOOKUP(D266,Store_Info_VN!B:P,2,0)</f>
        <v>SMIGGLE VAN HANH MALL</v>
      </c>
      <c r="F266" s="258" t="s">
        <v>56</v>
      </c>
      <c r="G266" s="258" t="str">
        <f>I266&amp;" "&amp;J266&amp;" "&amp;K266</f>
        <v>Bill Printer Epson TM82III</v>
      </c>
      <c r="H266" s="258">
        <v>1</v>
      </c>
      <c r="I266" s="258" t="s">
        <v>92</v>
      </c>
      <c r="J266" s="258" t="s">
        <v>93</v>
      </c>
      <c r="K266" s="258" t="s">
        <v>704</v>
      </c>
      <c r="M266" s="615" t="s">
        <v>705</v>
      </c>
      <c r="N266" s="277"/>
      <c r="O266" s="277"/>
      <c r="R266" s="258"/>
      <c r="S266" s="258"/>
      <c r="W266" s="308"/>
      <c r="X266" s="277"/>
    </row>
    <row r="267" spans="1:27">
      <c r="A267" s="258">
        <f>A266+1</f>
        <v>244</v>
      </c>
      <c r="B267" s="258"/>
      <c r="C267" s="258" t="s">
        <v>54</v>
      </c>
      <c r="D267" s="277" t="s">
        <v>304</v>
      </c>
      <c r="E267" s="258" t="str">
        <f>VLOOKUP(D267,Store_Info_VN!B:P,2,0)</f>
        <v>SMIGGLE VAN HANH MALL</v>
      </c>
      <c r="F267" s="258" t="s">
        <v>56</v>
      </c>
      <c r="G267" s="258" t="str">
        <f>I267&amp;" "&amp;J267&amp;" "&amp;K267</f>
        <v>Scanner datalogic QW2100</v>
      </c>
      <c r="H267" s="258">
        <v>1</v>
      </c>
      <c r="I267" s="258" t="s">
        <v>96</v>
      </c>
      <c r="J267" s="258" t="s">
        <v>683</v>
      </c>
      <c r="K267" s="258" t="s">
        <v>98</v>
      </c>
      <c r="M267" s="615" t="s">
        <v>706</v>
      </c>
      <c r="N267" s="277"/>
      <c r="O267" s="277"/>
      <c r="R267" s="258"/>
      <c r="S267" s="258"/>
      <c r="W267" s="308"/>
      <c r="X267" s="277"/>
    </row>
    <row r="268" spans="1:27">
      <c r="A268" s="258">
        <f>A267+1</f>
        <v>245</v>
      </c>
      <c r="B268" s="258"/>
      <c r="C268" s="258" t="s">
        <v>54</v>
      </c>
      <c r="D268" s="277" t="s">
        <v>304</v>
      </c>
      <c r="E268" s="258" t="str">
        <f>VLOOKUP(D268,Store_Info_VN!B:P,2,0)</f>
        <v>SMIGGLE VAN HANH MALL</v>
      </c>
      <c r="F268" s="258" t="s">
        <v>56</v>
      </c>
      <c r="G268" s="258" t="str">
        <f>I268&amp;" "&amp;J268&amp;" "&amp;K268</f>
        <v>Pole Display  VFD220V-IUSB</v>
      </c>
      <c r="H268" s="258">
        <v>1</v>
      </c>
      <c r="I268" s="258" t="s">
        <v>125</v>
      </c>
      <c r="K268" s="258" t="s">
        <v>462</v>
      </c>
      <c r="M268" s="615" t="s">
        <v>707</v>
      </c>
      <c r="N268" s="277"/>
      <c r="O268" s="277"/>
      <c r="R268" s="258"/>
      <c r="S268" s="258"/>
      <c r="W268" s="308"/>
      <c r="X268" s="277"/>
    </row>
    <row r="269" spans="1:27">
      <c r="A269" s="258">
        <f>A268+1</f>
        <v>246</v>
      </c>
      <c r="B269" s="258"/>
      <c r="C269" s="258" t="s">
        <v>54</v>
      </c>
      <c r="D269" s="277" t="s">
        <v>304</v>
      </c>
      <c r="E269" s="258" t="str">
        <f>VLOOKUP(D269,Store_Info_VN!B:P,2,0)</f>
        <v>SMIGGLE VAN HANH MALL</v>
      </c>
      <c r="F269" s="258" t="s">
        <v>56</v>
      </c>
      <c r="G269" s="258" t="str">
        <f>I269&amp;" "&amp;J269&amp;" "&amp;K269</f>
        <v>Cash Drawer Maken MK410</v>
      </c>
      <c r="H269" s="258">
        <v>1</v>
      </c>
      <c r="I269" s="258" t="s">
        <v>159</v>
      </c>
      <c r="J269" s="258" t="s">
        <v>230</v>
      </c>
      <c r="K269" s="258" t="s">
        <v>231</v>
      </c>
      <c r="M269" s="615" t="s">
        <v>708</v>
      </c>
      <c r="N269" s="277"/>
      <c r="O269" s="277"/>
      <c r="R269" s="258"/>
      <c r="S269" s="258"/>
      <c r="W269" s="308"/>
      <c r="X269" s="277"/>
    </row>
    <row r="270" spans="1:27">
      <c r="A270" s="279">
        <f>A269+1</f>
        <v>247</v>
      </c>
      <c r="B270" s="279"/>
      <c r="C270" s="279" t="s">
        <v>54</v>
      </c>
      <c r="D270" s="303" t="s">
        <v>304</v>
      </c>
      <c r="E270" s="279" t="str">
        <f>VLOOKUP(D270,Store_Info_VN!B:P,2,0)</f>
        <v>SMIGGLE VAN HANH MALL</v>
      </c>
      <c r="F270" s="279" t="s">
        <v>56</v>
      </c>
      <c r="G270" s="279" t="str">
        <f>I270&amp;" "&amp;J270&amp;" "&amp;K270</f>
        <v xml:space="preserve">USB Hub Orico 4 Port </v>
      </c>
      <c r="H270" s="279">
        <v>1</v>
      </c>
      <c r="I270" s="279" t="s">
        <v>273</v>
      </c>
      <c r="J270" s="279" t="s">
        <v>274</v>
      </c>
      <c r="K270" s="279" t="s">
        <v>709</v>
      </c>
      <c r="L270" s="279"/>
      <c r="M270" s="662"/>
      <c r="N270" s="303"/>
      <c r="O270" s="303"/>
      <c r="P270" s="279"/>
      <c r="Q270" s="279"/>
      <c r="R270" s="279"/>
      <c r="S270" s="279"/>
      <c r="T270" s="285"/>
      <c r="U270" s="286"/>
      <c r="V270" s="279"/>
      <c r="W270" s="628"/>
      <c r="X270" s="303"/>
      <c r="Y270" s="284"/>
      <c r="Z270" s="284"/>
      <c r="AA270" s="284"/>
    </row>
    <row r="271" spans="1:27" s="257" customFormat="1" hidden="1">
      <c r="A271" s="259">
        <f>A270+1</f>
        <v>248</v>
      </c>
      <c r="B271" s="259"/>
      <c r="C271" s="259" t="s">
        <v>65</v>
      </c>
      <c r="D271" s="277" t="s">
        <v>454</v>
      </c>
      <c r="E271" s="258" t="str">
        <f>VLOOKUP(D271,Store_Info_VN!B:P,2,0)</f>
        <v>CONVERSE BA THANG HAI</v>
      </c>
      <c r="F271" s="258" t="s">
        <v>56</v>
      </c>
      <c r="G271" s="258" t="str">
        <f>I271&amp;" "&amp;J271&amp;" "&amp;K271</f>
        <v xml:space="preserve">Monitor HP </v>
      </c>
      <c r="H271" s="258">
        <v>1</v>
      </c>
      <c r="I271" s="258" t="s">
        <v>116</v>
      </c>
      <c r="J271" s="258" t="s">
        <v>58</v>
      </c>
      <c r="K271" s="258"/>
      <c r="L271" s="258"/>
      <c r="M271" s="288"/>
      <c r="N271" s="314"/>
      <c r="O271" s="314"/>
      <c r="P271" s="259"/>
      <c r="Q271" s="259"/>
      <c r="R271" s="258"/>
      <c r="S271" s="258"/>
      <c r="T271" s="278"/>
      <c r="U271" s="268"/>
      <c r="V271" s="258"/>
      <c r="W271" s="308"/>
      <c r="X271" s="277"/>
      <c r="Y271" s="271"/>
      <c r="Z271" s="271"/>
      <c r="AA271" s="271"/>
    </row>
    <row r="272" spans="1:27" s="257" customFormat="1" hidden="1">
      <c r="A272" s="259">
        <f>A271+1</f>
        <v>249</v>
      </c>
      <c r="B272" s="259"/>
      <c r="C272" s="259" t="s">
        <v>65</v>
      </c>
      <c r="D272" s="277" t="s">
        <v>454</v>
      </c>
      <c r="E272" s="258" t="str">
        <f>VLOOKUP(D272,Store_Info_VN!B:P,2,0)</f>
        <v>CONVERSE BA THANG HAI</v>
      </c>
      <c r="F272" s="258" t="s">
        <v>56</v>
      </c>
      <c r="G272" s="258" t="str">
        <f>I272&amp;" "&amp;J272&amp;" "&amp;K272</f>
        <v>Bill Printer Xprinter  Xp-k300L</v>
      </c>
      <c r="H272" s="258">
        <v>1</v>
      </c>
      <c r="I272" s="258" t="s">
        <v>92</v>
      </c>
      <c r="J272" s="258" t="s">
        <v>710</v>
      </c>
      <c r="K272" s="258" t="s">
        <v>354</v>
      </c>
      <c r="L272" s="258"/>
      <c r="M272" s="288" t="s">
        <v>711</v>
      </c>
      <c r="N272" s="314"/>
      <c r="O272" s="314"/>
      <c r="P272" s="259"/>
      <c r="Q272" s="259"/>
      <c r="R272" s="258"/>
      <c r="S272" s="258"/>
      <c r="T272" s="278"/>
      <c r="U272" s="268"/>
      <c r="V272" s="258"/>
      <c r="W272" s="308"/>
      <c r="X272" s="277"/>
      <c r="Y272" s="271"/>
      <c r="Z272" s="271"/>
      <c r="AA272" s="271"/>
    </row>
    <row r="273" spans="1:27" s="257" customFormat="1" hidden="1">
      <c r="A273" s="259">
        <f>A272+1</f>
        <v>250</v>
      </c>
      <c r="B273" s="259"/>
      <c r="C273" s="259" t="s">
        <v>65</v>
      </c>
      <c r="D273" s="277" t="s">
        <v>454</v>
      </c>
      <c r="E273" s="258" t="str">
        <f>VLOOKUP(D273,Store_Info_VN!B:P,2,0)</f>
        <v>CONVERSE BA THANG HAI</v>
      </c>
      <c r="F273" s="258" t="s">
        <v>56</v>
      </c>
      <c r="G273" s="258" t="str">
        <f>I273&amp;" "&amp;J273&amp;" "&amp;K273</f>
        <v>Scanner datalogic QW2100</v>
      </c>
      <c r="H273" s="258">
        <v>1</v>
      </c>
      <c r="I273" s="258" t="s">
        <v>96</v>
      </c>
      <c r="J273" s="258" t="s">
        <v>683</v>
      </c>
      <c r="K273" s="258" t="s">
        <v>98</v>
      </c>
      <c r="L273" s="258"/>
      <c r="M273" s="288" t="s">
        <v>712</v>
      </c>
      <c r="N273" s="314"/>
      <c r="O273" s="314"/>
      <c r="P273" s="259"/>
      <c r="Q273" s="259"/>
      <c r="R273" s="258"/>
      <c r="S273" s="258"/>
      <c r="T273" s="278"/>
      <c r="U273" s="268"/>
      <c r="V273" s="258"/>
      <c r="W273" s="308"/>
      <c r="X273" s="277"/>
      <c r="Y273" s="271"/>
      <c r="Z273" s="271"/>
      <c r="AA273" s="271"/>
    </row>
    <row r="274" spans="1:27" s="257" customFormat="1" hidden="1">
      <c r="A274" s="259">
        <f>A273+1</f>
        <v>251</v>
      </c>
      <c r="B274" s="259"/>
      <c r="C274" s="259" t="s">
        <v>65</v>
      </c>
      <c r="D274" s="277" t="s">
        <v>454</v>
      </c>
      <c r="E274" s="258" t="str">
        <f>VLOOKUP(D274,Store_Info_VN!B:P,2,0)</f>
        <v>CONVERSE BA THANG HAI</v>
      </c>
      <c r="F274" s="258" t="s">
        <v>56</v>
      </c>
      <c r="G274" s="258" t="str">
        <f>I274&amp;" "&amp;J274&amp;" "&amp;K274</f>
        <v>Pole Display   VFD220V-I</v>
      </c>
      <c r="H274" s="258">
        <v>1</v>
      </c>
      <c r="I274" s="258" t="s">
        <v>125</v>
      </c>
      <c r="J274" s="258"/>
      <c r="K274" s="258" t="s">
        <v>713</v>
      </c>
      <c r="L274" s="258"/>
      <c r="M274" s="288" t="s">
        <v>714</v>
      </c>
      <c r="N274" s="314"/>
      <c r="O274" s="314"/>
      <c r="P274" s="259"/>
      <c r="Q274" s="259"/>
      <c r="R274" s="258"/>
      <c r="S274" s="258"/>
      <c r="T274" s="278"/>
      <c r="U274" s="268"/>
      <c r="V274" s="258"/>
      <c r="W274" s="308"/>
      <c r="X274" s="277"/>
      <c r="Y274" s="271"/>
      <c r="Z274" s="271"/>
      <c r="AA274" s="271"/>
    </row>
    <row r="275" spans="1:27" s="257" customFormat="1" hidden="1">
      <c r="A275" s="259">
        <f>A274+1</f>
        <v>252</v>
      </c>
      <c r="B275" s="259"/>
      <c r="C275" s="259" t="s">
        <v>65</v>
      </c>
      <c r="D275" s="277" t="s">
        <v>454</v>
      </c>
      <c r="E275" s="258" t="str">
        <f>VLOOKUP(D275,Store_Info_VN!B:P,2,0)</f>
        <v>CONVERSE BA THANG HAI</v>
      </c>
      <c r="F275" s="258" t="s">
        <v>56</v>
      </c>
      <c r="G275" s="258" t="str">
        <f>I275&amp;" "&amp;J275&amp;" "&amp;K275</f>
        <v>A4 Printer Canon LBP 2900</v>
      </c>
      <c r="H275" s="258">
        <v>1</v>
      </c>
      <c r="I275" s="258" t="s">
        <v>99</v>
      </c>
      <c r="J275" s="258" t="s">
        <v>100</v>
      </c>
      <c r="K275" s="258" t="s">
        <v>101</v>
      </c>
      <c r="L275" s="258"/>
      <c r="M275" s="288" t="s">
        <v>416</v>
      </c>
      <c r="N275" s="314"/>
      <c r="O275" s="314"/>
      <c r="P275" s="259"/>
      <c r="Q275" s="259"/>
      <c r="R275" s="258"/>
      <c r="S275" s="258"/>
      <c r="T275" s="278"/>
      <c r="U275" s="268"/>
      <c r="V275" s="258"/>
      <c r="W275" s="308"/>
      <c r="X275" s="277"/>
      <c r="Y275" s="271"/>
      <c r="Z275" s="271"/>
      <c r="AA275" s="271"/>
    </row>
    <row r="276" spans="1:27" s="257" customFormat="1" hidden="1">
      <c r="A276" s="259">
        <f>A275+1</f>
        <v>253</v>
      </c>
      <c r="B276" s="259"/>
      <c r="C276" s="259" t="s">
        <v>65</v>
      </c>
      <c r="D276" s="277" t="s">
        <v>454</v>
      </c>
      <c r="E276" s="258" t="str">
        <f>VLOOKUP(D276,Store_Info_VN!B:P,2,0)</f>
        <v>CONVERSE BA THANG HAI</v>
      </c>
      <c r="F276" s="258" t="s">
        <v>56</v>
      </c>
      <c r="G276" s="258" t="str">
        <f>I276&amp;" "&amp;J276&amp;" "&amp;K276</f>
        <v>Cash Drawer MAXCODE M330E</v>
      </c>
      <c r="H276" s="258">
        <v>1</v>
      </c>
      <c r="I276" s="258" t="s">
        <v>159</v>
      </c>
      <c r="J276" s="258" t="s">
        <v>715</v>
      </c>
      <c r="K276" s="258" t="s">
        <v>668</v>
      </c>
      <c r="L276" s="258"/>
      <c r="M276" s="288" t="s">
        <v>377</v>
      </c>
      <c r="N276" s="314"/>
      <c r="O276" s="314"/>
      <c r="P276" s="259"/>
      <c r="Q276" s="259"/>
      <c r="R276" s="258"/>
      <c r="S276" s="258"/>
      <c r="T276" s="278"/>
      <c r="U276" s="268"/>
      <c r="V276" s="258"/>
      <c r="W276" s="308"/>
      <c r="X276" s="277"/>
      <c r="Y276" s="271"/>
      <c r="Z276" s="271"/>
      <c r="AA276" s="271"/>
    </row>
    <row r="277" spans="1:27" s="257" customFormat="1" hidden="1">
      <c r="A277" s="259">
        <f>A276+1</f>
        <v>254</v>
      </c>
      <c r="B277" s="259"/>
      <c r="C277" s="259" t="s">
        <v>65</v>
      </c>
      <c r="D277" s="277" t="s">
        <v>454</v>
      </c>
      <c r="E277" s="258" t="str">
        <f>VLOOKUP(D277,Store_Info_VN!B:P,2,0)</f>
        <v>CONVERSE BA THANG HAI</v>
      </c>
      <c r="F277" s="258" t="s">
        <v>56</v>
      </c>
      <c r="G277" s="258" t="str">
        <f>I277&amp;" "&amp;J277&amp;" "&amp;K277</f>
        <v>O2O Printer Postek IQ200</v>
      </c>
      <c r="H277" s="258">
        <v>1</v>
      </c>
      <c r="I277" s="258" t="s">
        <v>437</v>
      </c>
      <c r="J277" s="258" t="s">
        <v>438</v>
      </c>
      <c r="K277" s="258" t="s">
        <v>716</v>
      </c>
      <c r="L277" s="258"/>
      <c r="M277" s="288" t="s">
        <v>717</v>
      </c>
      <c r="N277" s="314"/>
      <c r="O277" s="314"/>
      <c r="P277" s="259"/>
      <c r="Q277" s="259"/>
      <c r="R277" s="258"/>
      <c r="S277" s="258"/>
      <c r="T277" s="278" t="s">
        <v>718</v>
      </c>
      <c r="U277" s="268" t="s">
        <v>719</v>
      </c>
      <c r="V277" s="258"/>
      <c r="W277" s="308"/>
      <c r="X277" s="277"/>
      <c r="Y277" s="271"/>
      <c r="Z277" s="271"/>
      <c r="AA277" s="271"/>
    </row>
    <row r="278" spans="1:27" s="257" customFormat="1" hidden="1">
      <c r="A278" s="259">
        <f>A277+1</f>
        <v>255</v>
      </c>
      <c r="B278" s="259"/>
      <c r="C278" s="259" t="s">
        <v>65</v>
      </c>
      <c r="D278" s="277" t="s">
        <v>454</v>
      </c>
      <c r="E278" s="258" t="str">
        <f>VLOOKUP(D278,Store_Info_VN!B:P,2,0)</f>
        <v>CONVERSE BA THANG HAI</v>
      </c>
      <c r="F278" s="258" t="s">
        <v>56</v>
      </c>
      <c r="G278" s="258" t="str">
        <f>I278&amp;" "&amp;J278&amp;" "&amp;K278</f>
        <v>Tablet samsung GALAXY S6 LITE</v>
      </c>
      <c r="H278" s="258">
        <v>1</v>
      </c>
      <c r="I278" s="258" t="s">
        <v>442</v>
      </c>
      <c r="J278" s="258" t="s">
        <v>720</v>
      </c>
      <c r="K278" s="258" t="s">
        <v>721</v>
      </c>
      <c r="L278" s="258"/>
      <c r="M278" s="288" t="s">
        <v>722</v>
      </c>
      <c r="N278" s="314"/>
      <c r="O278" s="314" t="s">
        <v>723</v>
      </c>
      <c r="P278" s="259"/>
      <c r="Q278" s="259"/>
      <c r="R278" s="258"/>
      <c r="S278" s="258"/>
      <c r="T278" s="278" t="s">
        <v>718</v>
      </c>
      <c r="U278" s="268" t="s">
        <v>719</v>
      </c>
      <c r="V278" s="258"/>
      <c r="W278" s="308"/>
      <c r="X278" s="277"/>
      <c r="Y278" s="271"/>
      <c r="Z278" s="271"/>
      <c r="AA278" s="271"/>
    </row>
    <row r="279" spans="1:27" s="257" customFormat="1" hidden="1">
      <c r="A279" s="259">
        <f>A278+1</f>
        <v>256</v>
      </c>
      <c r="B279" s="259"/>
      <c r="C279" s="259" t="s">
        <v>65</v>
      </c>
      <c r="D279" s="277" t="s">
        <v>454</v>
      </c>
      <c r="E279" s="258" t="str">
        <f>VLOOKUP(D279,Store_Info_VN!B:P,2,0)</f>
        <v>CONVERSE BA THANG HAI</v>
      </c>
      <c r="F279" s="258" t="s">
        <v>56</v>
      </c>
      <c r="G279" s="258" t="str">
        <f>I279&amp;" "&amp;J279&amp;" "&amp;K279</f>
        <v xml:space="preserve">Sim 4G Mobifone </v>
      </c>
      <c r="H279" s="258">
        <v>1</v>
      </c>
      <c r="I279" s="258" t="s">
        <v>447</v>
      </c>
      <c r="J279" s="258" t="s">
        <v>448</v>
      </c>
      <c r="K279" s="258"/>
      <c r="L279" s="258"/>
      <c r="M279" s="288" t="s">
        <v>724</v>
      </c>
      <c r="N279" s="314"/>
      <c r="O279" s="314"/>
      <c r="P279" s="259"/>
      <c r="Q279" s="259"/>
      <c r="R279" s="258"/>
      <c r="S279" s="258"/>
      <c r="T279" s="278" t="s">
        <v>718</v>
      </c>
      <c r="U279" s="268" t="s">
        <v>719</v>
      </c>
      <c r="V279" s="258"/>
      <c r="W279" s="308"/>
      <c r="X279" s="277"/>
      <c r="Y279" s="271"/>
      <c r="Z279" s="271"/>
      <c r="AA279" s="271"/>
    </row>
    <row r="280" spans="1:27" ht="14.25">
      <c r="A280" s="261">
        <f>A279+1</f>
        <v>257</v>
      </c>
      <c r="B280" s="261"/>
      <c r="C280" s="261" t="s">
        <v>54</v>
      </c>
      <c r="D280" s="289" t="s">
        <v>360</v>
      </c>
      <c r="E280" s="261" t="str">
        <f>VLOOKUP(D280,Store_Info_VN!B:P,2,0)</f>
        <v>CONVERSE LE VAN SY</v>
      </c>
      <c r="F280" s="261" t="s">
        <v>56</v>
      </c>
      <c r="G280" s="261" t="str">
        <f>I280&amp;" "&amp;J280&amp;" "&amp;K280</f>
        <v xml:space="preserve">Monitor HP </v>
      </c>
      <c r="H280" s="261">
        <v>1</v>
      </c>
      <c r="I280" s="261" t="s">
        <v>116</v>
      </c>
      <c r="J280" s="261" t="s">
        <v>58</v>
      </c>
      <c r="K280" s="261"/>
      <c r="L280" s="261"/>
      <c r="M280" s="665" t="s">
        <v>725</v>
      </c>
      <c r="N280" s="289"/>
      <c r="O280" s="289"/>
      <c r="P280" s="261"/>
      <c r="Q280" s="261"/>
      <c r="R280" s="261"/>
      <c r="S280" s="261"/>
      <c r="T280" s="666" t="s">
        <v>718</v>
      </c>
      <c r="U280" s="291" t="s">
        <v>719</v>
      </c>
      <c r="V280" s="261"/>
      <c r="W280" s="305"/>
      <c r="X280" s="289"/>
      <c r="Y280" s="293"/>
      <c r="Z280" s="293"/>
      <c r="AA280" s="293"/>
    </row>
    <row r="281" spans="1:27" ht="14.25">
      <c r="A281" s="258">
        <f>A280+1</f>
        <v>258</v>
      </c>
      <c r="B281" s="258"/>
      <c r="C281" s="258" t="s">
        <v>54</v>
      </c>
      <c r="D281" s="277" t="s">
        <v>360</v>
      </c>
      <c r="E281" s="258" t="str">
        <f>VLOOKUP(D281,Store_Info_VN!B:P,2,0)</f>
        <v>CONVERSE LE VAN SY</v>
      </c>
      <c r="F281" s="258" t="s">
        <v>56</v>
      </c>
      <c r="G281" s="258" t="str">
        <f>I281&amp;" "&amp;J281&amp;" "&amp;K281</f>
        <v>Bill Printer Epson TM-82III</v>
      </c>
      <c r="H281" s="258">
        <v>1</v>
      </c>
      <c r="I281" s="258" t="s">
        <v>92</v>
      </c>
      <c r="J281" s="258" t="s">
        <v>93</v>
      </c>
      <c r="K281" s="258" t="s">
        <v>664</v>
      </c>
      <c r="M281" s="615" t="s">
        <v>726</v>
      </c>
      <c r="N281" s="277"/>
      <c r="O281" s="277"/>
      <c r="R281" s="258"/>
      <c r="S281" s="258"/>
      <c r="W281" s="308"/>
      <c r="X281" s="277"/>
    </row>
    <row r="282" spans="1:27" ht="14.25">
      <c r="A282" s="258">
        <f>A281+1</f>
        <v>259</v>
      </c>
      <c r="B282" s="258"/>
      <c r="C282" s="258" t="s">
        <v>54</v>
      </c>
      <c r="D282" s="277" t="s">
        <v>360</v>
      </c>
      <c r="E282" s="258" t="str">
        <f>VLOOKUP(D282,Store_Info_VN!B:P,2,0)</f>
        <v>CONVERSE LE VAN SY</v>
      </c>
      <c r="F282" s="258" t="s">
        <v>56</v>
      </c>
      <c r="G282" s="258" t="str">
        <f>I282&amp;" "&amp;J282&amp;" "&amp;K282</f>
        <v>Scanner datalogic QW2100</v>
      </c>
      <c r="H282" s="258">
        <v>1</v>
      </c>
      <c r="I282" s="258" t="s">
        <v>96</v>
      </c>
      <c r="J282" s="258" t="s">
        <v>683</v>
      </c>
      <c r="K282" s="258" t="s">
        <v>98</v>
      </c>
      <c r="M282" s="615" t="s">
        <v>727</v>
      </c>
      <c r="N282" s="277"/>
      <c r="O282" s="277"/>
      <c r="R282" s="258"/>
      <c r="S282" s="258"/>
      <c r="W282" s="308"/>
      <c r="X282" s="277"/>
    </row>
    <row r="283" spans="1:27" ht="14.25">
      <c r="A283" s="258">
        <f>A282+1</f>
        <v>260</v>
      </c>
      <c r="B283" s="258"/>
      <c r="C283" s="258" t="s">
        <v>54</v>
      </c>
      <c r="D283" s="277" t="s">
        <v>360</v>
      </c>
      <c r="E283" s="258" t="str">
        <f>VLOOKUP(D283,Store_Info_VN!B:P,2,0)</f>
        <v>CONVERSE LE VAN SY</v>
      </c>
      <c r="F283" s="258" t="s">
        <v>56</v>
      </c>
      <c r="G283" s="258" t="str">
        <f>I283&amp;" "&amp;J283&amp;" "&amp;K283</f>
        <v>Pole Display TOPCASH AL-CD1</v>
      </c>
      <c r="H283" s="258">
        <v>1</v>
      </c>
      <c r="I283" s="258" t="s">
        <v>125</v>
      </c>
      <c r="J283" s="258" t="s">
        <v>728</v>
      </c>
      <c r="K283" s="258" t="s">
        <v>155</v>
      </c>
      <c r="M283" s="615" t="s">
        <v>729</v>
      </c>
      <c r="N283" s="277"/>
      <c r="O283" s="277"/>
      <c r="R283" s="258"/>
      <c r="S283" s="258"/>
      <c r="W283" s="308"/>
      <c r="X283" s="277"/>
    </row>
    <row r="284" spans="1:27" ht="14.25">
      <c r="A284" s="258">
        <f>A283+1</f>
        <v>261</v>
      </c>
      <c r="B284" s="258"/>
      <c r="C284" s="258" t="s">
        <v>54</v>
      </c>
      <c r="D284" s="277" t="s">
        <v>360</v>
      </c>
      <c r="E284" s="258" t="str">
        <f>VLOOKUP(D284,Store_Info_VN!B:P,2,0)</f>
        <v>CONVERSE LE VAN SY</v>
      </c>
      <c r="F284" s="258" t="s">
        <v>56</v>
      </c>
      <c r="G284" s="258" t="str">
        <f>I284&amp;" "&amp;J284&amp;" "&amp;K284</f>
        <v>A4 Printer HP Neverstop 1000W</v>
      </c>
      <c r="H284" s="258">
        <v>1</v>
      </c>
      <c r="I284" s="258" t="s">
        <v>99</v>
      </c>
      <c r="J284" s="258" t="s">
        <v>58</v>
      </c>
      <c r="K284" s="258" t="s">
        <v>730</v>
      </c>
      <c r="M284" s="615" t="s">
        <v>731</v>
      </c>
      <c r="N284" s="277"/>
      <c r="O284" s="277"/>
      <c r="R284" s="258"/>
      <c r="S284" s="258"/>
      <c r="W284" s="308"/>
      <c r="X284" s="277"/>
    </row>
    <row r="285" spans="1:27" ht="14.25">
      <c r="A285" s="279">
        <f>A284+1</f>
        <v>262</v>
      </c>
      <c r="B285" s="279"/>
      <c r="C285" s="279" t="s">
        <v>54</v>
      </c>
      <c r="D285" s="303" t="s">
        <v>360</v>
      </c>
      <c r="E285" s="279" t="str">
        <f>VLOOKUP(D285,Store_Info_VN!B:P,2,0)</f>
        <v>CONVERSE LE VAN SY</v>
      </c>
      <c r="F285" s="279" t="s">
        <v>56</v>
      </c>
      <c r="G285" s="279" t="str">
        <f>I285&amp;" "&amp;J285&amp;" "&amp;K285</f>
        <v>Cash Drawer Maken MK-410</v>
      </c>
      <c r="H285" s="279">
        <v>1</v>
      </c>
      <c r="I285" s="279" t="s">
        <v>159</v>
      </c>
      <c r="J285" s="279" t="s">
        <v>230</v>
      </c>
      <c r="K285" s="279" t="s">
        <v>732</v>
      </c>
      <c r="L285" s="279"/>
      <c r="M285" s="662" t="s">
        <v>733</v>
      </c>
      <c r="N285" s="303"/>
      <c r="O285" s="303"/>
      <c r="P285" s="279"/>
      <c r="Q285" s="279"/>
      <c r="R285" s="279"/>
      <c r="S285" s="279"/>
      <c r="T285" s="285"/>
      <c r="U285" s="286"/>
      <c r="V285" s="279"/>
      <c r="W285" s="628"/>
      <c r="X285" s="303"/>
      <c r="Y285" s="284"/>
      <c r="Z285" s="284"/>
      <c r="AA285" s="284"/>
    </row>
    <row r="286" spans="1:27" s="257" customFormat="1" hidden="1">
      <c r="A286" s="259">
        <f>A285+1</f>
        <v>263</v>
      </c>
      <c r="B286" s="259"/>
      <c r="C286" s="259" t="s">
        <v>65</v>
      </c>
      <c r="D286" s="277" t="s">
        <v>385</v>
      </c>
      <c r="E286" s="258" t="str">
        <f>VLOOKUP(D286,Store_Info_VN!B:P,2,0)</f>
        <v>CONVERSE HAI BA TRUNG</v>
      </c>
      <c r="F286" s="258" t="s">
        <v>56</v>
      </c>
      <c r="G286" s="258" t="str">
        <f>I286&amp;" "&amp;J286&amp;" "&amp;K286</f>
        <v>Monitor HP v190</v>
      </c>
      <c r="H286" s="258">
        <v>1</v>
      </c>
      <c r="I286" s="258" t="s">
        <v>116</v>
      </c>
      <c r="J286" s="258" t="s">
        <v>58</v>
      </c>
      <c r="K286" s="258" t="s">
        <v>734</v>
      </c>
      <c r="L286" s="258"/>
      <c r="M286" s="288" t="s">
        <v>725</v>
      </c>
      <c r="N286" s="314"/>
      <c r="O286" s="314"/>
      <c r="P286" s="259"/>
      <c r="Q286" s="259"/>
      <c r="R286" s="258"/>
      <c r="S286" s="258"/>
      <c r="T286" s="278"/>
      <c r="U286" s="268"/>
      <c r="V286" s="258"/>
      <c r="W286" s="308"/>
      <c r="X286" s="277"/>
      <c r="Y286" s="271"/>
      <c r="Z286" s="271"/>
      <c r="AA286" s="271"/>
    </row>
    <row r="287" spans="1:27" s="257" customFormat="1" hidden="1">
      <c r="A287" s="259">
        <f>A286+1</f>
        <v>264</v>
      </c>
      <c r="B287" s="259"/>
      <c r="C287" s="259" t="s">
        <v>65</v>
      </c>
      <c r="D287" s="277" t="s">
        <v>385</v>
      </c>
      <c r="E287" s="258" t="str">
        <f>VLOOKUP(D287,Store_Info_VN!B:P,2,0)</f>
        <v>CONVERSE HAI BA TRUNG</v>
      </c>
      <c r="F287" s="258" t="s">
        <v>56</v>
      </c>
      <c r="G287" s="258" t="str">
        <f>I287&amp;" "&amp;J287&amp;" "&amp;K287</f>
        <v>Bill Printer Epson TM82III</v>
      </c>
      <c r="H287" s="258">
        <v>1</v>
      </c>
      <c r="I287" s="258" t="s">
        <v>92</v>
      </c>
      <c r="J287" s="258" t="s">
        <v>93</v>
      </c>
      <c r="K287" s="258" t="s">
        <v>704</v>
      </c>
      <c r="L287" s="258"/>
      <c r="M287" s="288" t="s">
        <v>726</v>
      </c>
      <c r="N287" s="314"/>
      <c r="O287" s="314"/>
      <c r="P287" s="259"/>
      <c r="Q287" s="259"/>
      <c r="R287" s="258"/>
      <c r="S287" s="258"/>
      <c r="T287" s="278"/>
      <c r="U287" s="268"/>
      <c r="V287" s="258"/>
      <c r="W287" s="308"/>
      <c r="X287" s="277"/>
      <c r="Y287" s="271"/>
      <c r="Z287" s="271"/>
      <c r="AA287" s="271"/>
    </row>
    <row r="288" spans="1:27" s="257" customFormat="1" hidden="1">
      <c r="A288" s="259">
        <f>A287+1</f>
        <v>265</v>
      </c>
      <c r="B288" s="259"/>
      <c r="C288" s="259" t="s">
        <v>65</v>
      </c>
      <c r="D288" s="277" t="s">
        <v>385</v>
      </c>
      <c r="E288" s="258" t="str">
        <f>VLOOKUP(D288,Store_Info_VN!B:P,2,0)</f>
        <v>CONVERSE HAI BA TRUNG</v>
      </c>
      <c r="F288" s="258" t="s">
        <v>56</v>
      </c>
      <c r="G288" s="258" t="str">
        <f>I288&amp;" "&amp;J288&amp;" "&amp;K288</f>
        <v>Scanner Datalogic QW2100</v>
      </c>
      <c r="H288" s="258">
        <v>1</v>
      </c>
      <c r="I288" s="258" t="s">
        <v>96</v>
      </c>
      <c r="J288" s="258" t="s">
        <v>97</v>
      </c>
      <c r="K288" s="258" t="s">
        <v>98</v>
      </c>
      <c r="L288" s="258"/>
      <c r="M288" s="288" t="s">
        <v>727</v>
      </c>
      <c r="N288" s="314"/>
      <c r="O288" s="314"/>
      <c r="P288" s="259"/>
      <c r="Q288" s="259"/>
      <c r="R288" s="258"/>
      <c r="S288" s="258"/>
      <c r="T288" s="278"/>
      <c r="U288" s="268"/>
      <c r="V288" s="258"/>
      <c r="W288" s="308"/>
      <c r="X288" s="277"/>
      <c r="Y288" s="271"/>
      <c r="Z288" s="271"/>
      <c r="AA288" s="271"/>
    </row>
    <row r="289" spans="1:27" s="257" customFormat="1" hidden="1">
      <c r="A289" s="259">
        <f>A288+1</f>
        <v>266</v>
      </c>
      <c r="B289" s="259"/>
      <c r="C289" s="259" t="s">
        <v>65</v>
      </c>
      <c r="D289" s="277" t="s">
        <v>385</v>
      </c>
      <c r="E289" s="258" t="str">
        <f>VLOOKUP(D289,Store_Info_VN!B:P,2,0)</f>
        <v>CONVERSE HAI BA TRUNG</v>
      </c>
      <c r="F289" s="258" t="s">
        <v>56</v>
      </c>
      <c r="G289" s="258" t="str">
        <f>I289&amp;" "&amp;J289&amp;" "&amp;K289</f>
        <v>Pole Display VFD 220V</v>
      </c>
      <c r="H289" s="258">
        <v>1</v>
      </c>
      <c r="I289" s="258" t="s">
        <v>125</v>
      </c>
      <c r="J289" s="258" t="s">
        <v>393</v>
      </c>
      <c r="K289" s="258" t="s">
        <v>735</v>
      </c>
      <c r="L289" s="258"/>
      <c r="M289" s="288" t="s">
        <v>408</v>
      </c>
      <c r="N289" s="314"/>
      <c r="O289" s="314"/>
      <c r="P289" s="259"/>
      <c r="Q289" s="259"/>
      <c r="R289" s="258"/>
      <c r="S289" s="258"/>
      <c r="T289" s="278"/>
      <c r="U289" s="268"/>
      <c r="V289" s="258"/>
      <c r="W289" s="308"/>
      <c r="X289" s="277"/>
      <c r="Y289" s="271"/>
      <c r="Z289" s="271"/>
      <c r="AA289" s="271"/>
    </row>
    <row r="290" spans="1:27" s="257" customFormat="1" hidden="1">
      <c r="A290" s="259">
        <f>A289+1</f>
        <v>267</v>
      </c>
      <c r="B290" s="259"/>
      <c r="C290" s="259" t="s">
        <v>65</v>
      </c>
      <c r="D290" s="277" t="s">
        <v>385</v>
      </c>
      <c r="E290" s="258" t="str">
        <f>VLOOKUP(D290,Store_Info_VN!B:P,2,0)</f>
        <v>CONVERSE HAI BA TRUNG</v>
      </c>
      <c r="F290" s="258" t="s">
        <v>56</v>
      </c>
      <c r="G290" s="258" t="str">
        <f>I290&amp;" "&amp;J290&amp;" "&amp;K290</f>
        <v>A4 Printer Canon LPB 2900</v>
      </c>
      <c r="H290" s="258">
        <v>1</v>
      </c>
      <c r="I290" s="258" t="s">
        <v>99</v>
      </c>
      <c r="J290" s="258" t="s">
        <v>100</v>
      </c>
      <c r="K290" s="258" t="s">
        <v>736</v>
      </c>
      <c r="L290" s="258"/>
      <c r="M290" s="288" t="s">
        <v>410</v>
      </c>
      <c r="N290" s="314"/>
      <c r="O290" s="314"/>
      <c r="P290" s="259"/>
      <c r="Q290" s="259"/>
      <c r="R290" s="258"/>
      <c r="S290" s="258"/>
      <c r="T290" s="278"/>
      <c r="U290" s="268"/>
      <c r="V290" s="258"/>
      <c r="W290" s="308"/>
      <c r="X290" s="277"/>
      <c r="Y290" s="271"/>
      <c r="Z290" s="271"/>
      <c r="AA290" s="271"/>
    </row>
    <row r="291" spans="1:27" s="257" customFormat="1" hidden="1">
      <c r="A291" s="259">
        <f>A290+1</f>
        <v>268</v>
      </c>
      <c r="B291" s="259"/>
      <c r="C291" s="259" t="s">
        <v>65</v>
      </c>
      <c r="D291" s="277" t="s">
        <v>385</v>
      </c>
      <c r="E291" s="258" t="str">
        <f>VLOOKUP(D291,Store_Info_VN!B:P,2,0)</f>
        <v>CONVERSE HAI BA TRUNG</v>
      </c>
      <c r="F291" s="258" t="s">
        <v>56</v>
      </c>
      <c r="G291" s="258" t="str">
        <f>I291&amp;" "&amp;J291&amp;" "&amp;K291</f>
        <v>Cash Drawer Maken Mk-410</v>
      </c>
      <c r="H291" s="258">
        <v>1</v>
      </c>
      <c r="I291" s="258" t="s">
        <v>159</v>
      </c>
      <c r="J291" s="258" t="s">
        <v>230</v>
      </c>
      <c r="K291" s="258" t="s">
        <v>737</v>
      </c>
      <c r="L291" s="258"/>
      <c r="M291" s="288" t="s">
        <v>409</v>
      </c>
      <c r="N291" s="314"/>
      <c r="O291" s="314"/>
      <c r="P291" s="259"/>
      <c r="Q291" s="259"/>
      <c r="R291" s="258"/>
      <c r="S291" s="258"/>
      <c r="T291" s="278"/>
      <c r="U291" s="268"/>
      <c r="V291" s="258"/>
      <c r="W291" s="308"/>
      <c r="X291" s="277"/>
      <c r="Y291" s="271"/>
      <c r="Z291" s="271"/>
      <c r="AA291" s="271"/>
    </row>
    <row r="292" spans="1:27" s="257" customFormat="1" hidden="1">
      <c r="A292" s="259">
        <f>A291+1</f>
        <v>269</v>
      </c>
      <c r="B292" s="259"/>
      <c r="C292" s="259" t="s">
        <v>65</v>
      </c>
      <c r="D292" s="277" t="s">
        <v>381</v>
      </c>
      <c r="E292" s="258" t="str">
        <f>VLOOKUP(D292,Store_Info_VN!B:P,2,0)</f>
        <v>CONVERSE NGUYEN TRAI</v>
      </c>
      <c r="F292" s="258" t="s">
        <v>56</v>
      </c>
      <c r="G292" s="258" t="str">
        <f>I292&amp;" "&amp;J292&amp;" "&amp;K292</f>
        <v>Monitor HP V190</v>
      </c>
      <c r="H292" s="258">
        <v>1</v>
      </c>
      <c r="I292" s="258" t="s">
        <v>116</v>
      </c>
      <c r="J292" s="258" t="s">
        <v>58</v>
      </c>
      <c r="K292" s="258" t="s">
        <v>117</v>
      </c>
      <c r="L292" s="258"/>
      <c r="M292" s="288" t="s">
        <v>738</v>
      </c>
      <c r="N292" s="314"/>
      <c r="O292" s="314"/>
      <c r="P292" s="259"/>
      <c r="Q292" s="259"/>
      <c r="R292" s="258"/>
      <c r="S292" s="258"/>
      <c r="T292" s="278"/>
      <c r="U292" s="268"/>
      <c r="V292" s="258"/>
      <c r="W292" s="308"/>
      <c r="X292" s="277"/>
      <c r="Y292" s="271"/>
      <c r="Z292" s="271"/>
      <c r="AA292" s="271"/>
    </row>
    <row r="293" spans="1:27" s="257" customFormat="1" hidden="1">
      <c r="A293" s="259">
        <f>A292+1</f>
        <v>270</v>
      </c>
      <c r="B293" s="259"/>
      <c r="C293" s="259" t="s">
        <v>65</v>
      </c>
      <c r="D293" s="277" t="s">
        <v>381</v>
      </c>
      <c r="E293" s="258" t="str">
        <f>VLOOKUP(D293,Store_Info_VN!B:P,2,0)</f>
        <v>CONVERSE NGUYEN TRAI</v>
      </c>
      <c r="F293" s="258" t="s">
        <v>56</v>
      </c>
      <c r="G293" s="258" t="str">
        <f>I293&amp;" "&amp;J293&amp;" "&amp;K293</f>
        <v>Bill Printer Xprinter Xp-K300l</v>
      </c>
      <c r="H293" s="258">
        <v>1</v>
      </c>
      <c r="I293" s="258" t="s">
        <v>92</v>
      </c>
      <c r="J293" s="258" t="s">
        <v>353</v>
      </c>
      <c r="K293" s="258" t="s">
        <v>694</v>
      </c>
      <c r="L293" s="258"/>
      <c r="M293" s="288" t="s">
        <v>739</v>
      </c>
      <c r="N293" s="314"/>
      <c r="O293" s="314"/>
      <c r="P293" s="259"/>
      <c r="Q293" s="259"/>
      <c r="R293" s="258"/>
      <c r="S293" s="258"/>
      <c r="T293" s="278"/>
      <c r="U293" s="268"/>
      <c r="V293" s="258"/>
      <c r="W293" s="308"/>
      <c r="X293" s="277"/>
      <c r="Y293" s="271"/>
      <c r="Z293" s="271"/>
      <c r="AA293" s="271"/>
    </row>
    <row r="294" spans="1:27" s="257" customFormat="1" hidden="1">
      <c r="A294" s="259">
        <f>A293+1</f>
        <v>271</v>
      </c>
      <c r="B294" s="259"/>
      <c r="C294" s="259" t="s">
        <v>65</v>
      </c>
      <c r="D294" s="277" t="s">
        <v>381</v>
      </c>
      <c r="E294" s="258" t="str">
        <f>VLOOKUP(D294,Store_Info_VN!B:P,2,0)</f>
        <v>CONVERSE NGUYEN TRAI</v>
      </c>
      <c r="F294" s="258" t="s">
        <v>56</v>
      </c>
      <c r="G294" s="258" t="str">
        <f>I294&amp;" "&amp;J294&amp;" "&amp;K294</f>
        <v>Scanner datalogic QW2100</v>
      </c>
      <c r="H294" s="258">
        <v>1</v>
      </c>
      <c r="I294" s="258" t="s">
        <v>96</v>
      </c>
      <c r="J294" s="258" t="s">
        <v>683</v>
      </c>
      <c r="K294" s="258" t="s">
        <v>98</v>
      </c>
      <c r="L294" s="258"/>
      <c r="M294" s="288" t="s">
        <v>433</v>
      </c>
      <c r="N294" s="314"/>
      <c r="O294" s="314"/>
      <c r="P294" s="259"/>
      <c r="Q294" s="259"/>
      <c r="R294" s="258"/>
      <c r="S294" s="258"/>
      <c r="T294" s="278"/>
      <c r="U294" s="268"/>
      <c r="V294" s="258"/>
      <c r="W294" s="308"/>
      <c r="X294" s="277"/>
      <c r="Y294" s="271"/>
      <c r="Z294" s="271"/>
      <c r="AA294" s="271"/>
    </row>
    <row r="295" spans="1:27" s="257" customFormat="1" hidden="1">
      <c r="A295" s="259">
        <f>A294+1</f>
        <v>272</v>
      </c>
      <c r="B295" s="259"/>
      <c r="C295" s="259" t="s">
        <v>65</v>
      </c>
      <c r="D295" s="277" t="s">
        <v>381</v>
      </c>
      <c r="E295" s="258" t="str">
        <f>VLOOKUP(D295,Store_Info_VN!B:P,2,0)</f>
        <v>CONVERSE NGUYEN TRAI</v>
      </c>
      <c r="F295" s="258" t="s">
        <v>56</v>
      </c>
      <c r="G295" s="258" t="str">
        <f>I295&amp;" "&amp;J295&amp;" "&amp;K295</f>
        <v xml:space="preserve">Pole Display Customer </v>
      </c>
      <c r="H295" s="258">
        <v>1</v>
      </c>
      <c r="I295" s="258" t="s">
        <v>125</v>
      </c>
      <c r="J295" s="258" t="s">
        <v>689</v>
      </c>
      <c r="K295" s="258"/>
      <c r="L295" s="258"/>
      <c r="M295" s="288" t="s">
        <v>740</v>
      </c>
      <c r="N295" s="314"/>
      <c r="O295" s="314"/>
      <c r="P295" s="259"/>
      <c r="Q295" s="259"/>
      <c r="R295" s="258"/>
      <c r="S295" s="258"/>
      <c r="T295" s="278"/>
      <c r="U295" s="268"/>
      <c r="V295" s="258"/>
      <c r="W295" s="308"/>
      <c r="X295" s="277"/>
      <c r="Y295" s="271"/>
      <c r="Z295" s="271"/>
      <c r="AA295" s="271"/>
    </row>
    <row r="296" spans="1:27" s="257" customFormat="1" ht="14.25" hidden="1">
      <c r="A296" s="259">
        <f>A295+1</f>
        <v>273</v>
      </c>
      <c r="B296" s="259"/>
      <c r="C296" s="259" t="s">
        <v>65</v>
      </c>
      <c r="D296" s="277" t="s">
        <v>381</v>
      </c>
      <c r="E296" s="258" t="str">
        <f>VLOOKUP(D296,Store_Info_VN!B:P,2,0)</f>
        <v>CONVERSE NGUYEN TRAI</v>
      </c>
      <c r="F296" s="258" t="s">
        <v>56</v>
      </c>
      <c r="G296" s="258"/>
      <c r="H296" s="258">
        <v>1</v>
      </c>
      <c r="I296" s="258" t="s">
        <v>99</v>
      </c>
      <c r="J296" s="258" t="s">
        <v>58</v>
      </c>
      <c r="K296" s="258" t="s">
        <v>662</v>
      </c>
      <c r="L296" s="258"/>
      <c r="M296" s="288" t="s">
        <v>741</v>
      </c>
      <c r="N296" s="314"/>
      <c r="O296" s="314"/>
      <c r="P296" s="259"/>
      <c r="Q296" s="259"/>
      <c r="R296" s="258"/>
      <c r="S296" s="258"/>
      <c r="T296" s="278"/>
      <c r="U296" s="268"/>
      <c r="V296" s="258"/>
      <c r="W296" s="308"/>
      <c r="X296" s="277"/>
      <c r="Y296" s="271"/>
      <c r="Z296" s="271"/>
      <c r="AA296" s="271"/>
    </row>
    <row r="297" spans="1:27" s="257" customFormat="1" ht="28.5" hidden="1">
      <c r="A297" s="259">
        <f>A296+1</f>
        <v>274</v>
      </c>
      <c r="B297" s="259"/>
      <c r="C297" s="259" t="s">
        <v>65</v>
      </c>
      <c r="D297" s="277" t="s">
        <v>381</v>
      </c>
      <c r="E297" s="258" t="str">
        <f>VLOOKUP(D297,Store_Info_VN!B:P,2,0)</f>
        <v>CONVERSE NGUYEN TRAI</v>
      </c>
      <c r="F297" s="258" t="s">
        <v>56</v>
      </c>
      <c r="G297" s="258" t="str">
        <f>I296&amp;" "&amp;J296&amp;" "&amp;K296</f>
        <v>A4 Printer HP Neverstop laser 1000w</v>
      </c>
      <c r="H297" s="258">
        <v>1</v>
      </c>
      <c r="I297" s="258" t="s">
        <v>159</v>
      </c>
      <c r="J297" s="258" t="s">
        <v>667</v>
      </c>
      <c r="K297" s="258" t="s">
        <v>668</v>
      </c>
      <c r="L297" s="258"/>
      <c r="M297" s="288" t="s">
        <v>742</v>
      </c>
      <c r="N297" s="314"/>
      <c r="O297" s="314"/>
      <c r="P297" s="259"/>
      <c r="Q297" s="259"/>
      <c r="R297" s="258"/>
      <c r="S297" s="258"/>
      <c r="T297" s="278"/>
      <c r="U297" s="268"/>
      <c r="V297" s="258"/>
      <c r="W297" s="308"/>
      <c r="X297" s="277"/>
      <c r="Y297" s="271"/>
      <c r="Z297" s="271"/>
      <c r="AA297" s="271"/>
    </row>
    <row r="298" spans="1:27" s="257" customFormat="1" hidden="1">
      <c r="A298" s="259">
        <f>A297+1</f>
        <v>275</v>
      </c>
      <c r="B298" s="259"/>
      <c r="C298" s="259" t="s">
        <v>65</v>
      </c>
      <c r="D298" s="277" t="s">
        <v>381</v>
      </c>
      <c r="E298" s="258" t="str">
        <f>VLOOKUP(D298,Store_Info_VN!B:P,2,0)</f>
        <v>CONVERSE NGUYEN TRAI</v>
      </c>
      <c r="F298" s="258" t="s">
        <v>56</v>
      </c>
      <c r="G298" s="258" t="str">
        <f>I298&amp;" "&amp;J298&amp;" "&amp;K298</f>
        <v xml:space="preserve">Network Switch  MERCUSYS </v>
      </c>
      <c r="H298" s="258">
        <v>1</v>
      </c>
      <c r="I298" s="258" t="s">
        <v>172</v>
      </c>
      <c r="J298" s="258" t="s">
        <v>692</v>
      </c>
      <c r="K298" s="258"/>
      <c r="L298" s="258"/>
      <c r="M298" s="288" t="s">
        <v>743</v>
      </c>
      <c r="N298" s="314"/>
      <c r="O298" s="314"/>
      <c r="P298" s="259"/>
      <c r="Q298" s="259"/>
      <c r="R298" s="258"/>
      <c r="S298" s="258"/>
      <c r="T298" s="278"/>
      <c r="U298" s="268"/>
      <c r="V298" s="258"/>
      <c r="W298" s="308"/>
      <c r="X298" s="277"/>
      <c r="Y298" s="271"/>
      <c r="Z298" s="271"/>
      <c r="AA298" s="271"/>
    </row>
    <row r="299" spans="1:27" s="257" customFormat="1" hidden="1">
      <c r="A299" s="259">
        <f>A298+1</f>
        <v>276</v>
      </c>
      <c r="B299" s="259"/>
      <c r="C299" s="259" t="s">
        <v>65</v>
      </c>
      <c r="D299" s="277" t="s">
        <v>415</v>
      </c>
      <c r="E299" s="258" t="str">
        <f>VLOOKUP(D299,Store_Info_VN!B:P,2,0)</f>
        <v>CONVERSE AEON BINH TAN</v>
      </c>
      <c r="F299" s="258" t="s">
        <v>56</v>
      </c>
      <c r="G299" s="258" t="str">
        <f>I299&amp;" "&amp;J299&amp;" "&amp;K299</f>
        <v xml:space="preserve">Monitor HP </v>
      </c>
      <c r="H299" s="258">
        <v>1</v>
      </c>
      <c r="I299" s="258" t="s">
        <v>116</v>
      </c>
      <c r="J299" s="258" t="s">
        <v>58</v>
      </c>
      <c r="K299" s="258"/>
      <c r="L299" s="258"/>
      <c r="M299" s="288" t="s">
        <v>419</v>
      </c>
      <c r="N299" s="314"/>
      <c r="O299" s="314"/>
      <c r="P299" s="259"/>
      <c r="Q299" s="259"/>
      <c r="R299" s="258"/>
      <c r="S299" s="258"/>
      <c r="T299" s="278"/>
      <c r="U299" s="268"/>
      <c r="V299" s="258"/>
      <c r="W299" s="308"/>
      <c r="X299" s="277"/>
      <c r="Y299" s="271"/>
      <c r="Z299" s="271"/>
      <c r="AA299" s="271"/>
    </row>
    <row r="300" spans="1:27" s="257" customFormat="1" hidden="1">
      <c r="A300" s="259">
        <f>A299+1</f>
        <v>277</v>
      </c>
      <c r="B300" s="259"/>
      <c r="C300" s="259" t="s">
        <v>65</v>
      </c>
      <c r="D300" s="277" t="s">
        <v>415</v>
      </c>
      <c r="E300" s="258" t="str">
        <f>VLOOKUP(D300,Store_Info_VN!B:P,2,0)</f>
        <v>CONVERSE AEON BINH TAN</v>
      </c>
      <c r="F300" s="258" t="s">
        <v>56</v>
      </c>
      <c r="G300" s="258" t="str">
        <f>I300&amp;" "&amp;J300&amp;" "&amp;K300</f>
        <v>Bill Printer Epson TM-T82III</v>
      </c>
      <c r="H300" s="258">
        <v>1</v>
      </c>
      <c r="I300" s="258" t="s">
        <v>92</v>
      </c>
      <c r="J300" s="258" t="s">
        <v>93</v>
      </c>
      <c r="K300" s="258" t="s">
        <v>94</v>
      </c>
      <c r="L300" s="258"/>
      <c r="M300" s="288" t="s">
        <v>744</v>
      </c>
      <c r="N300" s="314"/>
      <c r="O300" s="314"/>
      <c r="P300" s="259"/>
      <c r="Q300" s="259"/>
      <c r="R300" s="258"/>
      <c r="S300" s="258"/>
      <c r="T300" s="278"/>
      <c r="U300" s="268"/>
      <c r="V300" s="258"/>
      <c r="W300" s="308"/>
      <c r="X300" s="277"/>
      <c r="Y300" s="271"/>
      <c r="Z300" s="271"/>
      <c r="AA300" s="271"/>
    </row>
    <row r="301" spans="1:27" s="257" customFormat="1" hidden="1">
      <c r="A301" s="259">
        <f>A300+1</f>
        <v>278</v>
      </c>
      <c r="B301" s="259"/>
      <c r="C301" s="259" t="s">
        <v>65</v>
      </c>
      <c r="D301" s="277" t="s">
        <v>415</v>
      </c>
      <c r="E301" s="258" t="str">
        <f>VLOOKUP(D301,Store_Info_VN!B:P,2,0)</f>
        <v>CONVERSE AEON BINH TAN</v>
      </c>
      <c r="F301" s="258" t="s">
        <v>56</v>
      </c>
      <c r="G301" s="258" t="str">
        <f>I301&amp;" "&amp;J301&amp;" "&amp;K301</f>
        <v>Scanner Datalogic QW2100</v>
      </c>
      <c r="H301" s="258">
        <v>1</v>
      </c>
      <c r="I301" s="258" t="s">
        <v>96</v>
      </c>
      <c r="J301" s="258" t="s">
        <v>97</v>
      </c>
      <c r="K301" s="258" t="s">
        <v>98</v>
      </c>
      <c r="L301" s="258"/>
      <c r="M301" s="288" t="s">
        <v>745</v>
      </c>
      <c r="N301" s="314"/>
      <c r="O301" s="314"/>
      <c r="P301" s="259"/>
      <c r="Q301" s="259"/>
      <c r="R301" s="258"/>
      <c r="S301" s="258"/>
      <c r="T301" s="278"/>
      <c r="U301" s="268"/>
      <c r="V301" s="258"/>
      <c r="W301" s="308"/>
      <c r="X301" s="277"/>
      <c r="Y301" s="271"/>
      <c r="Z301" s="271"/>
      <c r="AA301" s="271"/>
    </row>
    <row r="302" spans="1:27" s="257" customFormat="1" hidden="1">
      <c r="A302" s="259">
        <f>A301+1</f>
        <v>279</v>
      </c>
      <c r="B302" s="259"/>
      <c r="C302" s="259" t="s">
        <v>65</v>
      </c>
      <c r="D302" s="277" t="s">
        <v>415</v>
      </c>
      <c r="E302" s="258" t="str">
        <f>VLOOKUP(D302,Store_Info_VN!B:P,2,0)</f>
        <v>CONVERSE AEON BINH TAN</v>
      </c>
      <c r="F302" s="258" t="s">
        <v>56</v>
      </c>
      <c r="G302" s="258" t="str">
        <f>I302&amp;" "&amp;J302&amp;" "&amp;K302</f>
        <v>Pole Display  VFD220V-I</v>
      </c>
      <c r="H302" s="258">
        <v>1</v>
      </c>
      <c r="I302" s="258" t="s">
        <v>125</v>
      </c>
      <c r="J302" s="258"/>
      <c r="K302" s="258" t="s">
        <v>424</v>
      </c>
      <c r="L302" s="258"/>
      <c r="M302" s="288" t="s">
        <v>746</v>
      </c>
      <c r="N302" s="314"/>
      <c r="O302" s="314"/>
      <c r="P302" s="259"/>
      <c r="Q302" s="259"/>
      <c r="R302" s="258"/>
      <c r="S302" s="258"/>
      <c r="T302" s="278"/>
      <c r="U302" s="268"/>
      <c r="V302" s="258"/>
      <c r="W302" s="308"/>
      <c r="X302" s="277"/>
      <c r="Y302" s="271"/>
      <c r="Z302" s="271"/>
      <c r="AA302" s="271"/>
    </row>
    <row r="303" spans="1:27" s="257" customFormat="1" hidden="1">
      <c r="A303" s="259">
        <f>A302+1</f>
        <v>280</v>
      </c>
      <c r="B303" s="259"/>
      <c r="C303" s="259" t="s">
        <v>65</v>
      </c>
      <c r="D303" s="277" t="s">
        <v>415</v>
      </c>
      <c r="E303" s="258" t="str">
        <f>VLOOKUP(D303,Store_Info_VN!B:P,2,0)</f>
        <v>CONVERSE AEON BINH TAN</v>
      </c>
      <c r="F303" s="258" t="s">
        <v>56</v>
      </c>
      <c r="G303" s="258" t="str">
        <f>I303&amp;" "&amp;J303&amp;" "&amp;K303</f>
        <v>A4 Printer Canon LBP 2900</v>
      </c>
      <c r="H303" s="258">
        <v>1</v>
      </c>
      <c r="I303" s="258" t="s">
        <v>99</v>
      </c>
      <c r="J303" s="258" t="s">
        <v>100</v>
      </c>
      <c r="K303" s="258" t="s">
        <v>101</v>
      </c>
      <c r="L303" s="258"/>
      <c r="M303" s="288" t="s">
        <v>747</v>
      </c>
      <c r="N303" s="314"/>
      <c r="O303" s="314"/>
      <c r="P303" s="259"/>
      <c r="Q303" s="259"/>
      <c r="R303" s="258"/>
      <c r="S303" s="258"/>
      <c r="T303" s="278"/>
      <c r="U303" s="268"/>
      <c r="V303" s="258"/>
      <c r="W303" s="308"/>
      <c r="X303" s="277"/>
      <c r="Y303" s="271"/>
      <c r="Z303" s="271"/>
      <c r="AA303" s="271"/>
    </row>
    <row r="304" spans="1:27" s="257" customFormat="1" hidden="1">
      <c r="A304" s="259">
        <f>A303+1</f>
        <v>281</v>
      </c>
      <c r="B304" s="259"/>
      <c r="C304" s="259" t="s">
        <v>65</v>
      </c>
      <c r="D304" s="277" t="s">
        <v>415</v>
      </c>
      <c r="E304" s="258" t="str">
        <f>VLOOKUP(D304,Store_Info_VN!B:P,2,0)</f>
        <v>CONVERSE AEON BINH TAN</v>
      </c>
      <c r="F304" s="258" t="s">
        <v>56</v>
      </c>
      <c r="G304" s="258" t="str">
        <f>I304&amp;" "&amp;J304&amp;" "&amp;K304</f>
        <v>Cash Drawer Maken MK410</v>
      </c>
      <c r="H304" s="258">
        <v>1</v>
      </c>
      <c r="I304" s="258" t="s">
        <v>159</v>
      </c>
      <c r="J304" s="258" t="s">
        <v>230</v>
      </c>
      <c r="K304" s="258" t="s">
        <v>231</v>
      </c>
      <c r="L304" s="258"/>
      <c r="M304" s="288" t="s">
        <v>748</v>
      </c>
      <c r="N304" s="314"/>
      <c r="O304" s="314"/>
      <c r="P304" s="259"/>
      <c r="Q304" s="259"/>
      <c r="R304" s="258"/>
      <c r="S304" s="258"/>
      <c r="T304" s="278"/>
      <c r="U304" s="268"/>
      <c r="V304" s="258"/>
      <c r="W304" s="308"/>
      <c r="X304" s="277"/>
      <c r="Y304" s="271"/>
      <c r="Z304" s="271"/>
      <c r="AA304" s="271"/>
    </row>
    <row r="305" spans="1:27" s="257" customFormat="1" hidden="1">
      <c r="A305" s="259">
        <f>A304+1</f>
        <v>282</v>
      </c>
      <c r="B305" s="259"/>
      <c r="C305" s="259" t="s">
        <v>65</v>
      </c>
      <c r="D305" s="277" t="s">
        <v>541</v>
      </c>
      <c r="E305" s="258" t="str">
        <f>VLOOKUP(D305,Store_Info_VN!B:P,2,0)</f>
        <v>CONVERSE CFS QUANG TRUNG</v>
      </c>
      <c r="F305" s="258" t="s">
        <v>56</v>
      </c>
      <c r="G305" s="258" t="str">
        <f>I305&amp;" "&amp;J305&amp;" "&amp;K305</f>
        <v>Monitor HP LCD V20</v>
      </c>
      <c r="H305" s="258">
        <v>1</v>
      </c>
      <c r="I305" s="258" t="s">
        <v>116</v>
      </c>
      <c r="J305" s="258" t="s">
        <v>58</v>
      </c>
      <c r="K305" s="258" t="s">
        <v>749</v>
      </c>
      <c r="L305" s="258"/>
      <c r="M305" s="288" t="s">
        <v>750</v>
      </c>
      <c r="N305" s="314"/>
      <c r="O305" s="314"/>
      <c r="P305" s="259"/>
      <c r="Q305" s="259"/>
      <c r="R305" s="258"/>
      <c r="S305" s="258"/>
      <c r="T305" s="278"/>
      <c r="U305" s="268"/>
      <c r="V305" s="258"/>
      <c r="W305" s="308"/>
      <c r="X305" s="277"/>
      <c r="Y305" s="271"/>
      <c r="Z305" s="271"/>
      <c r="AA305" s="271"/>
    </row>
    <row r="306" spans="1:27" s="257" customFormat="1" hidden="1">
      <c r="A306" s="259">
        <f>A305+1</f>
        <v>283</v>
      </c>
      <c r="B306" s="259"/>
      <c r="C306" s="259" t="s">
        <v>65</v>
      </c>
      <c r="D306" s="277" t="s">
        <v>541</v>
      </c>
      <c r="E306" s="258" t="str">
        <f>VLOOKUP(D306,Store_Info_VN!B:P,2,0)</f>
        <v>CONVERSE CFS QUANG TRUNG</v>
      </c>
      <c r="F306" s="258" t="s">
        <v>56</v>
      </c>
      <c r="G306" s="258" t="str">
        <f>I306&amp;" "&amp;J306&amp;" "&amp;K306</f>
        <v>Monitor HP LCD V20</v>
      </c>
      <c r="H306" s="258">
        <v>1</v>
      </c>
      <c r="I306" s="258" t="s">
        <v>116</v>
      </c>
      <c r="J306" s="258" t="s">
        <v>58</v>
      </c>
      <c r="K306" s="258" t="s">
        <v>749</v>
      </c>
      <c r="L306" s="258"/>
      <c r="M306" s="288" t="s">
        <v>751</v>
      </c>
      <c r="N306" s="314"/>
      <c r="O306" s="314"/>
      <c r="P306" s="259"/>
      <c r="Q306" s="259"/>
      <c r="R306" s="258"/>
      <c r="S306" s="258"/>
      <c r="T306" s="278"/>
      <c r="U306" s="268"/>
      <c r="V306" s="258"/>
      <c r="W306" s="308"/>
      <c r="X306" s="277"/>
      <c r="Y306" s="271"/>
      <c r="Z306" s="271"/>
      <c r="AA306" s="271"/>
    </row>
    <row r="307" spans="1:27" s="257" customFormat="1" hidden="1">
      <c r="A307" s="259">
        <f>A306+1</f>
        <v>284</v>
      </c>
      <c r="B307" s="259"/>
      <c r="C307" s="259" t="s">
        <v>65</v>
      </c>
      <c r="D307" s="277" t="s">
        <v>541</v>
      </c>
      <c r="E307" s="258" t="str">
        <f>VLOOKUP(D307,Store_Info_VN!B:P,2,0)</f>
        <v>CONVERSE CFS QUANG TRUNG</v>
      </c>
      <c r="F307" s="258" t="s">
        <v>56</v>
      </c>
      <c r="G307" s="258" t="str">
        <f>I307&amp;" "&amp;J307&amp;" "&amp;K307</f>
        <v>Monitor HP LCD V20</v>
      </c>
      <c r="H307" s="258">
        <v>1</v>
      </c>
      <c r="I307" s="258" t="s">
        <v>116</v>
      </c>
      <c r="J307" s="258" t="s">
        <v>58</v>
      </c>
      <c r="K307" s="258" t="s">
        <v>749</v>
      </c>
      <c r="L307" s="258"/>
      <c r="M307" s="288" t="s">
        <v>752</v>
      </c>
      <c r="N307" s="314"/>
      <c r="O307" s="314"/>
      <c r="P307" s="259"/>
      <c r="Q307" s="259"/>
      <c r="R307" s="258"/>
      <c r="S307" s="258"/>
      <c r="T307" s="278"/>
      <c r="U307" s="268"/>
      <c r="V307" s="258"/>
      <c r="W307" s="308"/>
      <c r="X307" s="277"/>
      <c r="Y307" s="271"/>
      <c r="Z307" s="271"/>
      <c r="AA307" s="271"/>
    </row>
    <row r="308" spans="1:27" s="257" customFormat="1" hidden="1">
      <c r="A308" s="259">
        <f>A307+1</f>
        <v>285</v>
      </c>
      <c r="B308" s="259"/>
      <c r="C308" s="259" t="s">
        <v>65</v>
      </c>
      <c r="D308" s="277" t="s">
        <v>541</v>
      </c>
      <c r="E308" s="258" t="str">
        <f>VLOOKUP(D308,Store_Info_VN!B:P,2,0)</f>
        <v>CONVERSE CFS QUANG TRUNG</v>
      </c>
      <c r="F308" s="258" t="s">
        <v>56</v>
      </c>
      <c r="G308" s="258" t="str">
        <f>I308&amp;" "&amp;J308&amp;" "&amp;K308</f>
        <v>Bill Printer Epson TM-82III</v>
      </c>
      <c r="H308" s="258">
        <v>1</v>
      </c>
      <c r="I308" s="258" t="s">
        <v>92</v>
      </c>
      <c r="J308" s="258" t="s">
        <v>93</v>
      </c>
      <c r="K308" s="258" t="s">
        <v>664</v>
      </c>
      <c r="L308" s="258"/>
      <c r="M308" s="288" t="s">
        <v>753</v>
      </c>
      <c r="N308" s="314"/>
      <c r="O308" s="314"/>
      <c r="P308" s="259"/>
      <c r="Q308" s="259"/>
      <c r="R308" s="258"/>
      <c r="S308" s="258"/>
      <c r="T308" s="278"/>
      <c r="U308" s="268"/>
      <c r="V308" s="258"/>
      <c r="W308" s="308"/>
      <c r="X308" s="277"/>
      <c r="Y308" s="271"/>
      <c r="Z308" s="271"/>
      <c r="AA308" s="271"/>
    </row>
    <row r="309" spans="1:27" s="257" customFormat="1" hidden="1">
      <c r="A309" s="259">
        <f>A308+1</f>
        <v>286</v>
      </c>
      <c r="B309" s="259"/>
      <c r="C309" s="259" t="s">
        <v>65</v>
      </c>
      <c r="D309" s="277" t="s">
        <v>541</v>
      </c>
      <c r="E309" s="258" t="str">
        <f>VLOOKUP(D309,Store_Info_VN!B:P,2,0)</f>
        <v>CONVERSE CFS QUANG TRUNG</v>
      </c>
      <c r="F309" s="258" t="s">
        <v>56</v>
      </c>
      <c r="G309" s="258" t="str">
        <f>I309&amp;" "&amp;J309&amp;" "&amp;K309</f>
        <v>Bill Printer Epson TM-82III</v>
      </c>
      <c r="H309" s="258">
        <v>1</v>
      </c>
      <c r="I309" s="258" t="s">
        <v>92</v>
      </c>
      <c r="J309" s="258" t="s">
        <v>93</v>
      </c>
      <c r="K309" s="258" t="s">
        <v>664</v>
      </c>
      <c r="L309" s="258"/>
      <c r="M309" s="288" t="s">
        <v>754</v>
      </c>
      <c r="N309" s="314"/>
      <c r="O309" s="314"/>
      <c r="P309" s="259"/>
      <c r="Q309" s="259"/>
      <c r="R309" s="258"/>
      <c r="S309" s="258"/>
      <c r="T309" s="278"/>
      <c r="U309" s="268"/>
      <c r="V309" s="258"/>
      <c r="W309" s="308"/>
      <c r="X309" s="277"/>
      <c r="Y309" s="271"/>
      <c r="Z309" s="271"/>
      <c r="AA309" s="271"/>
    </row>
    <row r="310" spans="1:27" s="257" customFormat="1" hidden="1">
      <c r="A310" s="259">
        <f>A309+1</f>
        <v>287</v>
      </c>
      <c r="B310" s="259"/>
      <c r="C310" s="259" t="s">
        <v>65</v>
      </c>
      <c r="D310" s="277" t="s">
        <v>541</v>
      </c>
      <c r="E310" s="258" t="str">
        <f>VLOOKUP(D310,Store_Info_VN!B:P,2,0)</f>
        <v>CONVERSE CFS QUANG TRUNG</v>
      </c>
      <c r="F310" s="258" t="s">
        <v>56</v>
      </c>
      <c r="G310" s="258" t="str">
        <f>I310&amp;" "&amp;J310&amp;" "&amp;K310</f>
        <v>Scanner Datalogic QW2100</v>
      </c>
      <c r="H310" s="258">
        <v>1</v>
      </c>
      <c r="I310" s="258" t="s">
        <v>96</v>
      </c>
      <c r="J310" s="258" t="s">
        <v>97</v>
      </c>
      <c r="K310" s="258" t="s">
        <v>98</v>
      </c>
      <c r="L310" s="258"/>
      <c r="M310" s="288" t="s">
        <v>755</v>
      </c>
      <c r="N310" s="314"/>
      <c r="O310" s="314"/>
      <c r="P310" s="259"/>
      <c r="Q310" s="259"/>
      <c r="R310" s="258"/>
      <c r="S310" s="258"/>
      <c r="T310" s="278"/>
      <c r="U310" s="268"/>
      <c r="V310" s="258"/>
      <c r="W310" s="308"/>
      <c r="X310" s="277"/>
      <c r="Y310" s="271"/>
      <c r="Z310" s="271"/>
      <c r="AA310" s="271"/>
    </row>
    <row r="311" spans="1:27" s="257" customFormat="1" hidden="1">
      <c r="A311" s="259">
        <f>A310+1</f>
        <v>288</v>
      </c>
      <c r="B311" s="259"/>
      <c r="C311" s="259" t="s">
        <v>65</v>
      </c>
      <c r="D311" s="277" t="s">
        <v>541</v>
      </c>
      <c r="E311" s="258" t="str">
        <f>VLOOKUP(D311,Store_Info_VN!B:P,2,0)</f>
        <v>CONVERSE CFS QUANG TRUNG</v>
      </c>
      <c r="F311" s="258" t="s">
        <v>56</v>
      </c>
      <c r="G311" s="258" t="str">
        <f>I311&amp;" "&amp;J311&amp;" "&amp;K311</f>
        <v>Scanner Datalogic QW2100</v>
      </c>
      <c r="H311" s="258">
        <v>1</v>
      </c>
      <c r="I311" s="258" t="s">
        <v>96</v>
      </c>
      <c r="J311" s="258" t="s">
        <v>97</v>
      </c>
      <c r="K311" s="258" t="s">
        <v>98</v>
      </c>
      <c r="L311" s="258"/>
      <c r="M311" s="288" t="s">
        <v>756</v>
      </c>
      <c r="N311" s="314"/>
      <c r="O311" s="314"/>
      <c r="P311" s="259"/>
      <c r="Q311" s="259"/>
      <c r="R311" s="258"/>
      <c r="S311" s="258"/>
      <c r="T311" s="278"/>
      <c r="U311" s="268"/>
      <c r="V311" s="258"/>
      <c r="W311" s="308"/>
      <c r="X311" s="277"/>
      <c r="Y311" s="271"/>
      <c r="Z311" s="271"/>
      <c r="AA311" s="271"/>
    </row>
    <row r="312" spans="1:27" s="257" customFormat="1" hidden="1">
      <c r="A312" s="259">
        <f>A311+1</f>
        <v>289</v>
      </c>
      <c r="B312" s="259"/>
      <c r="C312" s="259" t="s">
        <v>65</v>
      </c>
      <c r="D312" s="277" t="s">
        <v>541</v>
      </c>
      <c r="E312" s="258" t="str">
        <f>VLOOKUP(D312,Store_Info_VN!B:P,2,0)</f>
        <v>CONVERSE CFS QUANG TRUNG</v>
      </c>
      <c r="F312" s="258" t="s">
        <v>56</v>
      </c>
      <c r="G312" s="258" t="str">
        <f>I312&amp;" "&amp;J312&amp;" "&amp;K312</f>
        <v>A4 Printer Canon LBP 2900</v>
      </c>
      <c r="H312" s="258">
        <v>1</v>
      </c>
      <c r="I312" s="258" t="s">
        <v>99</v>
      </c>
      <c r="J312" s="258" t="s">
        <v>100</v>
      </c>
      <c r="K312" s="258" t="s">
        <v>101</v>
      </c>
      <c r="L312" s="258"/>
      <c r="M312" s="288" t="s">
        <v>757</v>
      </c>
      <c r="N312" s="314"/>
      <c r="O312" s="314"/>
      <c r="P312" s="259"/>
      <c r="Q312" s="259"/>
      <c r="R312" s="258"/>
      <c r="S312" s="258"/>
      <c r="T312" s="278"/>
      <c r="U312" s="268"/>
      <c r="V312" s="258"/>
      <c r="W312" s="308"/>
      <c r="X312" s="277"/>
      <c r="Y312" s="271"/>
      <c r="Z312" s="271"/>
      <c r="AA312" s="271"/>
    </row>
    <row r="313" spans="1:27" s="257" customFormat="1" hidden="1">
      <c r="A313" s="259">
        <f>A312+1</f>
        <v>290</v>
      </c>
      <c r="B313" s="259"/>
      <c r="C313" s="259" t="s">
        <v>65</v>
      </c>
      <c r="D313" s="277" t="s">
        <v>541</v>
      </c>
      <c r="E313" s="258" t="str">
        <f>VLOOKUP(D313,Store_Info_VN!B:P,2,0)</f>
        <v>CONVERSE CFS QUANG TRUNG</v>
      </c>
      <c r="F313" s="258" t="s">
        <v>56</v>
      </c>
      <c r="G313" s="258" t="str">
        <f>I313&amp;" "&amp;J313&amp;" "&amp;K313</f>
        <v>Cash Drawer Maken MK410</v>
      </c>
      <c r="H313" s="258">
        <v>1</v>
      </c>
      <c r="I313" s="258" t="s">
        <v>159</v>
      </c>
      <c r="J313" s="258" t="s">
        <v>230</v>
      </c>
      <c r="K313" s="258" t="s">
        <v>231</v>
      </c>
      <c r="L313" s="258"/>
      <c r="M313" s="288" t="s">
        <v>758</v>
      </c>
      <c r="N313" s="314"/>
      <c r="O313" s="314"/>
      <c r="P313" s="259"/>
      <c r="Q313" s="259"/>
      <c r="R313" s="258"/>
      <c r="S313" s="258"/>
      <c r="T313" s="278"/>
      <c r="U313" s="268"/>
      <c r="V313" s="258"/>
      <c r="W313" s="308"/>
      <c r="X313" s="277"/>
      <c r="Y313" s="271"/>
      <c r="Z313" s="271"/>
      <c r="AA313" s="271"/>
    </row>
    <row r="314" spans="1:27" s="257" customFormat="1" hidden="1">
      <c r="A314" s="259">
        <f>A313+1</f>
        <v>291</v>
      </c>
      <c r="B314" s="259"/>
      <c r="C314" s="259" t="s">
        <v>65</v>
      </c>
      <c r="D314" s="277" t="s">
        <v>541</v>
      </c>
      <c r="E314" s="258" t="str">
        <f>VLOOKUP(D314,Store_Info_VN!B:P,2,0)</f>
        <v>CONVERSE CFS QUANG TRUNG</v>
      </c>
      <c r="F314" s="258" t="s">
        <v>56</v>
      </c>
      <c r="G314" s="258" t="str">
        <f>I314&amp;" "&amp;J314&amp;" "&amp;K314</f>
        <v>Pole Display BIRCH DSP-V9</v>
      </c>
      <c r="H314" s="258">
        <v>1</v>
      </c>
      <c r="I314" s="258" t="s">
        <v>125</v>
      </c>
      <c r="J314" s="258" t="s">
        <v>759</v>
      </c>
      <c r="K314" s="258" t="s">
        <v>558</v>
      </c>
      <c r="L314" s="258"/>
      <c r="M314" s="288" t="s">
        <v>760</v>
      </c>
      <c r="N314" s="314"/>
      <c r="O314" s="314"/>
      <c r="P314" s="259"/>
      <c r="Q314" s="259"/>
      <c r="R314" s="258"/>
      <c r="S314" s="258"/>
      <c r="T314" s="278"/>
      <c r="U314" s="268"/>
      <c r="V314" s="258"/>
      <c r="W314" s="308"/>
      <c r="X314" s="277"/>
      <c r="Y314" s="271"/>
      <c r="Z314" s="271"/>
      <c r="AA314" s="271"/>
    </row>
    <row r="315" spans="1:27" s="257" customFormat="1" hidden="1">
      <c r="A315" s="259">
        <f>A314+1</f>
        <v>292</v>
      </c>
      <c r="B315" s="259"/>
      <c r="C315" s="259" t="s">
        <v>65</v>
      </c>
      <c r="D315" s="277" t="s">
        <v>541</v>
      </c>
      <c r="E315" s="258" t="str">
        <f>VLOOKUP(D315,Store_Info_VN!B:P,2,0)</f>
        <v>CONVERSE CFS QUANG TRUNG</v>
      </c>
      <c r="F315" s="258" t="s">
        <v>56</v>
      </c>
      <c r="G315" s="258" t="str">
        <f>I315&amp;" "&amp;J315&amp;" "&amp;K315</f>
        <v>Pole Display BIRCH DSP-V9</v>
      </c>
      <c r="H315" s="258">
        <v>1</v>
      </c>
      <c r="I315" s="258" t="s">
        <v>125</v>
      </c>
      <c r="J315" s="258" t="s">
        <v>759</v>
      </c>
      <c r="K315" s="258" t="s">
        <v>558</v>
      </c>
      <c r="L315" s="258"/>
      <c r="M315" s="288" t="s">
        <v>761</v>
      </c>
      <c r="N315" s="314"/>
      <c r="O315" s="314"/>
      <c r="P315" s="259"/>
      <c r="Q315" s="259"/>
      <c r="R315" s="258"/>
      <c r="S315" s="258"/>
      <c r="T315" s="278"/>
      <c r="U315" s="268"/>
      <c r="V315" s="258"/>
      <c r="W315" s="308"/>
      <c r="X315" s="277"/>
      <c r="Y315" s="271"/>
      <c r="Z315" s="271"/>
      <c r="AA315" s="271"/>
    </row>
    <row r="316" spans="1:27" s="257" customFormat="1" hidden="1">
      <c r="A316" s="259">
        <f>A315+1</f>
        <v>293</v>
      </c>
      <c r="B316" s="259"/>
      <c r="C316" s="259" t="s">
        <v>65</v>
      </c>
      <c r="D316" s="277" t="s">
        <v>541</v>
      </c>
      <c r="E316" s="258" t="str">
        <f>VLOOKUP(D316,Store_Info_VN!B:P,2,0)</f>
        <v>CONVERSE CFS QUANG TRUNG</v>
      </c>
      <c r="F316" s="258" t="s">
        <v>56</v>
      </c>
      <c r="G316" s="258" t="str">
        <f>I316&amp;" "&amp;J316&amp;" "&amp;K316</f>
        <v>Other Vesa Mount Kit</v>
      </c>
      <c r="H316" s="258">
        <v>1</v>
      </c>
      <c r="I316" s="258" t="s">
        <v>275</v>
      </c>
      <c r="J316" s="258" t="s">
        <v>762</v>
      </c>
      <c r="K316" s="258" t="s">
        <v>763</v>
      </c>
      <c r="L316" s="258"/>
      <c r="M316" s="288"/>
      <c r="N316" s="314"/>
      <c r="O316" s="314"/>
      <c r="P316" s="259"/>
      <c r="Q316" s="259"/>
      <c r="R316" s="258"/>
      <c r="S316" s="258"/>
      <c r="T316" s="278"/>
      <c r="U316" s="268"/>
      <c r="V316" s="258"/>
      <c r="W316" s="308"/>
      <c r="X316" s="277"/>
      <c r="Y316" s="271"/>
      <c r="Z316" s="271"/>
      <c r="AA316" s="271"/>
    </row>
    <row r="317" spans="1:27" s="257" customFormat="1" hidden="1">
      <c r="A317" s="259">
        <f>A316+1</f>
        <v>294</v>
      </c>
      <c r="B317" s="259"/>
      <c r="C317" s="259" t="s">
        <v>65</v>
      </c>
      <c r="D317" s="277" t="s">
        <v>541</v>
      </c>
      <c r="E317" s="258" t="str">
        <f>VLOOKUP(D317,Store_Info_VN!B:P,2,0)</f>
        <v>CONVERSE CFS QUANG TRUNG</v>
      </c>
      <c r="F317" s="258" t="s">
        <v>56</v>
      </c>
      <c r="G317" s="258" t="str">
        <f>I317&amp;" "&amp;J317&amp;" "&amp;K317</f>
        <v>Other Vesa Mount Kit</v>
      </c>
      <c r="H317" s="258">
        <v>1</v>
      </c>
      <c r="I317" s="258" t="s">
        <v>275</v>
      </c>
      <c r="J317" s="258" t="s">
        <v>762</v>
      </c>
      <c r="K317" s="258" t="s">
        <v>763</v>
      </c>
      <c r="L317" s="258"/>
      <c r="M317" s="288"/>
      <c r="N317" s="314"/>
      <c r="O317" s="314"/>
      <c r="P317" s="259"/>
      <c r="Q317" s="259"/>
      <c r="R317" s="258"/>
      <c r="S317" s="258"/>
      <c r="T317" s="278"/>
      <c r="U317" s="268"/>
      <c r="V317" s="258"/>
      <c r="W317" s="308"/>
      <c r="X317" s="277"/>
      <c r="Y317" s="271"/>
      <c r="Z317" s="271"/>
      <c r="AA317" s="271"/>
    </row>
    <row r="318" spans="1:27" s="257" customFormat="1" ht="26.25" hidden="1">
      <c r="A318" s="259">
        <f>A317+1</f>
        <v>295</v>
      </c>
      <c r="B318" s="259"/>
      <c r="C318" s="259" t="s">
        <v>65</v>
      </c>
      <c r="D318" s="277" t="s">
        <v>541</v>
      </c>
      <c r="E318" s="258" t="str">
        <f>VLOOKUP(D318,Store_Info_VN!B:P,2,0)</f>
        <v>CONVERSE CFS QUANG TRUNG</v>
      </c>
      <c r="F318" s="258"/>
      <c r="G318" s="258" t="str">
        <f>I318&amp;" "&amp;J318&amp;" "&amp;K318</f>
        <v>Network Switch Cisco CBS110-16TEU</v>
      </c>
      <c r="H318" s="258">
        <v>1</v>
      </c>
      <c r="I318" s="258" t="s">
        <v>172</v>
      </c>
      <c r="J318" s="258" t="s">
        <v>562</v>
      </c>
      <c r="K318" s="258" t="s">
        <v>764</v>
      </c>
      <c r="L318" s="258"/>
      <c r="M318" s="288" t="s">
        <v>765</v>
      </c>
      <c r="N318" s="314"/>
      <c r="O318" s="314"/>
      <c r="P318" s="259"/>
      <c r="Q318" s="259"/>
      <c r="R318" s="258"/>
      <c r="S318" s="258"/>
      <c r="T318" s="278"/>
      <c r="U318" s="268"/>
      <c r="V318" s="258"/>
      <c r="W318" s="308"/>
      <c r="X318" s="277"/>
      <c r="Y318" s="271"/>
      <c r="Z318" s="271"/>
      <c r="AA318" s="271"/>
    </row>
    <row r="319" spans="1:27" s="257" customFormat="1" hidden="1">
      <c r="A319" s="259">
        <f>A318+1</f>
        <v>296</v>
      </c>
      <c r="B319" s="259"/>
      <c r="C319" s="259" t="s">
        <v>65</v>
      </c>
      <c r="D319" s="277" t="s">
        <v>541</v>
      </c>
      <c r="E319" s="258" t="str">
        <f>VLOOKUP(D319,Store_Info_VN!B:P,2,0)</f>
        <v>CONVERSE CFS QUANG TRUNG</v>
      </c>
      <c r="F319" s="258" t="s">
        <v>56</v>
      </c>
      <c r="G319" s="258" t="str">
        <f>I319&amp;" "&amp;J319&amp;" "&amp;K319</f>
        <v xml:space="preserve">USB Hub  </v>
      </c>
      <c r="H319" s="258">
        <v>1</v>
      </c>
      <c r="I319" s="258" t="s">
        <v>273</v>
      </c>
      <c r="J319" s="258"/>
      <c r="K319" s="258"/>
      <c r="L319" s="258"/>
      <c r="M319" s="288"/>
      <c r="N319" s="314"/>
      <c r="O319" s="314"/>
      <c r="P319" s="259"/>
      <c r="Q319" s="259"/>
      <c r="R319" s="258"/>
      <c r="S319" s="258"/>
      <c r="T319" s="278"/>
      <c r="U319" s="268"/>
      <c r="V319" s="258"/>
      <c r="W319" s="308"/>
      <c r="X319" s="277"/>
      <c r="Y319" s="271"/>
      <c r="Z319" s="271"/>
      <c r="AA319" s="271"/>
    </row>
    <row r="320" spans="1:27" s="257" customFormat="1" hidden="1">
      <c r="A320" s="259">
        <f>A319+1</f>
        <v>297</v>
      </c>
      <c r="B320" s="259"/>
      <c r="C320" s="259" t="s">
        <v>65</v>
      </c>
      <c r="D320" s="277" t="s">
        <v>541</v>
      </c>
      <c r="E320" s="258" t="str">
        <f>VLOOKUP(D320,Store_Info_VN!B:P,2,0)</f>
        <v>CONVERSE CFS QUANG TRUNG</v>
      </c>
      <c r="F320" s="258" t="s">
        <v>56</v>
      </c>
      <c r="G320" s="258" t="str">
        <f>I320&amp;" "&amp;J320&amp;" "&amp;K320</f>
        <v>Other  KVM</v>
      </c>
      <c r="H320" s="258">
        <v>1</v>
      </c>
      <c r="I320" s="258" t="s">
        <v>275</v>
      </c>
      <c r="J320" s="258"/>
      <c r="K320" s="258" t="s">
        <v>766</v>
      </c>
      <c r="L320" s="258"/>
      <c r="M320" s="288"/>
      <c r="N320" s="314"/>
      <c r="O320" s="314"/>
      <c r="P320" s="259"/>
      <c r="Q320" s="259"/>
      <c r="R320" s="258"/>
      <c r="S320" s="258"/>
      <c r="T320" s="278"/>
      <c r="U320" s="268"/>
      <c r="V320" s="258"/>
      <c r="W320" s="308"/>
      <c r="X320" s="277"/>
      <c r="Y320" s="271"/>
      <c r="Z320" s="271"/>
      <c r="AA320" s="271"/>
    </row>
    <row r="321" spans="1:27" s="257" customFormat="1" ht="39" hidden="1">
      <c r="A321" s="259">
        <f>A320+1</f>
        <v>298</v>
      </c>
      <c r="B321" s="259"/>
      <c r="C321" s="259" t="s">
        <v>65</v>
      </c>
      <c r="D321" s="277" t="s">
        <v>541</v>
      </c>
      <c r="E321" s="258" t="str">
        <f>VLOOKUP(D321,Store_Info_VN!B:P,2,0)</f>
        <v>CONVERSE CFS QUANG TRUNG</v>
      </c>
      <c r="F321" s="258" t="s">
        <v>56</v>
      </c>
      <c r="G321" s="258" t="str">
        <f>I321&amp;" "&amp;J321&amp;" "&amp;K321</f>
        <v>Other SANTAK  UPS 1500VA SANTAK 900W 10AH WITH USB PORT MORNITOR</v>
      </c>
      <c r="H321" s="258">
        <v>1</v>
      </c>
      <c r="I321" s="258" t="s">
        <v>275</v>
      </c>
      <c r="J321" s="258" t="s">
        <v>767</v>
      </c>
      <c r="K321" s="258" t="s">
        <v>768</v>
      </c>
      <c r="L321" s="258"/>
      <c r="M321" s="288" t="s">
        <v>769</v>
      </c>
      <c r="N321" s="314"/>
      <c r="O321" s="314"/>
      <c r="P321" s="259"/>
      <c r="Q321" s="259"/>
      <c r="R321" s="258"/>
      <c r="S321" s="258"/>
      <c r="T321" s="278"/>
      <c r="U321" s="268"/>
      <c r="V321" s="258"/>
      <c r="W321" s="308"/>
      <c r="X321" s="277"/>
      <c r="Y321" s="271"/>
      <c r="Z321" s="271"/>
      <c r="AA321" s="271"/>
    </row>
    <row r="322" spans="1:27" s="257" customFormat="1" hidden="1">
      <c r="A322" s="259">
        <f>A321+1</f>
        <v>299</v>
      </c>
      <c r="B322" s="259"/>
      <c r="C322" s="259" t="s">
        <v>65</v>
      </c>
      <c r="D322" s="277" t="s">
        <v>541</v>
      </c>
      <c r="E322" s="258" t="str">
        <f>VLOOKUP(D322,Store_Info_VN!B:P,2,0)</f>
        <v>CONVERSE CFS QUANG TRUNG</v>
      </c>
      <c r="F322" s="258" t="s">
        <v>56</v>
      </c>
      <c r="G322" s="258" t="str">
        <f>I322&amp;" "&amp;J322&amp;" "&amp;K322</f>
        <v>Other Lioa Power supply (Square)</v>
      </c>
      <c r="H322" s="258">
        <v>3</v>
      </c>
      <c r="I322" s="258" t="s">
        <v>275</v>
      </c>
      <c r="J322" s="258" t="s">
        <v>770</v>
      </c>
      <c r="K322" s="258" t="s">
        <v>771</v>
      </c>
      <c r="L322" s="258"/>
      <c r="M322" s="288"/>
      <c r="N322" s="314"/>
      <c r="O322" s="314"/>
      <c r="P322" s="259"/>
      <c r="Q322" s="259"/>
      <c r="R322" s="258"/>
      <c r="S322" s="258"/>
      <c r="T322" s="278"/>
      <c r="U322" s="268"/>
      <c r="V322" s="258"/>
      <c r="W322" s="308"/>
      <c r="X322" s="277"/>
      <c r="Y322" s="271"/>
      <c r="Z322" s="271"/>
      <c r="AA322" s="271"/>
    </row>
    <row r="323" spans="1:27" s="257" customFormat="1" hidden="1">
      <c r="A323" s="259">
        <f>A322+1</f>
        <v>300</v>
      </c>
      <c r="B323" s="259"/>
      <c r="C323" s="259" t="s">
        <v>65</v>
      </c>
      <c r="D323" s="277" t="s">
        <v>541</v>
      </c>
      <c r="E323" s="258" t="str">
        <f>VLOOKUP(D323,Store_Info_VN!B:P,2,0)</f>
        <v>CONVERSE CFS QUANG TRUNG</v>
      </c>
      <c r="F323" s="258" t="s">
        <v>56</v>
      </c>
      <c r="G323" s="258" t="str">
        <f>I323&amp;" "&amp;J323&amp;" "&amp;K323</f>
        <v>Tablet Lenovo M8</v>
      </c>
      <c r="H323" s="258">
        <v>1</v>
      </c>
      <c r="I323" s="258" t="s">
        <v>442</v>
      </c>
      <c r="J323" s="258" t="s">
        <v>279</v>
      </c>
      <c r="K323" s="258" t="s">
        <v>772</v>
      </c>
      <c r="L323" s="258"/>
      <c r="M323" s="288" t="s">
        <v>773</v>
      </c>
      <c r="N323" s="314"/>
      <c r="O323" s="314"/>
      <c r="P323" s="259"/>
      <c r="Q323" s="259"/>
      <c r="R323" s="258"/>
      <c r="S323" s="258"/>
      <c r="T323" s="278"/>
      <c r="U323" s="268"/>
      <c r="V323" s="258"/>
      <c r="W323" s="308"/>
      <c r="X323" s="277"/>
      <c r="Y323" s="271"/>
      <c r="Z323" s="271"/>
      <c r="AA323" s="271"/>
    </row>
    <row r="324" spans="1:27" s="257" customFormat="1" hidden="1">
      <c r="A324" s="259">
        <f>A323+1</f>
        <v>301</v>
      </c>
      <c r="B324" s="259"/>
      <c r="C324" s="259" t="s">
        <v>65</v>
      </c>
      <c r="D324" s="277" t="s">
        <v>541</v>
      </c>
      <c r="E324" s="258" t="str">
        <f>VLOOKUP(D324,Store_Info_VN!B:P,2,0)</f>
        <v>CONVERSE CFS QUANG TRUNG</v>
      </c>
      <c r="F324" s="258" t="s">
        <v>56</v>
      </c>
      <c r="G324" s="258" t="str">
        <f>I324&amp;" "&amp;J324&amp;" "&amp;K324</f>
        <v>O2O Printer Postek IQ200</v>
      </c>
      <c r="H324" s="258">
        <v>1</v>
      </c>
      <c r="I324" s="258" t="s">
        <v>437</v>
      </c>
      <c r="J324" s="258" t="s">
        <v>438</v>
      </c>
      <c r="K324" s="258" t="s">
        <v>716</v>
      </c>
      <c r="L324" s="258"/>
      <c r="M324" s="288" t="s">
        <v>774</v>
      </c>
      <c r="N324" s="314"/>
      <c r="O324" s="314"/>
      <c r="P324" s="259"/>
      <c r="Q324" s="259"/>
      <c r="R324" s="258"/>
      <c r="S324" s="258"/>
      <c r="T324" s="278"/>
      <c r="U324" s="268"/>
      <c r="V324" s="258"/>
      <c r="W324" s="308"/>
      <c r="X324" s="277"/>
      <c r="Y324" s="271"/>
      <c r="Z324" s="271"/>
      <c r="AA324" s="271"/>
    </row>
    <row r="325" spans="1:27" s="257" customFormat="1" hidden="1">
      <c r="A325" s="259">
        <f>A324+1</f>
        <v>302</v>
      </c>
      <c r="B325" s="259"/>
      <c r="C325" s="259" t="s">
        <v>65</v>
      </c>
      <c r="D325" s="277" t="s">
        <v>541</v>
      </c>
      <c r="E325" s="258" t="str">
        <f>VLOOKUP(D325,Store_Info_VN!B:P,2,0)</f>
        <v>CONVERSE CFS QUANG TRUNG</v>
      </c>
      <c r="F325" s="258" t="s">
        <v>56</v>
      </c>
      <c r="G325" s="258" t="str">
        <f>I325&amp;" "&amp;J325&amp;" "&amp;K325</f>
        <v xml:space="preserve">Sim 4G Mobifone </v>
      </c>
      <c r="H325" s="258">
        <v>1</v>
      </c>
      <c r="I325" s="258" t="s">
        <v>447</v>
      </c>
      <c r="J325" s="258" t="s">
        <v>448</v>
      </c>
      <c r="K325" s="258"/>
      <c r="L325" s="258"/>
      <c r="M325" s="288" t="s">
        <v>775</v>
      </c>
      <c r="N325" s="314"/>
      <c r="O325" s="314"/>
      <c r="P325" s="259"/>
      <c r="Q325" s="259"/>
      <c r="R325" s="258"/>
      <c r="S325" s="258"/>
      <c r="T325" s="278"/>
      <c r="U325" s="268"/>
      <c r="V325" s="258"/>
      <c r="W325" s="308"/>
      <c r="X325" s="277"/>
      <c r="Y325" s="271"/>
      <c r="Z325" s="271"/>
      <c r="AA325" s="271"/>
    </row>
    <row r="326" spans="1:27" s="257" customFormat="1" hidden="1">
      <c r="A326" s="259">
        <f>A325+1</f>
        <v>303</v>
      </c>
      <c r="B326" s="259"/>
      <c r="C326" s="259" t="s">
        <v>65</v>
      </c>
      <c r="D326" s="277" t="s">
        <v>531</v>
      </c>
      <c r="E326" s="258" t="str">
        <f>VLOOKUP(D326,Store_Info_VN!B:P,2,0)</f>
        <v>NEW BALANCE DIAMOND PLAZA</v>
      </c>
      <c r="F326" s="258" t="s">
        <v>56</v>
      </c>
      <c r="G326" s="258" t="str">
        <f>I326&amp;" "&amp;J326&amp;" "&amp;K326</f>
        <v>A4 Printer Canon LBP 2900</v>
      </c>
      <c r="H326" s="258">
        <v>1</v>
      </c>
      <c r="I326" s="258" t="s">
        <v>99</v>
      </c>
      <c r="J326" s="258" t="s">
        <v>100</v>
      </c>
      <c r="K326" s="258" t="s">
        <v>101</v>
      </c>
      <c r="L326" s="258"/>
      <c r="M326" s="288" t="s">
        <v>776</v>
      </c>
      <c r="N326" s="314"/>
      <c r="O326" s="314"/>
      <c r="P326" s="259"/>
      <c r="Q326" s="259"/>
      <c r="R326" s="258"/>
      <c r="S326" s="258"/>
      <c r="T326" s="278"/>
      <c r="U326" s="268"/>
      <c r="V326" s="258"/>
      <c r="W326" s="308"/>
      <c r="X326" s="277"/>
      <c r="Y326" s="271"/>
      <c r="Z326" s="271"/>
      <c r="AA326" s="271"/>
    </row>
    <row r="327" spans="1:27" s="257" customFormat="1" hidden="1">
      <c r="A327" s="259">
        <f>A326+1</f>
        <v>304</v>
      </c>
      <c r="B327" s="259"/>
      <c r="C327" s="259" t="s">
        <v>65</v>
      </c>
      <c r="D327" s="277" t="s">
        <v>531</v>
      </c>
      <c r="E327" s="258" t="str">
        <f>VLOOKUP(D327,Store_Info_VN!B:P,2,0)</f>
        <v>NEW BALANCE DIAMOND PLAZA</v>
      </c>
      <c r="F327" s="258" t="s">
        <v>56</v>
      </c>
      <c r="G327" s="258" t="str">
        <f>I327&amp;" "&amp;J327&amp;" "&amp;K327</f>
        <v>Scanner datalogic QW2100</v>
      </c>
      <c r="H327" s="258">
        <v>1</v>
      </c>
      <c r="I327" s="258" t="s">
        <v>96</v>
      </c>
      <c r="J327" s="258" t="s">
        <v>683</v>
      </c>
      <c r="K327" s="258" t="s">
        <v>98</v>
      </c>
      <c r="L327" s="258"/>
      <c r="M327" s="288" t="s">
        <v>777</v>
      </c>
      <c r="N327" s="314"/>
      <c r="O327" s="314"/>
      <c r="P327" s="259"/>
      <c r="Q327" s="259"/>
      <c r="R327" s="258"/>
      <c r="S327" s="258"/>
      <c r="T327" s="278"/>
      <c r="U327" s="268"/>
      <c r="V327" s="258"/>
      <c r="W327" s="308"/>
      <c r="X327" s="277"/>
      <c r="Y327" s="271"/>
      <c r="Z327" s="271"/>
      <c r="AA327" s="271"/>
    </row>
    <row r="328" spans="1:27" s="257" customFormat="1" hidden="1">
      <c r="A328" s="259">
        <f>A327+1</f>
        <v>305</v>
      </c>
      <c r="B328" s="259"/>
      <c r="C328" s="259" t="s">
        <v>65</v>
      </c>
      <c r="D328" s="277" t="s">
        <v>531</v>
      </c>
      <c r="E328" s="258" t="str">
        <f>VLOOKUP(D328,Store_Info_VN!B:P,2,0)</f>
        <v>NEW BALANCE DIAMOND PLAZA</v>
      </c>
      <c r="F328" s="258" t="s">
        <v>56</v>
      </c>
      <c r="G328" s="258" t="str">
        <f>I328&amp;" "&amp;J328&amp;" "&amp;K328</f>
        <v>Bill Printer Epson TM-82III</v>
      </c>
      <c r="H328" s="258">
        <v>1</v>
      </c>
      <c r="I328" s="258" t="s">
        <v>92</v>
      </c>
      <c r="J328" s="258" t="s">
        <v>93</v>
      </c>
      <c r="K328" s="258" t="s">
        <v>664</v>
      </c>
      <c r="L328" s="258"/>
      <c r="M328" s="288" t="s">
        <v>778</v>
      </c>
      <c r="N328" s="314"/>
      <c r="O328" s="314"/>
      <c r="P328" s="259"/>
      <c r="Q328" s="259"/>
      <c r="R328" s="258"/>
      <c r="S328" s="258"/>
      <c r="T328" s="278"/>
      <c r="U328" s="268"/>
      <c r="V328" s="258"/>
      <c r="W328" s="308"/>
      <c r="X328" s="277"/>
      <c r="Y328" s="271"/>
      <c r="Z328" s="271"/>
      <c r="AA328" s="271"/>
    </row>
    <row r="329" spans="1:27" s="257" customFormat="1" hidden="1">
      <c r="A329" s="259">
        <f>A328+1</f>
        <v>306</v>
      </c>
      <c r="B329" s="259"/>
      <c r="C329" s="259" t="s">
        <v>65</v>
      </c>
      <c r="D329" s="277" t="s">
        <v>531</v>
      </c>
      <c r="E329" s="258" t="str">
        <f>VLOOKUP(D329,Store_Info_VN!B:P,2,0)</f>
        <v>NEW BALANCE DIAMOND PLAZA</v>
      </c>
      <c r="F329" s="258" t="s">
        <v>56</v>
      </c>
      <c r="G329" s="258" t="str">
        <f>I329&amp;" "&amp;J329&amp;" "&amp;K329</f>
        <v>Other Lioa Power Supply</v>
      </c>
      <c r="H329" s="258">
        <v>1</v>
      </c>
      <c r="I329" s="258" t="s">
        <v>275</v>
      </c>
      <c r="J329" s="258" t="s">
        <v>770</v>
      </c>
      <c r="K329" s="258" t="s">
        <v>675</v>
      </c>
      <c r="L329" s="258"/>
      <c r="M329" s="288"/>
      <c r="N329" s="314"/>
      <c r="O329" s="314"/>
      <c r="P329" s="259"/>
      <c r="Q329" s="259"/>
      <c r="R329" s="258"/>
      <c r="S329" s="258"/>
      <c r="T329" s="278"/>
      <c r="U329" s="268"/>
      <c r="V329" s="258"/>
      <c r="W329" s="308"/>
      <c r="X329" s="277"/>
      <c r="Y329" s="271"/>
      <c r="Z329" s="271"/>
      <c r="AA329" s="271"/>
    </row>
    <row r="330" spans="1:27" ht="14.25">
      <c r="A330" s="261">
        <f>A329+1</f>
        <v>307</v>
      </c>
      <c r="B330" s="261"/>
      <c r="C330" s="261" t="s">
        <v>54</v>
      </c>
      <c r="D330" s="289" t="s">
        <v>585</v>
      </c>
      <c r="E330" s="261" t="str">
        <f>VLOOKUP(D330,Store_Info_VN!B:P,2,0)</f>
        <v>NEW ERA LOTTE MALL</v>
      </c>
      <c r="F330" s="261" t="s">
        <v>56</v>
      </c>
      <c r="G330" s="261" t="str">
        <f>I330&amp;" "&amp;J330&amp;" "&amp;K330</f>
        <v>A4 Printer Canon LBP 2900</v>
      </c>
      <c r="H330" s="261">
        <v>1</v>
      </c>
      <c r="I330" s="261" t="s">
        <v>99</v>
      </c>
      <c r="J330" s="261" t="s">
        <v>100</v>
      </c>
      <c r="K330" s="261" t="s">
        <v>101</v>
      </c>
      <c r="L330" s="261"/>
      <c r="M330" s="665" t="s">
        <v>779</v>
      </c>
      <c r="N330" s="289"/>
      <c r="O330" s="289"/>
      <c r="P330" s="261"/>
      <c r="Q330" s="261"/>
      <c r="R330" s="261"/>
      <c r="S330" s="261"/>
      <c r="T330" s="666"/>
      <c r="U330" s="291"/>
      <c r="V330" s="261"/>
      <c r="W330" s="305"/>
      <c r="X330" s="289"/>
      <c r="Y330" s="293"/>
      <c r="Z330" s="293"/>
      <c r="AA330" s="293"/>
    </row>
    <row r="331" spans="1:27" ht="14.25">
      <c r="A331" s="258">
        <f>A330+1</f>
        <v>308</v>
      </c>
      <c r="B331" s="258"/>
      <c r="C331" s="258" t="s">
        <v>54</v>
      </c>
      <c r="D331" s="277" t="s">
        <v>585</v>
      </c>
      <c r="E331" s="258" t="str">
        <f>VLOOKUP(D331,Store_Info_VN!B:P,2,0)</f>
        <v>NEW ERA LOTTE MALL</v>
      </c>
      <c r="F331" s="258" t="s">
        <v>56</v>
      </c>
      <c r="G331" s="258" t="str">
        <f>I331&amp;" "&amp;J331&amp;" "&amp;K331</f>
        <v>Scanner Datalogic QW2100</v>
      </c>
      <c r="H331" s="258">
        <v>1</v>
      </c>
      <c r="I331" s="258" t="s">
        <v>96</v>
      </c>
      <c r="J331" s="258" t="s">
        <v>97</v>
      </c>
      <c r="K331" s="258" t="s">
        <v>98</v>
      </c>
      <c r="M331" s="615" t="s">
        <v>780</v>
      </c>
      <c r="N331" s="277"/>
      <c r="O331" s="277"/>
      <c r="R331" s="258"/>
      <c r="S331" s="258"/>
      <c r="W331" s="308"/>
      <c r="X331" s="277"/>
    </row>
    <row r="332" spans="1:27" ht="14.25">
      <c r="A332" s="258">
        <f>A331+1</f>
        <v>309</v>
      </c>
      <c r="B332" s="258"/>
      <c r="C332" s="258" t="s">
        <v>54</v>
      </c>
      <c r="D332" s="277" t="s">
        <v>585</v>
      </c>
      <c r="E332" s="258" t="str">
        <f>VLOOKUP(D332,Store_Info_VN!B:P,2,0)</f>
        <v>NEW ERA LOTTE MALL</v>
      </c>
      <c r="F332" s="258" t="s">
        <v>56</v>
      </c>
      <c r="G332" s="258" t="str">
        <f>I332&amp;" "&amp;J332&amp;" "&amp;K332</f>
        <v>Bill Printer Epson TM82III</v>
      </c>
      <c r="H332" s="258">
        <v>1</v>
      </c>
      <c r="I332" s="258" t="s">
        <v>92</v>
      </c>
      <c r="J332" s="258" t="s">
        <v>93</v>
      </c>
      <c r="K332" s="258" t="s">
        <v>704</v>
      </c>
      <c r="M332" s="615" t="s">
        <v>781</v>
      </c>
      <c r="N332" s="277"/>
      <c r="O332" s="277"/>
      <c r="R332" s="258"/>
      <c r="S332" s="258"/>
      <c r="W332" s="308"/>
      <c r="X332" s="277"/>
    </row>
    <row r="333" spans="1:27" ht="14.25">
      <c r="A333" s="258">
        <f>A332+1</f>
        <v>310</v>
      </c>
      <c r="B333" s="258"/>
      <c r="C333" s="258" t="s">
        <v>54</v>
      </c>
      <c r="D333" s="277" t="s">
        <v>585</v>
      </c>
      <c r="E333" s="258" t="str">
        <f>VLOOKUP(D333,Store_Info_VN!B:P,2,0)</f>
        <v>NEW ERA LOTTE MALL</v>
      </c>
      <c r="F333" s="258" t="s">
        <v>56</v>
      </c>
      <c r="G333" s="258" t="str">
        <f>I333&amp;" "&amp;J333&amp;" "&amp;K333</f>
        <v>Other Lioa Power Supply</v>
      </c>
      <c r="H333" s="258">
        <v>1</v>
      </c>
      <c r="I333" s="258" t="s">
        <v>275</v>
      </c>
      <c r="J333" s="258" t="s">
        <v>770</v>
      </c>
      <c r="K333" s="258" t="s">
        <v>675</v>
      </c>
      <c r="M333" s="615"/>
      <c r="N333" s="277"/>
      <c r="O333" s="277"/>
      <c r="R333" s="258"/>
      <c r="S333" s="258"/>
      <c r="W333" s="308"/>
      <c r="X333" s="277"/>
    </row>
    <row r="334" spans="1:27" ht="14.25">
      <c r="A334" s="258">
        <f>A333+1</f>
        <v>311</v>
      </c>
      <c r="B334" s="258"/>
      <c r="C334" s="258" t="s">
        <v>54</v>
      </c>
      <c r="D334" s="277" t="s">
        <v>585</v>
      </c>
      <c r="E334" s="258" t="str">
        <f>VLOOKUP(D334,Store_Info_VN!B:P,2,0)</f>
        <v>NEW ERA LOTTE MALL</v>
      </c>
      <c r="F334" s="258" t="s">
        <v>56</v>
      </c>
      <c r="G334" s="258" t="str">
        <f>I334&amp;" "&amp;J334&amp;" "&amp;K334</f>
        <v>Monitor HP V20</v>
      </c>
      <c r="H334" s="258">
        <v>1</v>
      </c>
      <c r="I334" s="258" t="s">
        <v>116</v>
      </c>
      <c r="J334" s="258" t="s">
        <v>58</v>
      </c>
      <c r="K334" s="258" t="s">
        <v>782</v>
      </c>
      <c r="M334" s="615"/>
      <c r="N334" s="277"/>
      <c r="O334" s="277"/>
      <c r="R334" s="258"/>
      <c r="S334" s="258"/>
      <c r="W334" s="308"/>
      <c r="X334" s="277"/>
    </row>
    <row r="335" spans="1:27" ht="14.25">
      <c r="A335" s="258">
        <f>A334+1</f>
        <v>312</v>
      </c>
      <c r="B335" s="258"/>
      <c r="C335" s="258" t="s">
        <v>54</v>
      </c>
      <c r="D335" s="277" t="s">
        <v>585</v>
      </c>
      <c r="E335" s="258" t="str">
        <f>VLOOKUP(D335,Store_Info_VN!B:P,2,0)</f>
        <v>NEW ERA LOTTE MALL</v>
      </c>
      <c r="F335" s="258" t="s">
        <v>56</v>
      </c>
      <c r="G335" s="258" t="str">
        <f>I335&amp;" "&amp;J335&amp;" "&amp;K335</f>
        <v>Pole Display DSP V9</v>
      </c>
      <c r="H335" s="258">
        <v>1</v>
      </c>
      <c r="I335" s="258" t="s">
        <v>125</v>
      </c>
      <c r="J335" s="258" t="s">
        <v>783</v>
      </c>
      <c r="K335" s="258" t="s">
        <v>784</v>
      </c>
      <c r="M335" s="615" t="s">
        <v>785</v>
      </c>
      <c r="N335" s="277"/>
      <c r="O335" s="277"/>
      <c r="R335" s="258"/>
      <c r="S335" s="258"/>
      <c r="W335" s="308"/>
      <c r="X335" s="277"/>
    </row>
    <row r="336" spans="1:27" ht="28.5">
      <c r="A336" s="258">
        <f>A335+1</f>
        <v>313</v>
      </c>
      <c r="B336" s="258"/>
      <c r="C336" s="258" t="s">
        <v>54</v>
      </c>
      <c r="D336" s="277" t="s">
        <v>585</v>
      </c>
      <c r="E336" s="258" t="str">
        <f>VLOOKUP(D336,Store_Info_VN!B:P,2,0)</f>
        <v>NEW ERA LOTTE MALL</v>
      </c>
      <c r="F336" s="258" t="s">
        <v>56</v>
      </c>
      <c r="G336" s="258" t="str">
        <f>I336&amp;" "&amp;J336&amp;" "&amp;K336</f>
        <v>Network Switch Cisco CBS110-16TEU</v>
      </c>
      <c r="H336" s="258">
        <v>1</v>
      </c>
      <c r="I336" s="258" t="s">
        <v>172</v>
      </c>
      <c r="J336" s="258" t="s">
        <v>562</v>
      </c>
      <c r="K336" s="258" t="s">
        <v>764</v>
      </c>
      <c r="M336" s="615" t="s">
        <v>786</v>
      </c>
      <c r="N336" s="277"/>
      <c r="O336" s="277"/>
      <c r="R336" s="258"/>
      <c r="S336" s="258"/>
      <c r="W336" s="308"/>
      <c r="X336" s="277"/>
    </row>
    <row r="337" spans="1:27" ht="14.25">
      <c r="A337" s="279">
        <f>A336+1</f>
        <v>314</v>
      </c>
      <c r="B337" s="279"/>
      <c r="C337" s="279" t="s">
        <v>54</v>
      </c>
      <c r="D337" s="303" t="s">
        <v>585</v>
      </c>
      <c r="E337" s="279" t="str">
        <f>VLOOKUP(D337,Store_Info_VN!B:P,2,0)</f>
        <v>NEW ERA LOTTE MALL</v>
      </c>
      <c r="F337" s="279" t="s">
        <v>56</v>
      </c>
      <c r="G337" s="279" t="str">
        <f>I337&amp;" "&amp;J337&amp;" "&amp;K337</f>
        <v>USB Hub Orico 4 Port</v>
      </c>
      <c r="H337" s="279">
        <v>1</v>
      </c>
      <c r="I337" s="279" t="s">
        <v>273</v>
      </c>
      <c r="J337" s="279" t="s">
        <v>274</v>
      </c>
      <c r="K337" s="279" t="s">
        <v>466</v>
      </c>
      <c r="L337" s="279"/>
      <c r="M337" s="662"/>
      <c r="N337" s="303"/>
      <c r="O337" s="303"/>
      <c r="P337" s="279"/>
      <c r="Q337" s="279"/>
      <c r="R337" s="279"/>
      <c r="S337" s="279"/>
      <c r="T337" s="285"/>
      <c r="U337" s="286"/>
      <c r="V337" s="279"/>
      <c r="W337" s="628"/>
      <c r="X337" s="303"/>
      <c r="Y337" s="284"/>
      <c r="Z337" s="284"/>
      <c r="AA337" s="284"/>
    </row>
    <row r="338" spans="1:27" s="257" customFormat="1" hidden="1">
      <c r="A338" s="259">
        <f>A337+1</f>
        <v>315</v>
      </c>
      <c r="B338" s="259"/>
      <c r="C338" s="259" t="s">
        <v>65</v>
      </c>
      <c r="D338" s="277" t="s">
        <v>551</v>
      </c>
      <c r="E338" s="258" t="str">
        <f>VLOOKUP(D338,Store_Info_VN!B:P,2,0)</f>
        <v>NEW BALANCE LOTTE MALL</v>
      </c>
      <c r="F338" s="258" t="s">
        <v>56</v>
      </c>
      <c r="G338" s="258" t="str">
        <f>I338&amp;" "&amp;J338&amp;" "&amp;K338</f>
        <v>A4 Printer Canon LBP 2900</v>
      </c>
      <c r="H338" s="258">
        <v>1</v>
      </c>
      <c r="I338" s="258" t="s">
        <v>99</v>
      </c>
      <c r="J338" s="258" t="s">
        <v>100</v>
      </c>
      <c r="K338" s="258" t="s">
        <v>101</v>
      </c>
      <c r="L338" s="258"/>
      <c r="M338" s="320" t="s">
        <v>552</v>
      </c>
      <c r="N338" s="314"/>
      <c r="O338" s="314"/>
      <c r="P338" s="259"/>
      <c r="Q338" s="259"/>
      <c r="R338" s="258"/>
      <c r="S338" s="258"/>
      <c r="T338" s="278"/>
      <c r="U338" s="268"/>
      <c r="V338" s="258"/>
      <c r="W338" s="308"/>
      <c r="X338" s="277"/>
      <c r="Y338" s="271"/>
      <c r="Z338" s="271"/>
      <c r="AA338" s="271"/>
    </row>
    <row r="339" spans="1:27" s="257" customFormat="1" hidden="1">
      <c r="A339" s="259">
        <f>A338+1</f>
        <v>316</v>
      </c>
      <c r="B339" s="259"/>
      <c r="C339" s="259" t="s">
        <v>65</v>
      </c>
      <c r="D339" s="277" t="s">
        <v>551</v>
      </c>
      <c r="E339" s="258" t="str">
        <f>VLOOKUP(D339,Store_Info_VN!B:P,2,0)</f>
        <v>NEW BALANCE LOTTE MALL</v>
      </c>
      <c r="F339" s="258" t="s">
        <v>56</v>
      </c>
      <c r="G339" s="258" t="str">
        <f>I339&amp;" "&amp;J339&amp;" "&amp;K339</f>
        <v>Scanner Datalogic QW2100</v>
      </c>
      <c r="H339" s="258">
        <v>1</v>
      </c>
      <c r="I339" s="258" t="s">
        <v>96</v>
      </c>
      <c r="J339" s="258" t="s">
        <v>97</v>
      </c>
      <c r="K339" s="258" t="s">
        <v>98</v>
      </c>
      <c r="L339" s="258"/>
      <c r="M339" s="320" t="s">
        <v>553</v>
      </c>
      <c r="N339" s="314"/>
      <c r="O339" s="314"/>
      <c r="P339" s="259"/>
      <c r="Q339" s="259"/>
      <c r="R339" s="258"/>
      <c r="S339" s="258"/>
      <c r="T339" s="278"/>
      <c r="U339" s="268"/>
      <c r="V339" s="258"/>
      <c r="W339" s="308"/>
      <c r="X339" s="277"/>
      <c r="Y339" s="271"/>
      <c r="Z339" s="271"/>
      <c r="AA339" s="271"/>
    </row>
    <row r="340" spans="1:27" s="257" customFormat="1" hidden="1">
      <c r="A340" s="259">
        <f>A339+1</f>
        <v>317</v>
      </c>
      <c r="B340" s="259"/>
      <c r="C340" s="259" t="s">
        <v>65</v>
      </c>
      <c r="D340" s="277" t="s">
        <v>551</v>
      </c>
      <c r="E340" s="258" t="str">
        <f>VLOOKUP(D340,Store_Info_VN!B:P,2,0)</f>
        <v>NEW BALANCE LOTTE MALL</v>
      </c>
      <c r="F340" s="258" t="s">
        <v>56</v>
      </c>
      <c r="G340" s="258" t="str">
        <f>I340&amp;" "&amp;J340&amp;" "&amp;K340</f>
        <v>Bill Printer Epson TM82III</v>
      </c>
      <c r="H340" s="258">
        <v>1</v>
      </c>
      <c r="I340" s="258" t="s">
        <v>92</v>
      </c>
      <c r="J340" s="258" t="s">
        <v>93</v>
      </c>
      <c r="K340" s="258" t="s">
        <v>704</v>
      </c>
      <c r="L340" s="258"/>
      <c r="M340" s="320" t="s">
        <v>554</v>
      </c>
      <c r="N340" s="314"/>
      <c r="O340" s="314"/>
      <c r="P340" s="259"/>
      <c r="Q340" s="259"/>
      <c r="R340" s="258"/>
      <c r="S340" s="258"/>
      <c r="T340" s="278"/>
      <c r="U340" s="268"/>
      <c r="V340" s="258"/>
      <c r="W340" s="308"/>
      <c r="X340" s="277"/>
      <c r="Y340" s="271"/>
      <c r="Z340" s="271"/>
      <c r="AA340" s="271"/>
    </row>
    <row r="341" spans="1:27" s="257" customFormat="1" hidden="1">
      <c r="A341" s="259">
        <f>A340+1</f>
        <v>318</v>
      </c>
      <c r="B341" s="259"/>
      <c r="C341" s="259" t="s">
        <v>65</v>
      </c>
      <c r="D341" s="277" t="s">
        <v>551</v>
      </c>
      <c r="E341" s="258" t="str">
        <f>VLOOKUP(D341,Store_Info_VN!B:P,2,0)</f>
        <v>NEW BALANCE LOTTE MALL</v>
      </c>
      <c r="F341" s="258" t="s">
        <v>56</v>
      </c>
      <c r="G341" s="258" t="str">
        <f>I341&amp;" "&amp;J341&amp;" "&amp;K341</f>
        <v>Other Lioa Power Supply</v>
      </c>
      <c r="H341" s="258">
        <v>1</v>
      </c>
      <c r="I341" s="258" t="s">
        <v>275</v>
      </c>
      <c r="J341" s="258" t="s">
        <v>770</v>
      </c>
      <c r="K341" s="258" t="s">
        <v>675</v>
      </c>
      <c r="L341" s="258"/>
      <c r="M341" s="320"/>
      <c r="N341" s="314"/>
      <c r="O341" s="314"/>
      <c r="P341" s="259"/>
      <c r="Q341" s="259"/>
      <c r="R341" s="258"/>
      <c r="S341" s="258"/>
      <c r="T341" s="278"/>
      <c r="U341" s="268"/>
      <c r="V341" s="258"/>
      <c r="W341" s="308"/>
      <c r="X341" s="277"/>
      <c r="Y341" s="271"/>
      <c r="Z341" s="271"/>
      <c r="AA341" s="271"/>
    </row>
    <row r="342" spans="1:27" s="257" customFormat="1" hidden="1">
      <c r="A342" s="259">
        <f>A341+1</f>
        <v>319</v>
      </c>
      <c r="B342" s="259"/>
      <c r="C342" s="259" t="s">
        <v>65</v>
      </c>
      <c r="D342" s="277" t="s">
        <v>551</v>
      </c>
      <c r="E342" s="258" t="str">
        <f>VLOOKUP(D342,Store_Info_VN!B:P,2,0)</f>
        <v>NEW BALANCE LOTTE MALL</v>
      </c>
      <c r="F342" s="258" t="s">
        <v>56</v>
      </c>
      <c r="G342" s="258" t="str">
        <f>I342&amp;" "&amp;J342&amp;" "&amp;K342</f>
        <v>Monitor HP V20</v>
      </c>
      <c r="H342" s="258">
        <v>1</v>
      </c>
      <c r="I342" s="258" t="s">
        <v>116</v>
      </c>
      <c r="J342" s="258" t="s">
        <v>58</v>
      </c>
      <c r="K342" s="258" t="s">
        <v>782</v>
      </c>
      <c r="L342" s="258"/>
      <c r="M342" s="320" t="s">
        <v>559</v>
      </c>
      <c r="N342" s="314"/>
      <c r="O342" s="314"/>
      <c r="P342" s="259"/>
      <c r="Q342" s="259"/>
      <c r="R342" s="258"/>
      <c r="S342" s="258"/>
      <c r="T342" s="278"/>
      <c r="U342" s="268"/>
      <c r="V342" s="258"/>
      <c r="W342" s="308"/>
      <c r="X342" s="277"/>
      <c r="Y342" s="271"/>
      <c r="Z342" s="271"/>
      <c r="AA342" s="271"/>
    </row>
    <row r="343" spans="1:27" s="257" customFormat="1" hidden="1">
      <c r="A343" s="259">
        <f>A342+1</f>
        <v>320</v>
      </c>
      <c r="B343" s="259"/>
      <c r="C343" s="259" t="s">
        <v>65</v>
      </c>
      <c r="D343" s="277" t="s">
        <v>551</v>
      </c>
      <c r="E343" s="258" t="str">
        <f>VLOOKUP(D343,Store_Info_VN!B:P,2,0)</f>
        <v>NEW BALANCE LOTTE MALL</v>
      </c>
      <c r="F343" s="258" t="s">
        <v>56</v>
      </c>
      <c r="G343" s="258" t="str">
        <f>I343&amp;" "&amp;J343&amp;" "&amp;K343</f>
        <v>Pole Display DSP V9</v>
      </c>
      <c r="H343" s="258">
        <v>1</v>
      </c>
      <c r="I343" s="258" t="s">
        <v>125</v>
      </c>
      <c r="J343" s="258" t="s">
        <v>783</v>
      </c>
      <c r="K343" s="258" t="s">
        <v>784</v>
      </c>
      <c r="L343" s="258"/>
      <c r="M343" s="658" t="s">
        <v>785</v>
      </c>
      <c r="N343" s="314"/>
      <c r="O343" s="314"/>
      <c r="P343" s="259"/>
      <c r="Q343" s="259"/>
      <c r="R343" s="258"/>
      <c r="S343" s="258"/>
      <c r="T343" s="278"/>
      <c r="U343" s="268"/>
      <c r="V343" s="258"/>
      <c r="W343" s="308"/>
      <c r="X343" s="277"/>
      <c r="Y343" s="271"/>
      <c r="Z343" s="271"/>
      <c r="AA343" s="271"/>
    </row>
    <row r="344" spans="1:27" s="257" customFormat="1" ht="26.25" hidden="1">
      <c r="A344" s="259">
        <f>A343+1</f>
        <v>321</v>
      </c>
      <c r="B344" s="259"/>
      <c r="C344" s="259" t="s">
        <v>65</v>
      </c>
      <c r="D344" s="277" t="s">
        <v>551</v>
      </c>
      <c r="E344" s="258" t="str">
        <f>VLOOKUP(D344,Store_Info_VN!B:P,2,0)</f>
        <v>NEW BALANCE LOTTE MALL</v>
      </c>
      <c r="F344" s="258" t="s">
        <v>56</v>
      </c>
      <c r="G344" s="258" t="str">
        <f>I344&amp;" "&amp;J344&amp;" "&amp;K344</f>
        <v>Network Switch Cisco CBS110-16TEU</v>
      </c>
      <c r="H344" s="258">
        <v>1</v>
      </c>
      <c r="I344" s="258" t="s">
        <v>172</v>
      </c>
      <c r="J344" s="258" t="s">
        <v>562</v>
      </c>
      <c r="K344" s="258" t="s">
        <v>764</v>
      </c>
      <c r="L344" s="258"/>
      <c r="M344" s="320" t="s">
        <v>564</v>
      </c>
      <c r="N344" s="314"/>
      <c r="O344" s="314"/>
      <c r="P344" s="259"/>
      <c r="Q344" s="259"/>
      <c r="R344" s="258"/>
      <c r="S344" s="258"/>
      <c r="T344" s="278"/>
      <c r="U344" s="268"/>
      <c r="V344" s="258"/>
      <c r="W344" s="308"/>
      <c r="X344" s="277"/>
      <c r="Y344" s="271"/>
      <c r="Z344" s="271"/>
      <c r="AA344" s="271"/>
    </row>
    <row r="345" spans="1:27" s="257" customFormat="1" hidden="1">
      <c r="A345" s="259">
        <f>A344+1</f>
        <v>322</v>
      </c>
      <c r="B345" s="259"/>
      <c r="C345" s="259" t="s">
        <v>65</v>
      </c>
      <c r="D345" s="277" t="s">
        <v>551</v>
      </c>
      <c r="E345" s="258" t="str">
        <f>VLOOKUP(D345,Store_Info_VN!B:P,2,0)</f>
        <v>NEW BALANCE LOTTE MALL</v>
      </c>
      <c r="F345" s="258" t="s">
        <v>56</v>
      </c>
      <c r="G345" s="258" t="str">
        <f>I345&amp;" "&amp;J345&amp;" "&amp;K345</f>
        <v>USB Hub Orico 4 Port</v>
      </c>
      <c r="H345" s="258">
        <v>1</v>
      </c>
      <c r="I345" s="258" t="s">
        <v>273</v>
      </c>
      <c r="J345" s="258" t="s">
        <v>274</v>
      </c>
      <c r="K345" s="258" t="s">
        <v>466</v>
      </c>
      <c r="L345" s="258"/>
      <c r="M345" s="320"/>
      <c r="N345" s="314"/>
      <c r="O345" s="314"/>
      <c r="P345" s="259"/>
      <c r="Q345" s="259"/>
      <c r="R345" s="258"/>
      <c r="S345" s="258"/>
      <c r="T345" s="278"/>
      <c r="U345" s="268"/>
      <c r="V345" s="258"/>
      <c r="W345" s="308"/>
      <c r="X345" s="277"/>
      <c r="Y345" s="271"/>
      <c r="Z345" s="271"/>
      <c r="AA345" s="271"/>
    </row>
    <row r="346" spans="1:27" s="257" customFormat="1" hidden="1">
      <c r="A346" s="259">
        <f>A345+1</f>
        <v>323</v>
      </c>
      <c r="B346" s="259"/>
      <c r="C346" s="259" t="s">
        <v>65</v>
      </c>
      <c r="D346" s="277" t="s">
        <v>581</v>
      </c>
      <c r="E346" s="258" t="str">
        <f>VLOOKUP(D346,Store_Info_VN!B:P,2,0)</f>
        <v>CONVERSE LOTTE MALL</v>
      </c>
      <c r="F346" s="258" t="s">
        <v>56</v>
      </c>
      <c r="G346" s="258" t="str">
        <f>I346&amp;" "&amp;J346&amp;" "&amp;K346</f>
        <v>A4 Printer Canon LBP 2900</v>
      </c>
      <c r="H346" s="258">
        <v>1</v>
      </c>
      <c r="I346" s="258" t="s">
        <v>99</v>
      </c>
      <c r="J346" s="258" t="s">
        <v>100</v>
      </c>
      <c r="K346" s="258" t="s">
        <v>101</v>
      </c>
      <c r="L346" s="258"/>
      <c r="M346" s="288"/>
      <c r="N346" s="314"/>
      <c r="O346" s="314"/>
      <c r="P346" s="259"/>
      <c r="Q346" s="259"/>
      <c r="R346" s="258"/>
      <c r="S346" s="258"/>
      <c r="T346" s="278"/>
      <c r="U346" s="268"/>
      <c r="V346" s="258"/>
      <c r="W346" s="308"/>
      <c r="X346" s="277"/>
      <c r="Y346" s="271"/>
      <c r="Z346" s="271"/>
      <c r="AA346" s="271"/>
    </row>
    <row r="347" spans="1:27" s="257" customFormat="1" hidden="1">
      <c r="A347" s="259">
        <f>A346+1</f>
        <v>324</v>
      </c>
      <c r="B347" s="259"/>
      <c r="C347" s="259" t="s">
        <v>65</v>
      </c>
      <c r="D347" s="277" t="s">
        <v>581</v>
      </c>
      <c r="E347" s="258" t="str">
        <f>VLOOKUP(D347,Store_Info_VN!B:P,2,0)</f>
        <v>CONVERSE LOTTE MALL</v>
      </c>
      <c r="F347" s="258" t="s">
        <v>56</v>
      </c>
      <c r="G347" s="258" t="str">
        <f>I347&amp;" "&amp;J347&amp;" "&amp;K347</f>
        <v>Scanner Datalogic QW2100</v>
      </c>
      <c r="H347" s="258">
        <v>1</v>
      </c>
      <c r="I347" s="258" t="s">
        <v>96</v>
      </c>
      <c r="J347" s="258" t="s">
        <v>97</v>
      </c>
      <c r="K347" s="258" t="s">
        <v>98</v>
      </c>
      <c r="L347" s="258"/>
      <c r="M347" s="288"/>
      <c r="N347" s="314"/>
      <c r="O347" s="314"/>
      <c r="P347" s="259"/>
      <c r="Q347" s="259"/>
      <c r="R347" s="258"/>
      <c r="S347" s="258"/>
      <c r="T347" s="278"/>
      <c r="U347" s="268"/>
      <c r="V347" s="258"/>
      <c r="W347" s="308"/>
      <c r="X347" s="277"/>
      <c r="Y347" s="271"/>
      <c r="Z347" s="271"/>
      <c r="AA347" s="271"/>
    </row>
    <row r="348" spans="1:27" s="257" customFormat="1" hidden="1">
      <c r="A348" s="259">
        <f>A347+1</f>
        <v>325</v>
      </c>
      <c r="B348" s="259"/>
      <c r="C348" s="259" t="s">
        <v>65</v>
      </c>
      <c r="D348" s="277" t="s">
        <v>581</v>
      </c>
      <c r="E348" s="258" t="str">
        <f>VLOOKUP(D348,Store_Info_VN!B:P,2,0)</f>
        <v>CONVERSE LOTTE MALL</v>
      </c>
      <c r="F348" s="258" t="s">
        <v>56</v>
      </c>
      <c r="G348" s="258" t="str">
        <f>I348&amp;" "&amp;J348&amp;" "&amp;K348</f>
        <v>Bill Printer Epson TM82III</v>
      </c>
      <c r="H348" s="258">
        <v>1</v>
      </c>
      <c r="I348" s="258" t="s">
        <v>92</v>
      </c>
      <c r="J348" s="258" t="s">
        <v>93</v>
      </c>
      <c r="K348" s="258" t="s">
        <v>704</v>
      </c>
      <c r="L348" s="258"/>
      <c r="M348" s="288"/>
      <c r="N348" s="314"/>
      <c r="O348" s="314"/>
      <c r="P348" s="259"/>
      <c r="Q348" s="259"/>
      <c r="R348" s="258"/>
      <c r="S348" s="258"/>
      <c r="T348" s="278"/>
      <c r="U348" s="268"/>
      <c r="V348" s="258"/>
      <c r="W348" s="308"/>
      <c r="X348" s="277"/>
      <c r="Y348" s="271"/>
      <c r="Z348" s="271"/>
      <c r="AA348" s="271"/>
    </row>
    <row r="349" spans="1:27" s="257" customFormat="1" hidden="1">
      <c r="A349" s="259">
        <f>A348+1</f>
        <v>326</v>
      </c>
      <c r="B349" s="259"/>
      <c r="C349" s="259" t="s">
        <v>65</v>
      </c>
      <c r="D349" s="277" t="s">
        <v>581</v>
      </c>
      <c r="E349" s="258" t="str">
        <f>VLOOKUP(D349,Store_Info_VN!B:P,2,0)</f>
        <v>CONVERSE LOTTE MALL</v>
      </c>
      <c r="F349" s="258" t="s">
        <v>56</v>
      </c>
      <c r="G349" s="258" t="str">
        <f>I349&amp;" "&amp;J349&amp;" "&amp;K349</f>
        <v>Other Lioa Power Supply</v>
      </c>
      <c r="H349" s="258">
        <v>1</v>
      </c>
      <c r="I349" s="258" t="s">
        <v>275</v>
      </c>
      <c r="J349" s="258" t="s">
        <v>770</v>
      </c>
      <c r="K349" s="258" t="s">
        <v>675</v>
      </c>
      <c r="L349" s="258"/>
      <c r="M349" s="288"/>
      <c r="N349" s="314"/>
      <c r="O349" s="314"/>
      <c r="P349" s="259"/>
      <c r="Q349" s="259"/>
      <c r="R349" s="258"/>
      <c r="S349" s="258"/>
      <c r="T349" s="278"/>
      <c r="U349" s="268"/>
      <c r="V349" s="258"/>
      <c r="W349" s="308"/>
      <c r="X349" s="277"/>
      <c r="Y349" s="271"/>
      <c r="Z349" s="271"/>
      <c r="AA349" s="271"/>
    </row>
    <row r="350" spans="1:27" s="257" customFormat="1" hidden="1">
      <c r="A350" s="259">
        <f>A349+1</f>
        <v>327</v>
      </c>
      <c r="B350" s="259"/>
      <c r="C350" s="259" t="s">
        <v>65</v>
      </c>
      <c r="D350" s="277" t="s">
        <v>581</v>
      </c>
      <c r="E350" s="258" t="str">
        <f>VLOOKUP(D350,Store_Info_VN!B:P,2,0)</f>
        <v>CONVERSE LOTTE MALL</v>
      </c>
      <c r="F350" s="258" t="s">
        <v>56</v>
      </c>
      <c r="G350" s="258" t="str">
        <f>I350&amp;" "&amp;J350&amp;" "&amp;K350</f>
        <v>Monitor HP V20</v>
      </c>
      <c r="H350" s="258">
        <v>1</v>
      </c>
      <c r="I350" s="258" t="s">
        <v>116</v>
      </c>
      <c r="J350" s="258" t="s">
        <v>58</v>
      </c>
      <c r="K350" s="258" t="s">
        <v>782</v>
      </c>
      <c r="L350" s="258"/>
      <c r="M350" s="288"/>
      <c r="N350" s="314"/>
      <c r="O350" s="314"/>
      <c r="P350" s="259"/>
      <c r="Q350" s="259"/>
      <c r="R350" s="258"/>
      <c r="S350" s="258"/>
      <c r="T350" s="278"/>
      <c r="U350" s="268"/>
      <c r="V350" s="258"/>
      <c r="W350" s="308"/>
      <c r="X350" s="277"/>
      <c r="Y350" s="271"/>
      <c r="Z350" s="271"/>
      <c r="AA350" s="271"/>
    </row>
    <row r="351" spans="1:27" s="257" customFormat="1" hidden="1">
      <c r="A351" s="259">
        <f>A350+1</f>
        <v>328</v>
      </c>
      <c r="B351" s="259"/>
      <c r="C351" s="259" t="s">
        <v>65</v>
      </c>
      <c r="D351" s="277" t="s">
        <v>581</v>
      </c>
      <c r="E351" s="258" t="str">
        <f>VLOOKUP(D351,Store_Info_VN!B:P,2,0)</f>
        <v>CONVERSE LOTTE MALL</v>
      </c>
      <c r="F351" s="258" t="s">
        <v>56</v>
      </c>
      <c r="G351" s="258" t="str">
        <f>I351&amp;" "&amp;J351&amp;" "&amp;K351</f>
        <v>Pole Display DSP V9</v>
      </c>
      <c r="H351" s="258">
        <v>1</v>
      </c>
      <c r="I351" s="258" t="s">
        <v>125</v>
      </c>
      <c r="J351" s="258" t="s">
        <v>783</v>
      </c>
      <c r="K351" s="258" t="s">
        <v>784</v>
      </c>
      <c r="L351" s="258"/>
      <c r="M351" s="288"/>
      <c r="N351" s="314"/>
      <c r="O351" s="314"/>
      <c r="P351" s="259"/>
      <c r="Q351" s="259"/>
      <c r="R351" s="258"/>
      <c r="S351" s="258"/>
      <c r="T351" s="278"/>
      <c r="U351" s="268"/>
      <c r="V351" s="258"/>
      <c r="W351" s="308"/>
      <c r="X351" s="277"/>
      <c r="Y351" s="271"/>
      <c r="Z351" s="271"/>
      <c r="AA351" s="271"/>
    </row>
    <row r="352" spans="1:27" s="257" customFormat="1" ht="26.25" hidden="1">
      <c r="A352" s="259">
        <f>A351+1</f>
        <v>329</v>
      </c>
      <c r="B352" s="259"/>
      <c r="C352" s="259" t="s">
        <v>65</v>
      </c>
      <c r="D352" s="277" t="s">
        <v>581</v>
      </c>
      <c r="E352" s="258" t="str">
        <f>VLOOKUP(D352,Store_Info_VN!B:P,2,0)</f>
        <v>CONVERSE LOTTE MALL</v>
      </c>
      <c r="F352" s="258" t="s">
        <v>56</v>
      </c>
      <c r="G352" s="258" t="str">
        <f>I352&amp;" "&amp;J352&amp;" "&amp;K352</f>
        <v>Network Switch Cisco CBS110-16TEU</v>
      </c>
      <c r="H352" s="258">
        <v>1</v>
      </c>
      <c r="I352" s="258" t="s">
        <v>172</v>
      </c>
      <c r="J352" s="258" t="s">
        <v>562</v>
      </c>
      <c r="K352" s="258" t="s">
        <v>764</v>
      </c>
      <c r="L352" s="258"/>
      <c r="M352" s="288"/>
      <c r="N352" s="314"/>
      <c r="O352" s="314"/>
      <c r="P352" s="259"/>
      <c r="Q352" s="259"/>
      <c r="R352" s="258"/>
      <c r="S352" s="258"/>
      <c r="T352" s="278"/>
      <c r="U352" s="268"/>
      <c r="V352" s="258"/>
      <c r="W352" s="308"/>
      <c r="X352" s="277"/>
      <c r="Y352" s="271"/>
      <c r="Z352" s="271"/>
      <c r="AA352" s="271"/>
    </row>
    <row r="353" spans="1:27" s="257" customFormat="1" hidden="1">
      <c r="A353" s="259">
        <f>A352+1</f>
        <v>330</v>
      </c>
      <c r="B353" s="259"/>
      <c r="C353" s="259" t="s">
        <v>65</v>
      </c>
      <c r="D353" s="277" t="s">
        <v>581</v>
      </c>
      <c r="E353" s="258" t="str">
        <f>VLOOKUP(D353,Store_Info_VN!B:P,2,0)</f>
        <v>CONVERSE LOTTE MALL</v>
      </c>
      <c r="F353" s="258" t="s">
        <v>56</v>
      </c>
      <c r="G353" s="258" t="str">
        <f>I353&amp;" "&amp;J353&amp;" "&amp;K353</f>
        <v>USB Hub Orico 4 Port</v>
      </c>
      <c r="H353" s="258">
        <v>1</v>
      </c>
      <c r="I353" s="258" t="s">
        <v>273</v>
      </c>
      <c r="J353" s="258" t="s">
        <v>274</v>
      </c>
      <c r="K353" s="258" t="s">
        <v>466</v>
      </c>
      <c r="L353" s="258"/>
      <c r="M353" s="288"/>
      <c r="N353" s="314"/>
      <c r="O353" s="314"/>
      <c r="P353" s="259"/>
      <c r="Q353" s="259"/>
      <c r="R353" s="258"/>
      <c r="S353" s="258"/>
      <c r="T353" s="278"/>
      <c r="U353" s="268"/>
      <c r="V353" s="258"/>
      <c r="W353" s="308"/>
      <c r="X353" s="277"/>
      <c r="Y353" s="271"/>
      <c r="Z353" s="271"/>
      <c r="AA353" s="271"/>
    </row>
    <row r="354" spans="1:27" ht="14.25">
      <c r="A354" s="261">
        <f>A353+1</f>
        <v>331</v>
      </c>
      <c r="B354" s="261"/>
      <c r="C354" s="261" t="s">
        <v>54</v>
      </c>
      <c r="D354" s="289" t="s">
        <v>55</v>
      </c>
      <c r="E354" s="261" t="str">
        <f>VLOOKUP(D354,Store_Info_VN!B:P,2,0)</f>
        <v>BIRKENSTOCK ESTELLA</v>
      </c>
      <c r="F354" s="261" t="s">
        <v>56</v>
      </c>
      <c r="G354" s="261" t="str">
        <f>I354&amp;" "&amp;J354&amp;" "&amp;K354</f>
        <v>Bill Printer Epson TM-82II</v>
      </c>
      <c r="H354" s="261">
        <v>1</v>
      </c>
      <c r="I354" s="261" t="s">
        <v>92</v>
      </c>
      <c r="J354" s="261" t="s">
        <v>93</v>
      </c>
      <c r="K354" s="261" t="s">
        <v>681</v>
      </c>
      <c r="L354" s="261"/>
      <c r="M354" s="613" t="s">
        <v>787</v>
      </c>
      <c r="N354" s="289"/>
      <c r="O354" s="289"/>
      <c r="P354" s="261"/>
      <c r="Q354" s="261"/>
      <c r="R354" s="261"/>
      <c r="S354" s="261"/>
      <c r="T354" s="666"/>
      <c r="U354" s="291"/>
      <c r="V354" s="261"/>
      <c r="W354" s="305"/>
      <c r="X354" s="289"/>
      <c r="Y354" s="293"/>
      <c r="Z354" s="293"/>
      <c r="AA354" s="293"/>
    </row>
    <row r="355" spans="1:27" ht="28.5">
      <c r="A355" s="258">
        <f>A354+1</f>
        <v>332</v>
      </c>
      <c r="B355" s="258"/>
      <c r="C355" s="258" t="s">
        <v>54</v>
      </c>
      <c r="D355" s="277" t="s">
        <v>55</v>
      </c>
      <c r="E355" s="258" t="str">
        <f>VLOOKUP(D355,Store_Info_VN!B:P,2,0)</f>
        <v>BIRKENSTOCK ESTELLA</v>
      </c>
      <c r="F355" s="258" t="s">
        <v>56</v>
      </c>
      <c r="G355" s="258" t="str">
        <f>I355&amp;" "&amp;J355&amp;" "&amp;K355</f>
        <v>A4 Printer HP PLaserJet pro m12w</v>
      </c>
      <c r="H355" s="258">
        <v>1</v>
      </c>
      <c r="I355" s="258" t="s">
        <v>99</v>
      </c>
      <c r="J355" s="258" t="s">
        <v>58</v>
      </c>
      <c r="K355" s="258" t="s">
        <v>788</v>
      </c>
      <c r="M355" s="615" t="s">
        <v>789</v>
      </c>
      <c r="N355" s="277"/>
      <c r="O355" s="277"/>
      <c r="R355" s="258"/>
      <c r="S355" s="258"/>
      <c r="W355" s="308"/>
      <c r="X355" s="277"/>
    </row>
    <row r="356" spans="1:27" ht="14.25">
      <c r="A356" s="258">
        <f>A355+1</f>
        <v>333</v>
      </c>
      <c r="B356" s="258"/>
      <c r="C356" s="258" t="s">
        <v>54</v>
      </c>
      <c r="D356" s="277" t="s">
        <v>55</v>
      </c>
      <c r="E356" s="258" t="str">
        <f>VLOOKUP(D356,Store_Info_VN!B:P,2,0)</f>
        <v>BIRKENSTOCK ESTELLA</v>
      </c>
      <c r="F356" s="258" t="s">
        <v>56</v>
      </c>
      <c r="G356" s="258" t="str">
        <f>I356&amp;" "&amp;J356&amp;" "&amp;K356</f>
        <v>Monitor HP V190</v>
      </c>
      <c r="H356" s="258">
        <v>1</v>
      </c>
      <c r="I356" s="258" t="s">
        <v>116</v>
      </c>
      <c r="J356" s="258" t="s">
        <v>58</v>
      </c>
      <c r="K356" s="258" t="s">
        <v>117</v>
      </c>
      <c r="M356" s="621" t="s">
        <v>790</v>
      </c>
      <c r="N356" s="277"/>
      <c r="O356" s="277"/>
      <c r="R356" s="258"/>
      <c r="S356" s="258"/>
      <c r="W356" s="308"/>
      <c r="X356" s="277"/>
    </row>
    <row r="357" spans="1:27" ht="14.25">
      <c r="A357" s="258">
        <f>A356+1</f>
        <v>334</v>
      </c>
      <c r="B357" s="258"/>
      <c r="C357" s="258" t="s">
        <v>54</v>
      </c>
      <c r="D357" s="277" t="s">
        <v>55</v>
      </c>
      <c r="E357" s="258" t="str">
        <f>VLOOKUP(D357,Store_Info_VN!B:P,2,0)</f>
        <v>BIRKENSTOCK ESTELLA</v>
      </c>
      <c r="F357" s="258" t="s">
        <v>56</v>
      </c>
      <c r="G357" s="258" t="str">
        <f>I357&amp;" "&amp;J357&amp;" "&amp;K357</f>
        <v>Scanner Datalogic QW2100</v>
      </c>
      <c r="H357" s="258">
        <v>1</v>
      </c>
      <c r="I357" s="258" t="s">
        <v>96</v>
      </c>
      <c r="J357" s="258" t="s">
        <v>97</v>
      </c>
      <c r="K357" s="258" t="s">
        <v>98</v>
      </c>
      <c r="M357" s="621" t="s">
        <v>791</v>
      </c>
      <c r="N357" s="277"/>
      <c r="O357" s="277"/>
      <c r="R357" s="258"/>
      <c r="S357" s="258"/>
      <c r="W357" s="308"/>
      <c r="X357" s="277"/>
    </row>
    <row r="358" spans="1:27" ht="14.25">
      <c r="A358" s="258">
        <f>A357+1</f>
        <v>335</v>
      </c>
      <c r="B358" s="258"/>
      <c r="C358" s="258" t="s">
        <v>54</v>
      </c>
      <c r="D358" s="277" t="s">
        <v>55</v>
      </c>
      <c r="E358" s="258" t="str">
        <f>VLOOKUP(D358,Store_Info_VN!B:P,2,0)</f>
        <v>BIRKENSTOCK ESTELLA</v>
      </c>
      <c r="F358" s="258" t="s">
        <v>56</v>
      </c>
      <c r="G358" s="258" t="str">
        <f>I358&amp;" "&amp;J358&amp;" "&amp;K358</f>
        <v xml:space="preserve">Pole Display HP </v>
      </c>
      <c r="H358" s="258">
        <v>1</v>
      </c>
      <c r="I358" s="258" t="s">
        <v>125</v>
      </c>
      <c r="J358" s="258" t="s">
        <v>58</v>
      </c>
      <c r="M358" s="615"/>
      <c r="N358" s="277"/>
      <c r="O358" s="277"/>
      <c r="R358" s="258"/>
      <c r="S358" s="258"/>
      <c r="W358" s="308"/>
      <c r="X358" s="277"/>
    </row>
    <row r="359" spans="1:27" ht="14.25">
      <c r="A359" s="258">
        <f>A358+1</f>
        <v>336</v>
      </c>
      <c r="B359" s="258"/>
      <c r="C359" s="258" t="s">
        <v>54</v>
      </c>
      <c r="D359" s="277" t="s">
        <v>55</v>
      </c>
      <c r="E359" s="258" t="str">
        <f>VLOOKUP(D359,Store_Info_VN!B:P,2,0)</f>
        <v>BIRKENSTOCK ESTELLA</v>
      </c>
      <c r="F359" s="258" t="s">
        <v>56</v>
      </c>
      <c r="G359" s="258" t="str">
        <f>I359&amp;" "&amp;J359&amp;" "&amp;K359</f>
        <v xml:space="preserve">Cash Drawer Antech </v>
      </c>
      <c r="H359" s="258">
        <v>1</v>
      </c>
      <c r="I359" s="258" t="s">
        <v>159</v>
      </c>
      <c r="J359" s="258" t="s">
        <v>200</v>
      </c>
      <c r="K359" s="621"/>
      <c r="M359" s="621" t="s">
        <v>792</v>
      </c>
      <c r="N359" s="277"/>
      <c r="O359" s="277"/>
      <c r="R359" s="258"/>
      <c r="S359" s="258"/>
      <c r="W359" s="308"/>
      <c r="X359" s="277"/>
    </row>
    <row r="360" spans="1:27" ht="14.25">
      <c r="A360" s="258">
        <f>A359+1</f>
        <v>337</v>
      </c>
      <c r="B360" s="258"/>
      <c r="C360" s="258" t="s">
        <v>54</v>
      </c>
      <c r="D360" s="277" t="s">
        <v>55</v>
      </c>
      <c r="E360" s="258" t="str">
        <f>VLOOKUP(D360,Store_Info_VN!B:P,2,0)</f>
        <v>BIRKENSTOCK ESTELLA</v>
      </c>
      <c r="F360" s="258" t="s">
        <v>56</v>
      </c>
      <c r="G360" s="258" t="str">
        <f>I360&amp;" "&amp;J360&amp;" "&amp;K360</f>
        <v>Other Mitaco Finger printer</v>
      </c>
      <c r="H360" s="258">
        <v>1</v>
      </c>
      <c r="I360" s="258" t="s">
        <v>275</v>
      </c>
      <c r="J360" s="258" t="s">
        <v>793</v>
      </c>
      <c r="K360" s="258" t="s">
        <v>794</v>
      </c>
      <c r="L360" s="622"/>
      <c r="M360" s="622" t="s">
        <v>795</v>
      </c>
      <c r="N360" s="277"/>
      <c r="O360" s="277"/>
      <c r="R360" s="258"/>
      <c r="S360" s="258"/>
      <c r="W360" s="308"/>
      <c r="X360" s="277"/>
    </row>
    <row r="361" spans="1:27" ht="14.25">
      <c r="A361" s="258">
        <f>A360+1</f>
        <v>338</v>
      </c>
      <c r="B361" s="258"/>
      <c r="C361" s="258" t="s">
        <v>54</v>
      </c>
      <c r="D361" s="277" t="s">
        <v>55</v>
      </c>
      <c r="E361" s="258" t="str">
        <f>VLOOKUP(D361,Store_Info_VN!B:P,2,0)</f>
        <v>BIRKENSTOCK ESTELLA</v>
      </c>
      <c r="F361" s="258" t="s">
        <v>56</v>
      </c>
      <c r="G361" s="258" t="str">
        <f>I361&amp;" "&amp;J361&amp;" "&amp;K361</f>
        <v xml:space="preserve">Network Switch TP-Link </v>
      </c>
      <c r="H361" s="258">
        <v>1</v>
      </c>
      <c r="I361" s="258" t="s">
        <v>172</v>
      </c>
      <c r="J361" s="258" t="s">
        <v>796</v>
      </c>
      <c r="M361" s="622" t="s">
        <v>797</v>
      </c>
      <c r="N361" s="277"/>
      <c r="O361" s="277"/>
      <c r="R361" s="258"/>
      <c r="S361" s="258"/>
      <c r="W361" s="308"/>
      <c r="X361" s="277"/>
    </row>
    <row r="362" spans="1:27" ht="14.25">
      <c r="A362" s="258">
        <f>A361+1</f>
        <v>339</v>
      </c>
      <c r="B362" s="258"/>
      <c r="C362" s="258" t="s">
        <v>54</v>
      </c>
      <c r="D362" s="277" t="s">
        <v>55</v>
      </c>
      <c r="E362" s="258" t="str">
        <f>VLOOKUP(D362,Store_Info_VN!B:P,2,0)</f>
        <v>BIRKENSTOCK ESTELLA</v>
      </c>
      <c r="F362" s="258" t="s">
        <v>56</v>
      </c>
      <c r="G362" s="258" t="str">
        <f>I362&amp;" "&amp;J362&amp;" "&amp;K362</f>
        <v>Firewall Fortinet 60E</v>
      </c>
      <c r="H362" s="258">
        <v>1</v>
      </c>
      <c r="I362" s="258" t="s">
        <v>798</v>
      </c>
      <c r="J362" s="258" t="s">
        <v>799</v>
      </c>
      <c r="K362" s="258" t="s">
        <v>800</v>
      </c>
      <c r="M362" s="621" t="s">
        <v>801</v>
      </c>
      <c r="N362" s="277"/>
      <c r="O362" s="277"/>
      <c r="R362" s="258"/>
      <c r="S362" s="258"/>
      <c r="W362" s="308"/>
      <c r="X362" s="277"/>
    </row>
    <row r="363" spans="1:27" ht="14.25">
      <c r="A363" s="258">
        <f>A362+1</f>
        <v>340</v>
      </c>
      <c r="B363" s="258"/>
      <c r="C363" s="258" t="s">
        <v>54</v>
      </c>
      <c r="D363" s="277" t="s">
        <v>248</v>
      </c>
      <c r="E363" s="258" t="str">
        <f>VLOOKUP(D363,Store_Info_VN!B:P,2,0)</f>
        <v>NEW ERA DIAMOND PLAZA</v>
      </c>
      <c r="F363" s="258" t="s">
        <v>56</v>
      </c>
      <c r="G363" s="258" t="str">
        <f>I363&amp;" "&amp;J363&amp;" "&amp;K363</f>
        <v>Scanner Datalogic QW2100</v>
      </c>
      <c r="H363" s="258">
        <v>1</v>
      </c>
      <c r="I363" s="258" t="s">
        <v>96</v>
      </c>
      <c r="J363" s="258" t="s">
        <v>97</v>
      </c>
      <c r="K363" s="258" t="s">
        <v>98</v>
      </c>
      <c r="M363" s="320" t="s">
        <v>802</v>
      </c>
      <c r="N363" s="277"/>
      <c r="O363" s="277"/>
      <c r="R363" s="258"/>
      <c r="S363" s="258"/>
      <c r="W363" s="308"/>
      <c r="X363" s="277"/>
    </row>
    <row r="364" spans="1:27" ht="14.25">
      <c r="A364" s="258">
        <f>A363+1</f>
        <v>341</v>
      </c>
      <c r="B364" s="258"/>
      <c r="C364" s="258" t="s">
        <v>54</v>
      </c>
      <c r="D364" s="277" t="s">
        <v>248</v>
      </c>
      <c r="E364" s="258" t="str">
        <f>VLOOKUP(D364,Store_Info_VN!B:P,2,0)</f>
        <v>NEW ERA DIAMOND PLAZA</v>
      </c>
      <c r="F364" s="258" t="s">
        <v>56</v>
      </c>
      <c r="G364" s="258" t="str">
        <f>I364&amp;" "&amp;J364&amp;" "&amp;K364</f>
        <v>Bill Printer Epson TM-82III</v>
      </c>
      <c r="H364" s="258">
        <v>1</v>
      </c>
      <c r="I364" s="258" t="s">
        <v>92</v>
      </c>
      <c r="J364" s="258" t="s">
        <v>93</v>
      </c>
      <c r="K364" s="258" t="s">
        <v>664</v>
      </c>
      <c r="M364" s="320" t="s">
        <v>803</v>
      </c>
      <c r="N364" s="277"/>
      <c r="O364" s="277"/>
      <c r="R364" s="258"/>
      <c r="S364" s="258"/>
      <c r="W364" s="308"/>
      <c r="X364" s="277"/>
    </row>
    <row r="365" spans="1:27" ht="28.5">
      <c r="A365" s="258">
        <f>A364+1</f>
        <v>342</v>
      </c>
      <c r="B365" s="258"/>
      <c r="C365" s="258" t="s">
        <v>54</v>
      </c>
      <c r="D365" s="277" t="s">
        <v>248</v>
      </c>
      <c r="E365" s="258" t="str">
        <f>VLOOKUP(D365,Store_Info_VN!B:P,2,0)</f>
        <v>NEW ERA DIAMOND PLAZA</v>
      </c>
      <c r="F365" s="258" t="s">
        <v>56</v>
      </c>
      <c r="G365" s="258" t="str">
        <f>I365&amp;" "&amp;J365&amp;" "&amp;K365</f>
        <v>USB Lexar JUMPDRIVE S80 (32GB)</v>
      </c>
      <c r="H365" s="258">
        <v>1</v>
      </c>
      <c r="I365" s="258" t="s">
        <v>103</v>
      </c>
      <c r="J365" s="258" t="s">
        <v>804</v>
      </c>
      <c r="K365" s="258" t="s">
        <v>805</v>
      </c>
      <c r="M365" s="615"/>
      <c r="N365" s="277"/>
      <c r="O365" s="277"/>
      <c r="R365" s="258"/>
      <c r="S365" s="258"/>
      <c r="W365" s="308"/>
      <c r="X365" s="277"/>
    </row>
    <row r="366" spans="1:27" ht="14.25">
      <c r="A366" s="279">
        <f>A365+1</f>
        <v>343</v>
      </c>
      <c r="B366" s="279"/>
      <c r="C366" s="279" t="s">
        <v>54</v>
      </c>
      <c r="D366" s="303" t="s">
        <v>248</v>
      </c>
      <c r="E366" s="279" t="str">
        <f>VLOOKUP(D366,Store_Info_VN!B:P,2,0)</f>
        <v>NEW ERA DIAMOND PLAZA</v>
      </c>
      <c r="F366" s="279" t="s">
        <v>56</v>
      </c>
      <c r="G366" s="279" t="str">
        <f>I366&amp;" "&amp;J366&amp;" "&amp;K366</f>
        <v>Other Lioa Power socket</v>
      </c>
      <c r="H366" s="279">
        <v>1</v>
      </c>
      <c r="I366" s="279" t="s">
        <v>275</v>
      </c>
      <c r="J366" s="279" t="s">
        <v>770</v>
      </c>
      <c r="K366" s="279" t="s">
        <v>806</v>
      </c>
      <c r="L366" s="279"/>
      <c r="M366" s="662"/>
      <c r="N366" s="303"/>
      <c r="O366" s="303"/>
      <c r="P366" s="279"/>
      <c r="Q366" s="279"/>
      <c r="R366" s="279"/>
      <c r="S366" s="279"/>
      <c r="T366" s="285"/>
      <c r="U366" s="286"/>
      <c r="V366" s="279"/>
      <c r="W366" s="628"/>
      <c r="X366" s="303"/>
      <c r="Y366" s="284"/>
      <c r="Z366" s="284"/>
      <c r="AA366" s="284"/>
    </row>
    <row r="367" spans="1:27" s="257" customFormat="1" hidden="1">
      <c r="A367" s="259">
        <f>A366+1</f>
        <v>344</v>
      </c>
      <c r="B367" s="259"/>
      <c r="C367" s="259" t="s">
        <v>65</v>
      </c>
      <c r="D367" s="277" t="s">
        <v>342</v>
      </c>
      <c r="E367" s="258" t="str">
        <f>VLOOKUP(D367,Store_Info_VN!B:P,2,0)</f>
        <v>SMIGGLE ESTELLA</v>
      </c>
      <c r="F367" s="258" t="s">
        <v>56</v>
      </c>
      <c r="G367" s="258" t="str">
        <f>I367&amp;" "&amp;J367&amp;" "&amp;K367</f>
        <v>Scanner Datalogic QW2100</v>
      </c>
      <c r="H367" s="258">
        <v>1</v>
      </c>
      <c r="I367" s="258" t="s">
        <v>96</v>
      </c>
      <c r="J367" s="258" t="s">
        <v>97</v>
      </c>
      <c r="K367" s="258" t="s">
        <v>98</v>
      </c>
      <c r="L367" s="258"/>
      <c r="M367" s="621" t="s">
        <v>807</v>
      </c>
      <c r="N367" s="314"/>
      <c r="O367" s="314"/>
      <c r="P367" s="259"/>
      <c r="Q367" s="259"/>
      <c r="R367" s="258"/>
      <c r="S367" s="258"/>
      <c r="T367" s="278"/>
      <c r="U367" s="268"/>
      <c r="V367" s="258"/>
      <c r="W367" s="308"/>
      <c r="X367" s="277"/>
      <c r="Y367" s="271"/>
      <c r="Z367" s="271"/>
      <c r="AA367" s="271"/>
    </row>
    <row r="368" spans="1:27" s="257" customFormat="1" hidden="1">
      <c r="A368" s="259">
        <f>A367+1</f>
        <v>345</v>
      </c>
      <c r="B368" s="259"/>
      <c r="C368" s="259" t="s">
        <v>65</v>
      </c>
      <c r="D368" s="277" t="s">
        <v>342</v>
      </c>
      <c r="E368" s="258" t="str">
        <f>VLOOKUP(D368,Store_Info_VN!B:P,2,0)</f>
        <v>SMIGGLE ESTELLA</v>
      </c>
      <c r="F368" s="258" t="s">
        <v>56</v>
      </c>
      <c r="G368" s="258" t="str">
        <f>I368&amp;" "&amp;J368&amp;" "&amp;K368</f>
        <v>Bill Printer Epson TM-82III</v>
      </c>
      <c r="H368" s="258">
        <v>1</v>
      </c>
      <c r="I368" s="258" t="s">
        <v>92</v>
      </c>
      <c r="J368" s="258" t="s">
        <v>93</v>
      </c>
      <c r="K368" s="258" t="s">
        <v>664</v>
      </c>
      <c r="L368" s="258"/>
      <c r="M368" s="621" t="s">
        <v>808</v>
      </c>
      <c r="N368" s="314"/>
      <c r="O368" s="314"/>
      <c r="P368" s="259"/>
      <c r="Q368" s="259"/>
      <c r="R368" s="258"/>
      <c r="S368" s="258"/>
      <c r="T368" s="278"/>
      <c r="U368" s="268"/>
      <c r="V368" s="258"/>
      <c r="W368" s="308"/>
      <c r="X368" s="277"/>
      <c r="Y368" s="271"/>
      <c r="Z368" s="271"/>
      <c r="AA368" s="271"/>
    </row>
    <row r="369" spans="1:27" s="257" customFormat="1" hidden="1">
      <c r="A369" s="259">
        <f>A368+1</f>
        <v>346</v>
      </c>
      <c r="B369" s="259"/>
      <c r="C369" s="259" t="s">
        <v>65</v>
      </c>
      <c r="D369" s="277" t="s">
        <v>342</v>
      </c>
      <c r="E369" s="258" t="str">
        <f>VLOOKUP(D369,Store_Info_VN!B:P,2,0)</f>
        <v>SMIGGLE ESTELLA</v>
      </c>
      <c r="F369" s="258" t="s">
        <v>56</v>
      </c>
      <c r="G369" s="258" t="str">
        <f>I369&amp;" "&amp;J369&amp;" "&amp;K369</f>
        <v xml:space="preserve">Pole Display HP LD220 </v>
      </c>
      <c r="H369" s="258">
        <v>1</v>
      </c>
      <c r="I369" s="258" t="s">
        <v>125</v>
      </c>
      <c r="J369" s="258" t="s">
        <v>58</v>
      </c>
      <c r="K369" s="258" t="s">
        <v>809</v>
      </c>
      <c r="L369" s="258"/>
      <c r="M369" s="288"/>
      <c r="N369" s="314"/>
      <c r="O369" s="314"/>
      <c r="P369" s="259"/>
      <c r="Q369" s="259"/>
      <c r="R369" s="258"/>
      <c r="S369" s="258"/>
      <c r="T369" s="278"/>
      <c r="U369" s="268"/>
      <c r="V369" s="258"/>
      <c r="W369" s="308"/>
      <c r="X369" s="277"/>
      <c r="Y369" s="271"/>
      <c r="Z369" s="271"/>
      <c r="AA369" s="271"/>
    </row>
    <row r="370" spans="1:27" s="257" customFormat="1" hidden="1">
      <c r="A370" s="259">
        <f>A369+1</f>
        <v>347</v>
      </c>
      <c r="B370" s="259"/>
      <c r="C370" s="259" t="s">
        <v>65</v>
      </c>
      <c r="D370" s="277" t="s">
        <v>342</v>
      </c>
      <c r="E370" s="258" t="str">
        <f>VLOOKUP(D370,Store_Info_VN!B:P,2,0)</f>
        <v>SMIGGLE ESTELLA</v>
      </c>
      <c r="F370" s="258" t="s">
        <v>56</v>
      </c>
      <c r="G370" s="258" t="str">
        <f>I370&amp;" "&amp;J370&amp;" "&amp;K370</f>
        <v>Cash Drawer Poscom 410</v>
      </c>
      <c r="H370" s="258">
        <v>1</v>
      </c>
      <c r="I370" s="258" t="s">
        <v>159</v>
      </c>
      <c r="J370" s="258" t="s">
        <v>160</v>
      </c>
      <c r="K370" s="258">
        <v>410</v>
      </c>
      <c r="L370" s="258"/>
      <c r="M370" s="288"/>
      <c r="N370" s="314"/>
      <c r="O370" s="314"/>
      <c r="P370" s="259"/>
      <c r="Q370" s="259"/>
      <c r="R370" s="258"/>
      <c r="S370" s="258"/>
      <c r="T370" s="278"/>
      <c r="U370" s="268"/>
      <c r="V370" s="258"/>
      <c r="W370" s="308"/>
      <c r="X370" s="277"/>
      <c r="Y370" s="271"/>
      <c r="Z370" s="271"/>
      <c r="AA370" s="271"/>
    </row>
    <row r="371" spans="1:27" s="257" customFormat="1" ht="28.5" hidden="1">
      <c r="A371" s="290">
        <f>A370+1</f>
        <v>348</v>
      </c>
      <c r="B371" s="290"/>
      <c r="C371" s="290" t="s">
        <v>253</v>
      </c>
      <c r="D371" s="294" t="s">
        <v>569</v>
      </c>
      <c r="E371" s="261" t="str">
        <f>VLOOKUP(D371,Store_Info_VN!B:P,2,0)</f>
        <v>BIRKENSTOCK CRESCENT MALL</v>
      </c>
      <c r="F371" s="261" t="s">
        <v>56</v>
      </c>
      <c r="G371" s="261" t="str">
        <f>I371&amp;" "&amp;J371&amp;" "&amp;K371</f>
        <v>Scanner Datalogic QW2100</v>
      </c>
      <c r="H371" s="297">
        <v>1</v>
      </c>
      <c r="I371" s="261" t="s">
        <v>96</v>
      </c>
      <c r="J371" s="261" t="s">
        <v>97</v>
      </c>
      <c r="K371" s="298" t="s">
        <v>98</v>
      </c>
      <c r="L371" s="261"/>
      <c r="M371" s="650" t="s">
        <v>810</v>
      </c>
      <c r="N371" s="343"/>
      <c r="O371" s="343"/>
      <c r="P371" s="295"/>
      <c r="Q371" s="295"/>
      <c r="R371" s="261"/>
      <c r="S371" s="261"/>
      <c r="T371" s="344"/>
      <c r="U371" s="291"/>
      <c r="V371" s="261"/>
      <c r="W371" s="269"/>
      <c r="X371" s="345"/>
      <c r="Y371" s="293"/>
      <c r="Z371" s="346"/>
      <c r="AA371" s="293"/>
    </row>
    <row r="372" spans="1:27" s="257" customFormat="1" ht="28.5" hidden="1">
      <c r="A372" s="259">
        <f>A371+1</f>
        <v>349</v>
      </c>
      <c r="B372" s="259"/>
      <c r="C372" s="259" t="s">
        <v>253</v>
      </c>
      <c r="D372" s="260" t="s">
        <v>569</v>
      </c>
      <c r="E372" s="258" t="str">
        <f>VLOOKUP(D372,Store_Info_VN!B:P,2,0)</f>
        <v>BIRKENSTOCK CRESCENT MALL</v>
      </c>
      <c r="F372" s="261" t="s">
        <v>56</v>
      </c>
      <c r="G372" s="258" t="str">
        <f>I372&amp;" "&amp;J372&amp;" "&amp;K372</f>
        <v>Bill Printer Epson TM-82III</v>
      </c>
      <c r="H372" s="262">
        <v>1</v>
      </c>
      <c r="I372" s="258" t="s">
        <v>92</v>
      </c>
      <c r="J372" s="258" t="s">
        <v>93</v>
      </c>
      <c r="K372" s="263" t="s">
        <v>664</v>
      </c>
      <c r="L372" s="258"/>
      <c r="M372" s="264" t="s">
        <v>811</v>
      </c>
      <c r="N372" s="265"/>
      <c r="O372" s="265"/>
      <c r="P372" s="266"/>
      <c r="Q372" s="266"/>
      <c r="R372" s="258"/>
      <c r="S372" s="258"/>
      <c r="T372" s="267"/>
      <c r="U372" s="268"/>
      <c r="V372" s="258"/>
      <c r="W372" s="269"/>
      <c r="X372" s="270"/>
      <c r="Y372" s="271"/>
      <c r="Z372" s="272"/>
      <c r="AA372" s="271"/>
    </row>
    <row r="373" spans="1:27" s="257" customFormat="1" ht="28.5" hidden="1">
      <c r="A373" s="259">
        <f>A372+1</f>
        <v>350</v>
      </c>
      <c r="B373" s="259"/>
      <c r="C373" s="259" t="s">
        <v>253</v>
      </c>
      <c r="D373" s="260" t="s">
        <v>569</v>
      </c>
      <c r="E373" s="258" t="str">
        <f>VLOOKUP(D373,Store_Info_VN!B:P,2,0)</f>
        <v>BIRKENSTOCK CRESCENT MALL</v>
      </c>
      <c r="F373" s="261" t="s">
        <v>56</v>
      </c>
      <c r="G373" s="258" t="str">
        <f>I373&amp;" "&amp;J373&amp;" "&amp;K373</f>
        <v>Pole Display Brich DSP-V9</v>
      </c>
      <c r="H373" s="262">
        <v>1</v>
      </c>
      <c r="I373" s="258" t="s">
        <v>125</v>
      </c>
      <c r="J373" s="258" t="s">
        <v>812</v>
      </c>
      <c r="K373" s="263" t="s">
        <v>558</v>
      </c>
      <c r="L373" s="258"/>
      <c r="M373" s="264" t="s">
        <v>813</v>
      </c>
      <c r="N373" s="265"/>
      <c r="O373" s="265"/>
      <c r="P373" s="266"/>
      <c r="Q373" s="266"/>
      <c r="R373" s="258"/>
      <c r="S373" s="258"/>
      <c r="T373" s="267"/>
      <c r="U373" s="268"/>
      <c r="V373" s="258"/>
      <c r="W373" s="269"/>
      <c r="X373" s="270"/>
      <c r="Y373" s="271"/>
      <c r="Z373" s="272"/>
      <c r="AA373" s="271"/>
    </row>
    <row r="374" spans="1:27" s="257" customFormat="1" ht="28.5" hidden="1">
      <c r="A374" s="259">
        <f>A373+1</f>
        <v>351</v>
      </c>
      <c r="B374" s="259"/>
      <c r="C374" s="259" t="s">
        <v>253</v>
      </c>
      <c r="D374" s="260" t="s">
        <v>569</v>
      </c>
      <c r="E374" s="258" t="str">
        <f>VLOOKUP(D374,Store_Info_VN!B:P,2,0)</f>
        <v>BIRKENSTOCK CRESCENT MALL</v>
      </c>
      <c r="F374" s="261" t="s">
        <v>56</v>
      </c>
      <c r="G374" s="258" t="str">
        <f>I374&amp;" "&amp;J374&amp;" "&amp;K374</f>
        <v>Cash Drawer Maken MK-410</v>
      </c>
      <c r="H374" s="262">
        <v>1</v>
      </c>
      <c r="I374" s="258" t="s">
        <v>159</v>
      </c>
      <c r="J374" s="258" t="s">
        <v>230</v>
      </c>
      <c r="K374" s="263" t="s">
        <v>732</v>
      </c>
      <c r="L374" s="258"/>
      <c r="M374" s="264" t="s">
        <v>814</v>
      </c>
      <c r="N374" s="265"/>
      <c r="O374" s="265"/>
      <c r="P374" s="266"/>
      <c r="Q374" s="266"/>
      <c r="R374" s="258"/>
      <c r="S374" s="258"/>
      <c r="T374" s="267"/>
      <c r="U374" s="268"/>
      <c r="V374" s="258"/>
      <c r="W374" s="269"/>
      <c r="X374" s="270"/>
      <c r="Y374" s="271"/>
      <c r="Z374" s="272"/>
      <c r="AA374" s="271"/>
    </row>
    <row r="375" spans="1:27" s="257" customFormat="1" ht="28.5" hidden="1">
      <c r="A375" s="259">
        <f>A374+1</f>
        <v>352</v>
      </c>
      <c r="B375" s="259"/>
      <c r="C375" s="259" t="s">
        <v>253</v>
      </c>
      <c r="D375" s="260" t="s">
        <v>569</v>
      </c>
      <c r="E375" s="258" t="str">
        <f>VLOOKUP(D375,Store_Info_VN!B:P,2,0)</f>
        <v>BIRKENSTOCK CRESCENT MALL</v>
      </c>
      <c r="F375" s="261" t="s">
        <v>56</v>
      </c>
      <c r="G375" s="258" t="str">
        <f>I375&amp;" "&amp;K402&amp;" "&amp;K375</f>
        <v>A4 Printer 4 Port LBP 2900</v>
      </c>
      <c r="H375" s="262">
        <v>1</v>
      </c>
      <c r="I375" s="258" t="s">
        <v>99</v>
      </c>
      <c r="J375" s="315"/>
      <c r="K375" s="263" t="s">
        <v>101</v>
      </c>
      <c r="L375" s="258"/>
      <c r="M375" s="264" t="s">
        <v>815</v>
      </c>
      <c r="N375" s="265"/>
      <c r="O375" s="265"/>
      <c r="P375" s="266"/>
      <c r="Q375" s="266"/>
      <c r="R375" s="258"/>
      <c r="S375" s="258"/>
      <c r="T375" s="267"/>
      <c r="U375" s="268"/>
      <c r="V375" s="258"/>
      <c r="W375" s="269"/>
      <c r="X375" s="270"/>
      <c r="Y375" s="271"/>
      <c r="Z375" s="272"/>
      <c r="AA375" s="271"/>
    </row>
    <row r="376" spans="1:27" s="257" customFormat="1" ht="28.5" hidden="1">
      <c r="A376" s="259">
        <f>A375+1</f>
        <v>353</v>
      </c>
      <c r="B376" s="259"/>
      <c r="C376" s="259" t="s">
        <v>253</v>
      </c>
      <c r="D376" s="260" t="s">
        <v>569</v>
      </c>
      <c r="E376" s="258" t="str">
        <f>VLOOKUP(D376,Store_Info_VN!B:P,2,0)</f>
        <v>BIRKENSTOCK CRESCENT MALL</v>
      </c>
      <c r="F376" s="261" t="s">
        <v>56</v>
      </c>
      <c r="G376" s="258" t="str">
        <f>I376&amp;" "&amp;J376&amp;" "&amp;K376</f>
        <v>Other Lioa Power socket</v>
      </c>
      <c r="H376" s="262">
        <v>1</v>
      </c>
      <c r="I376" s="258" t="s">
        <v>275</v>
      </c>
      <c r="J376" s="258" t="s">
        <v>770</v>
      </c>
      <c r="K376" s="263" t="s">
        <v>806</v>
      </c>
      <c r="L376" s="258"/>
      <c r="M376" s="264"/>
      <c r="N376" s="265"/>
      <c r="O376" s="265"/>
      <c r="P376" s="266"/>
      <c r="Q376" s="266"/>
      <c r="R376" s="258"/>
      <c r="S376" s="258"/>
      <c r="T376" s="267"/>
      <c r="U376" s="268"/>
      <c r="V376" s="258"/>
      <c r="W376" s="269"/>
      <c r="X376" s="270"/>
      <c r="Y376" s="271"/>
      <c r="Z376" s="272"/>
      <c r="AA376" s="271"/>
    </row>
    <row r="377" spans="1:27" s="257" customFormat="1" ht="28.5" hidden="1">
      <c r="A377" s="281">
        <f>A376+1</f>
        <v>354</v>
      </c>
      <c r="B377" s="281"/>
      <c r="C377" s="281" t="s">
        <v>253</v>
      </c>
      <c r="D377" s="307" t="s">
        <v>569</v>
      </c>
      <c r="E377" s="279" t="str">
        <f>VLOOKUP(D377,Store_Info_VN!B:P,2,0)</f>
        <v>BIRKENSTOCK CRESCENT MALL</v>
      </c>
      <c r="F377" s="296" t="s">
        <v>56</v>
      </c>
      <c r="G377" s="279" t="str">
        <f>I377&amp;" "&amp;J377&amp;" "&amp;K377</f>
        <v>Monitor HP V20</v>
      </c>
      <c r="H377" s="282">
        <v>1</v>
      </c>
      <c r="I377" s="279" t="s">
        <v>116</v>
      </c>
      <c r="J377" s="279" t="s">
        <v>58</v>
      </c>
      <c r="K377" s="275" t="s">
        <v>782</v>
      </c>
      <c r="L377" s="279"/>
      <c r="M377" s="283" t="s">
        <v>816</v>
      </c>
      <c r="N377" s="340"/>
      <c r="O377" s="340"/>
      <c r="P377" s="310"/>
      <c r="Q377" s="310"/>
      <c r="R377" s="279"/>
      <c r="S377" s="279"/>
      <c r="T377" s="311"/>
      <c r="U377" s="286"/>
      <c r="V377" s="279"/>
      <c r="W377" s="341"/>
      <c r="X377" s="270"/>
      <c r="Y377" s="284"/>
      <c r="Z377" s="342"/>
      <c r="AA377" s="284"/>
    </row>
    <row r="378" spans="1:27" s="257" customFormat="1" hidden="1">
      <c r="A378" s="259">
        <f>A377+1</f>
        <v>355</v>
      </c>
      <c r="B378" s="259"/>
      <c r="C378" s="259" t="s">
        <v>65</v>
      </c>
      <c r="D378" s="277" t="s">
        <v>592</v>
      </c>
      <c r="E378" s="258" t="str">
        <f>VLOOKUP(D378,Store_Info_VN!B:P,2,0)</f>
        <v>NEW BALANCE VAN HANH MALL</v>
      </c>
      <c r="F378" s="258" t="s">
        <v>56</v>
      </c>
      <c r="G378" s="258" t="str">
        <f>I378&amp;" "&amp;J378&amp;" "&amp;K378</f>
        <v>Scanner Datalogic QW2100</v>
      </c>
      <c r="H378" s="258">
        <v>1</v>
      </c>
      <c r="I378" s="258" t="s">
        <v>96</v>
      </c>
      <c r="J378" s="258" t="s">
        <v>97</v>
      </c>
      <c r="K378" s="258" t="s">
        <v>98</v>
      </c>
      <c r="L378" s="258"/>
      <c r="M378" s="288" t="s">
        <v>817</v>
      </c>
      <c r="N378" s="314"/>
      <c r="O378" s="314"/>
      <c r="P378" s="259"/>
      <c r="Q378" s="259"/>
      <c r="R378" s="258"/>
      <c r="S378" s="258"/>
      <c r="T378" s="278"/>
      <c r="U378" s="268"/>
      <c r="V378" s="258"/>
      <c r="W378" s="308"/>
      <c r="X378" s="277"/>
      <c r="Y378" s="271"/>
      <c r="Z378" s="271"/>
      <c r="AA378" s="271"/>
    </row>
    <row r="379" spans="1:27" s="257" customFormat="1" hidden="1">
      <c r="A379" s="259">
        <f>A378+1</f>
        <v>356</v>
      </c>
      <c r="B379" s="259"/>
      <c r="C379" s="259" t="s">
        <v>65</v>
      </c>
      <c r="D379" s="277" t="s">
        <v>592</v>
      </c>
      <c r="E379" s="258" t="str">
        <f>VLOOKUP(D379,Store_Info_VN!B:P,2,0)</f>
        <v>NEW BALANCE VAN HANH MALL</v>
      </c>
      <c r="F379" s="258" t="s">
        <v>56</v>
      </c>
      <c r="G379" s="258" t="str">
        <f>I379&amp;" "&amp;J379&amp;" "&amp;K379</f>
        <v>Bill Printer Epson TM-82III</v>
      </c>
      <c r="H379" s="258">
        <v>1</v>
      </c>
      <c r="I379" s="258" t="s">
        <v>92</v>
      </c>
      <c r="J379" s="258" t="s">
        <v>93</v>
      </c>
      <c r="K379" s="258" t="s">
        <v>664</v>
      </c>
      <c r="L379" s="258"/>
      <c r="M379" s="288" t="s">
        <v>818</v>
      </c>
      <c r="N379" s="314"/>
      <c r="O379" s="314"/>
      <c r="P379" s="259"/>
      <c r="Q379" s="259"/>
      <c r="R379" s="258"/>
      <c r="S379" s="258"/>
      <c r="T379" s="278"/>
      <c r="U379" s="268"/>
      <c r="V379" s="258"/>
      <c r="W379" s="308"/>
      <c r="X379" s="277"/>
      <c r="Y379" s="271"/>
      <c r="Z379" s="271"/>
      <c r="AA379" s="271"/>
    </row>
    <row r="380" spans="1:27" s="257" customFormat="1" ht="15" hidden="1">
      <c r="A380" s="259">
        <f>A379+1</f>
        <v>357</v>
      </c>
      <c r="B380" s="259"/>
      <c r="C380" s="259" t="s">
        <v>65</v>
      </c>
      <c r="D380" s="277" t="s">
        <v>592</v>
      </c>
      <c r="E380" s="258" t="str">
        <f>VLOOKUP(D380,Store_Info_VN!B:P,2,0)</f>
        <v>NEW BALANCE VAN HANH MALL</v>
      </c>
      <c r="F380" s="258" t="s">
        <v>56</v>
      </c>
      <c r="G380" s="258" t="str">
        <f>I380&amp;" "&amp;J380&amp;" "&amp;K380</f>
        <v>Pole Display Brich DSP-V9</v>
      </c>
      <c r="H380" s="258">
        <v>1</v>
      </c>
      <c r="I380" s="258" t="s">
        <v>125</v>
      </c>
      <c r="J380" s="258" t="s">
        <v>812</v>
      </c>
      <c r="K380" s="258" t="s">
        <v>558</v>
      </c>
      <c r="L380" s="258"/>
      <c r="M380" s="659" t="s">
        <v>819</v>
      </c>
      <c r="N380" s="314"/>
      <c r="O380" s="314"/>
      <c r="P380" s="259"/>
      <c r="Q380" s="259"/>
      <c r="R380" s="258"/>
      <c r="S380" s="258"/>
      <c r="T380" s="278"/>
      <c r="U380" s="268"/>
      <c r="V380" s="258"/>
      <c r="W380" s="308"/>
      <c r="X380" s="277"/>
      <c r="Y380" s="271"/>
      <c r="Z380" s="271"/>
      <c r="AA380" s="271"/>
    </row>
    <row r="381" spans="1:27" s="257" customFormat="1" hidden="1">
      <c r="A381" s="259">
        <f>A380+1</f>
        <v>358</v>
      </c>
      <c r="B381" s="259"/>
      <c r="C381" s="259" t="s">
        <v>65</v>
      </c>
      <c r="D381" s="277" t="s">
        <v>592</v>
      </c>
      <c r="E381" s="258" t="str">
        <f>VLOOKUP(D381,Store_Info_VN!B:P,2,0)</f>
        <v>NEW BALANCE VAN HANH MALL</v>
      </c>
      <c r="F381" s="258" t="s">
        <v>56</v>
      </c>
      <c r="G381" s="258" t="str">
        <f>I381&amp;" "&amp;J381&amp;" "&amp;K381</f>
        <v>Cash Drawer Maken MK-410</v>
      </c>
      <c r="H381" s="258">
        <v>1</v>
      </c>
      <c r="I381" s="258" t="s">
        <v>159</v>
      </c>
      <c r="J381" s="258" t="s">
        <v>230</v>
      </c>
      <c r="K381" s="258" t="s">
        <v>732</v>
      </c>
      <c r="L381" s="258"/>
      <c r="M381" s="288" t="s">
        <v>820</v>
      </c>
      <c r="N381" s="314"/>
      <c r="O381" s="314"/>
      <c r="P381" s="259"/>
      <c r="Q381" s="259"/>
      <c r="R381" s="258"/>
      <c r="S381" s="258"/>
      <c r="T381" s="278"/>
      <c r="U381" s="268"/>
      <c r="V381" s="258"/>
      <c r="W381" s="308"/>
      <c r="X381" s="277"/>
      <c r="Y381" s="271"/>
      <c r="Z381" s="271"/>
      <c r="AA381" s="271"/>
    </row>
    <row r="382" spans="1:27" s="257" customFormat="1" hidden="1">
      <c r="A382" s="259">
        <f>A381+1</f>
        <v>359</v>
      </c>
      <c r="B382" s="259"/>
      <c r="C382" s="259" t="s">
        <v>65</v>
      </c>
      <c r="D382" s="277" t="s">
        <v>592</v>
      </c>
      <c r="E382" s="258" t="str">
        <f>VLOOKUP(D382,Store_Info_VN!B:P,2,0)</f>
        <v>NEW BALANCE VAN HANH MALL</v>
      </c>
      <c r="F382" s="258" t="s">
        <v>56</v>
      </c>
      <c r="G382" s="258" t="str">
        <f>I382&amp;" "&amp;J382&amp;" "&amp;K382</f>
        <v>A4 Printer Canon LBP 2900</v>
      </c>
      <c r="H382" s="258">
        <v>1</v>
      </c>
      <c r="I382" s="258" t="s">
        <v>99</v>
      </c>
      <c r="J382" s="258" t="s">
        <v>100</v>
      </c>
      <c r="K382" s="258" t="s">
        <v>101</v>
      </c>
      <c r="L382" s="258"/>
      <c r="M382" s="288" t="s">
        <v>821</v>
      </c>
      <c r="N382" s="314"/>
      <c r="O382" s="314"/>
      <c r="P382" s="259"/>
      <c r="Q382" s="259"/>
      <c r="R382" s="258"/>
      <c r="S382" s="258"/>
      <c r="T382" s="278"/>
      <c r="U382" s="268"/>
      <c r="V382" s="258"/>
      <c r="W382" s="308"/>
      <c r="X382" s="277"/>
      <c r="Y382" s="271"/>
      <c r="Z382" s="271"/>
      <c r="AA382" s="271"/>
    </row>
    <row r="383" spans="1:27" s="257" customFormat="1" hidden="1">
      <c r="A383" s="259">
        <f>A382+1</f>
        <v>360</v>
      </c>
      <c r="B383" s="259"/>
      <c r="C383" s="259" t="s">
        <v>65</v>
      </c>
      <c r="D383" s="277" t="s">
        <v>592</v>
      </c>
      <c r="E383" s="258" t="str">
        <f>VLOOKUP(D383,Store_Info_VN!B:P,2,0)</f>
        <v>NEW BALANCE VAN HANH MALL</v>
      </c>
      <c r="F383" s="258" t="s">
        <v>56</v>
      </c>
      <c r="G383" s="258" t="str">
        <f>I383&amp;" "&amp;J383&amp;" "&amp;K383</f>
        <v>Other Lioa Power Socket</v>
      </c>
      <c r="H383" s="258">
        <v>1</v>
      </c>
      <c r="I383" s="258" t="s">
        <v>275</v>
      </c>
      <c r="J383" s="258" t="s">
        <v>770</v>
      </c>
      <c r="K383" s="258" t="s">
        <v>822</v>
      </c>
      <c r="L383" s="258"/>
      <c r="M383" s="288"/>
      <c r="N383" s="314"/>
      <c r="O383" s="314"/>
      <c r="P383" s="259"/>
      <c r="Q383" s="259"/>
      <c r="R383" s="258"/>
      <c r="S383" s="258"/>
      <c r="T383" s="278"/>
      <c r="U383" s="268"/>
      <c r="V383" s="258"/>
      <c r="W383" s="308"/>
      <c r="X383" s="277"/>
      <c r="Y383" s="271"/>
      <c r="Z383" s="271"/>
      <c r="AA383" s="271"/>
    </row>
    <row r="384" spans="1:27" s="257" customFormat="1" hidden="1">
      <c r="A384" s="259">
        <f>A383+1</f>
        <v>361</v>
      </c>
      <c r="B384" s="259"/>
      <c r="C384" s="259" t="s">
        <v>65</v>
      </c>
      <c r="D384" s="277" t="s">
        <v>592</v>
      </c>
      <c r="E384" s="258" t="str">
        <f>VLOOKUP(D384,Store_Info_VN!B:P,2,0)</f>
        <v>NEW BALANCE VAN HANH MALL</v>
      </c>
      <c r="F384" s="258" t="s">
        <v>56</v>
      </c>
      <c r="G384" s="258" t="str">
        <f>I384&amp;" "&amp;J384&amp;" "&amp;K384</f>
        <v>Monitor HP V20</v>
      </c>
      <c r="H384" s="258">
        <v>1</v>
      </c>
      <c r="I384" s="258" t="s">
        <v>116</v>
      </c>
      <c r="J384" s="258" t="s">
        <v>58</v>
      </c>
      <c r="K384" s="258" t="s">
        <v>782</v>
      </c>
      <c r="L384" s="258"/>
      <c r="M384" s="288" t="s">
        <v>816</v>
      </c>
      <c r="N384" s="314"/>
      <c r="O384" s="314"/>
      <c r="P384" s="259"/>
      <c r="Q384" s="259"/>
      <c r="R384" s="258"/>
      <c r="S384" s="258"/>
      <c r="T384" s="278"/>
      <c r="U384" s="268"/>
      <c r="V384" s="258"/>
      <c r="W384" s="308"/>
      <c r="X384" s="277"/>
      <c r="Y384" s="271"/>
      <c r="Z384" s="271"/>
      <c r="AA384" s="271"/>
    </row>
    <row r="385" spans="1:27" ht="14.25">
      <c r="A385" s="261">
        <f>A384+1</f>
        <v>362</v>
      </c>
      <c r="B385" s="261"/>
      <c r="C385" s="261" t="s">
        <v>54</v>
      </c>
      <c r="D385" s="289" t="s">
        <v>599</v>
      </c>
      <c r="E385" s="261" t="str">
        <f>VLOOKUP(D385,Store_Info_VN!B:P,2,0)</f>
        <v>NEW BALANCE IPH MALL</v>
      </c>
      <c r="F385" s="261" t="s">
        <v>56</v>
      </c>
      <c r="G385" s="261" t="str">
        <f>I385&amp;" "&amp;J385&amp;" "&amp;K385</f>
        <v>Scanner Datalogic QW2100</v>
      </c>
      <c r="H385" s="261">
        <v>1</v>
      </c>
      <c r="I385" s="261" t="s">
        <v>96</v>
      </c>
      <c r="J385" s="261" t="s">
        <v>97</v>
      </c>
      <c r="K385" s="261" t="s">
        <v>98</v>
      </c>
      <c r="L385" s="261"/>
      <c r="M385" s="665" t="s">
        <v>823</v>
      </c>
      <c r="N385" s="289"/>
      <c r="O385" s="289"/>
      <c r="P385" s="261"/>
      <c r="Q385" s="261"/>
      <c r="R385" s="261"/>
      <c r="S385" s="261"/>
      <c r="T385" s="666"/>
      <c r="U385" s="291"/>
      <c r="V385" s="261"/>
      <c r="W385" s="305"/>
      <c r="X385" s="289"/>
      <c r="Y385" s="293"/>
      <c r="Z385" s="293"/>
      <c r="AA385" s="293"/>
    </row>
    <row r="386" spans="1:27" ht="14.25">
      <c r="A386" s="258">
        <f>A385+1</f>
        <v>363</v>
      </c>
      <c r="B386" s="258"/>
      <c r="C386" s="258" t="s">
        <v>54</v>
      </c>
      <c r="D386" s="277" t="s">
        <v>599</v>
      </c>
      <c r="E386" s="258" t="str">
        <f>VLOOKUP(D386,Store_Info_VN!B:P,2,0)</f>
        <v>NEW BALANCE IPH MALL</v>
      </c>
      <c r="F386" s="258" t="s">
        <v>56</v>
      </c>
      <c r="G386" s="258" t="str">
        <f>I386&amp;" "&amp;J386&amp;" "&amp;K386</f>
        <v>Bill Printer Epson TM-82III</v>
      </c>
      <c r="H386" s="258">
        <v>1</v>
      </c>
      <c r="I386" s="258" t="s">
        <v>92</v>
      </c>
      <c r="J386" s="258" t="s">
        <v>93</v>
      </c>
      <c r="K386" s="258" t="s">
        <v>664</v>
      </c>
      <c r="M386" s="615" t="s">
        <v>824</v>
      </c>
      <c r="N386" s="277"/>
      <c r="O386" s="277"/>
      <c r="R386" s="258"/>
      <c r="S386" s="258"/>
      <c r="W386" s="308"/>
      <c r="X386" s="277"/>
    </row>
    <row r="387" spans="1:27" ht="14.25">
      <c r="A387" s="258">
        <f>A386+1</f>
        <v>364</v>
      </c>
      <c r="B387" s="258"/>
      <c r="C387" s="258" t="s">
        <v>54</v>
      </c>
      <c r="D387" s="277" t="s">
        <v>599</v>
      </c>
      <c r="E387" s="258" t="str">
        <f>VLOOKUP(D387,Store_Info_VN!B:P,2,0)</f>
        <v>NEW BALANCE IPH MALL</v>
      </c>
      <c r="F387" s="258" t="s">
        <v>56</v>
      </c>
      <c r="G387" s="258" t="str">
        <f>I387&amp;" "&amp;J387&amp;" "&amp;K387</f>
        <v>Pole Display Brich DSP-V9</v>
      </c>
      <c r="H387" s="258">
        <v>1</v>
      </c>
      <c r="I387" s="258" t="s">
        <v>125</v>
      </c>
      <c r="J387" s="258" t="s">
        <v>812</v>
      </c>
      <c r="K387" s="258" t="s">
        <v>558</v>
      </c>
      <c r="M387" s="615" t="s">
        <v>825</v>
      </c>
      <c r="N387" s="277"/>
      <c r="O387" s="277"/>
      <c r="R387" s="258"/>
      <c r="S387" s="258"/>
      <c r="W387" s="308"/>
      <c r="X387" s="277"/>
    </row>
    <row r="388" spans="1:27" ht="14.25">
      <c r="A388" s="258">
        <f>A387+1</f>
        <v>365</v>
      </c>
      <c r="B388" s="258"/>
      <c r="C388" s="258" t="s">
        <v>54</v>
      </c>
      <c r="D388" s="277" t="s">
        <v>599</v>
      </c>
      <c r="E388" s="258" t="str">
        <f>VLOOKUP(D388,Store_Info_VN!B:P,2,0)</f>
        <v>NEW BALANCE IPH MALL</v>
      </c>
      <c r="F388" s="258" t="s">
        <v>56</v>
      </c>
      <c r="G388" s="258" t="str">
        <f>I388&amp;" "&amp;J388&amp;" "&amp;K388</f>
        <v>Cash Drawer Maken MK-410</v>
      </c>
      <c r="H388" s="258">
        <v>1</v>
      </c>
      <c r="I388" s="258" t="s">
        <v>159</v>
      </c>
      <c r="J388" s="258" t="s">
        <v>230</v>
      </c>
      <c r="K388" s="258" t="s">
        <v>732</v>
      </c>
      <c r="M388" s="615" t="s">
        <v>826</v>
      </c>
      <c r="N388" s="277"/>
      <c r="O388" s="277"/>
      <c r="R388" s="258"/>
      <c r="S388" s="258"/>
      <c r="W388" s="308"/>
      <c r="X388" s="277"/>
    </row>
    <row r="389" spans="1:27" ht="14.25">
      <c r="A389" s="258">
        <f>A388+1</f>
        <v>366</v>
      </c>
      <c r="B389" s="258"/>
      <c r="C389" s="258" t="s">
        <v>54</v>
      </c>
      <c r="D389" s="277" t="s">
        <v>599</v>
      </c>
      <c r="E389" s="258" t="str">
        <f>VLOOKUP(D389,Store_Info_VN!B:P,2,0)</f>
        <v>NEW BALANCE IPH MALL</v>
      </c>
      <c r="F389" s="258" t="s">
        <v>56</v>
      </c>
      <c r="G389" s="258" t="str">
        <f>I389&amp;" "&amp;J389&amp;" "&amp;K389</f>
        <v>A4 Printer Canon LBP 2900</v>
      </c>
      <c r="H389" s="258">
        <v>1</v>
      </c>
      <c r="I389" s="258" t="s">
        <v>99</v>
      </c>
      <c r="J389" s="258" t="s">
        <v>100</v>
      </c>
      <c r="K389" s="258" t="s">
        <v>101</v>
      </c>
      <c r="M389" s="615" t="s">
        <v>827</v>
      </c>
      <c r="N389" s="277"/>
      <c r="O389" s="277"/>
      <c r="R389" s="258"/>
      <c r="S389" s="258"/>
      <c r="W389" s="308"/>
      <c r="X389" s="277"/>
    </row>
    <row r="390" spans="1:27" ht="14.25">
      <c r="A390" s="258">
        <f>A389+1</f>
        <v>367</v>
      </c>
      <c r="B390" s="258"/>
      <c r="C390" s="258" t="s">
        <v>54</v>
      </c>
      <c r="D390" s="277" t="s">
        <v>599</v>
      </c>
      <c r="E390" s="258" t="str">
        <f>VLOOKUP(D390,Store_Info_VN!B:P,2,0)</f>
        <v>NEW BALANCE IPH MALL</v>
      </c>
      <c r="F390" s="258" t="s">
        <v>56</v>
      </c>
      <c r="G390" s="258" t="str">
        <f>I390&amp;" "&amp;J390&amp;" "&amp;K390</f>
        <v>Other Lioa Power Socket</v>
      </c>
      <c r="H390" s="258">
        <v>1</v>
      </c>
      <c r="I390" s="258" t="s">
        <v>275</v>
      </c>
      <c r="J390" s="258" t="s">
        <v>770</v>
      </c>
      <c r="K390" s="258" t="s">
        <v>822</v>
      </c>
      <c r="M390" s="615"/>
      <c r="N390" s="277"/>
      <c r="O390" s="277"/>
      <c r="R390" s="258"/>
      <c r="S390" s="258"/>
      <c r="W390" s="308"/>
      <c r="X390" s="277"/>
    </row>
    <row r="391" spans="1:27" ht="14.25">
      <c r="A391" s="258">
        <f>A390+1</f>
        <v>368</v>
      </c>
      <c r="B391" s="258"/>
      <c r="C391" s="258" t="s">
        <v>54</v>
      </c>
      <c r="D391" s="277" t="s">
        <v>599</v>
      </c>
      <c r="E391" s="258" t="str">
        <f>VLOOKUP(D391,Store_Info_VN!B:P,2,0)</f>
        <v>NEW BALANCE IPH MALL</v>
      </c>
      <c r="F391" s="258" t="s">
        <v>56</v>
      </c>
      <c r="G391" s="258" t="str">
        <f>I391&amp;" "&amp;J391&amp;" "&amp;K391</f>
        <v>Monitor HP V20</v>
      </c>
      <c r="H391" s="258">
        <v>1</v>
      </c>
      <c r="I391" s="258" t="s">
        <v>116</v>
      </c>
      <c r="J391" s="258" t="s">
        <v>58</v>
      </c>
      <c r="K391" s="258" t="s">
        <v>782</v>
      </c>
      <c r="M391" s="615" t="s">
        <v>825</v>
      </c>
      <c r="N391" s="277"/>
      <c r="O391" s="277"/>
      <c r="R391" s="258"/>
      <c r="S391" s="258"/>
      <c r="W391" s="308"/>
      <c r="X391" s="277"/>
    </row>
    <row r="392" spans="1:27" ht="28.5">
      <c r="A392" s="258">
        <f>A391+1</f>
        <v>369</v>
      </c>
      <c r="B392" s="258"/>
      <c r="C392" s="258" t="s">
        <v>54</v>
      </c>
      <c r="D392" s="277" t="s">
        <v>599</v>
      </c>
      <c r="E392" s="258" t="str">
        <f>VLOOKUP(D392,Store_Info_VN!B:P,2,0)</f>
        <v>NEW BALANCE IPH MALL</v>
      </c>
      <c r="F392" s="258" t="s">
        <v>56</v>
      </c>
      <c r="G392" s="258" t="str">
        <f>I392&amp;" "&amp;J392&amp;" "&amp;K392</f>
        <v>Network Switch Cisco CBS110-16T-EU</v>
      </c>
      <c r="H392" s="258">
        <v>1</v>
      </c>
      <c r="I392" s="258" t="s">
        <v>172</v>
      </c>
      <c r="J392" s="258" t="s">
        <v>562</v>
      </c>
      <c r="K392" s="258" t="s">
        <v>563</v>
      </c>
      <c r="M392" s="615" t="s">
        <v>828</v>
      </c>
      <c r="N392" s="277"/>
      <c r="O392" s="277"/>
      <c r="R392" s="258"/>
      <c r="S392" s="258"/>
      <c r="W392" s="308"/>
      <c r="X392" s="277"/>
    </row>
    <row r="393" spans="1:27" ht="14.25">
      <c r="A393" s="279">
        <f>A392+1</f>
        <v>370</v>
      </c>
      <c r="B393" s="279"/>
      <c r="C393" s="279" t="s">
        <v>54</v>
      </c>
      <c r="D393" s="303" t="s">
        <v>599</v>
      </c>
      <c r="E393" s="279" t="str">
        <f>VLOOKUP(D393,Store_Info_VN!B:P,2,0)</f>
        <v>NEW BALANCE IPH MALL</v>
      </c>
      <c r="F393" s="279" t="s">
        <v>56</v>
      </c>
      <c r="G393" s="279" t="str">
        <f>I393&amp;" "&amp;J393&amp;" "&amp;K393</f>
        <v>USB Hub Orico 4 Port</v>
      </c>
      <c r="H393" s="279">
        <v>1</v>
      </c>
      <c r="I393" s="279" t="s">
        <v>273</v>
      </c>
      <c r="J393" s="279" t="s">
        <v>274</v>
      </c>
      <c r="K393" s="279" t="s">
        <v>466</v>
      </c>
      <c r="L393" s="279"/>
      <c r="M393" s="662"/>
      <c r="N393" s="303"/>
      <c r="O393" s="303"/>
      <c r="P393" s="279"/>
      <c r="Q393" s="279"/>
      <c r="R393" s="279"/>
      <c r="S393" s="279"/>
      <c r="T393" s="285"/>
      <c r="U393" s="286"/>
      <c r="V393" s="279"/>
      <c r="W393" s="628"/>
      <c r="X393" s="303"/>
      <c r="Y393" s="284"/>
      <c r="Z393" s="284"/>
      <c r="AA393" s="284"/>
    </row>
    <row r="394" spans="1:27" s="257" customFormat="1" ht="14.25" hidden="1">
      <c r="A394" s="259">
        <f>A393+1</f>
        <v>371</v>
      </c>
      <c r="B394" s="259"/>
      <c r="C394" s="259" t="s">
        <v>65</v>
      </c>
      <c r="D394" s="277" t="s">
        <v>603</v>
      </c>
      <c r="E394" s="258" t="str">
        <f>VLOOKUP(D394,Store_Info_VN!B:P,2,0)</f>
        <v>NEW BALANCE 89 NGUYEN TRAI</v>
      </c>
      <c r="F394" s="258" t="s">
        <v>56</v>
      </c>
      <c r="G394" s="258" t="str">
        <f>I394&amp;" "&amp;J394&amp;" "&amp;K394</f>
        <v>Scanner Datalogic QW2100</v>
      </c>
      <c r="H394" s="258">
        <v>1</v>
      </c>
      <c r="I394" s="258" t="s">
        <v>96</v>
      </c>
      <c r="J394" s="258" t="s">
        <v>97</v>
      </c>
      <c r="K394" s="258" t="s">
        <v>98</v>
      </c>
      <c r="L394" s="258"/>
      <c r="M394" s="288" t="s">
        <v>829</v>
      </c>
      <c r="N394" s="314"/>
      <c r="O394" s="314"/>
      <c r="P394" s="259"/>
      <c r="Q394" s="259"/>
      <c r="R394" s="258"/>
      <c r="S394" s="258"/>
      <c r="T394" s="278"/>
      <c r="U394" s="268"/>
      <c r="V394" s="258"/>
      <c r="W394" s="308"/>
      <c r="X394" s="277"/>
      <c r="Y394" s="271"/>
      <c r="Z394" s="271"/>
      <c r="AA394" s="271"/>
    </row>
    <row r="395" spans="1:27" s="257" customFormat="1" ht="14.25" hidden="1">
      <c r="A395" s="259">
        <f>A394+1</f>
        <v>372</v>
      </c>
      <c r="B395" s="259"/>
      <c r="C395" s="259" t="s">
        <v>65</v>
      </c>
      <c r="D395" s="277" t="s">
        <v>603</v>
      </c>
      <c r="E395" s="258" t="str">
        <f>VLOOKUP(D395,Store_Info_VN!B:P,2,0)</f>
        <v>NEW BALANCE 89 NGUYEN TRAI</v>
      </c>
      <c r="F395" s="258" t="s">
        <v>56</v>
      </c>
      <c r="G395" s="258" t="str">
        <f>I395&amp;" "&amp;J395&amp;" "&amp;K395</f>
        <v>Bill Printer Epson TM-82III</v>
      </c>
      <c r="H395" s="258">
        <v>1</v>
      </c>
      <c r="I395" s="258" t="s">
        <v>92</v>
      </c>
      <c r="J395" s="258" t="s">
        <v>93</v>
      </c>
      <c r="K395" s="258" t="s">
        <v>664</v>
      </c>
      <c r="L395" s="258"/>
      <c r="M395" s="288" t="s">
        <v>830</v>
      </c>
      <c r="N395" s="314"/>
      <c r="O395" s="314"/>
      <c r="P395" s="259"/>
      <c r="Q395" s="259"/>
      <c r="R395" s="258"/>
      <c r="S395" s="258"/>
      <c r="T395" s="278"/>
      <c r="U395" s="268"/>
      <c r="V395" s="258"/>
      <c r="W395" s="308"/>
      <c r="X395" s="277"/>
      <c r="Y395" s="271"/>
      <c r="Z395" s="271"/>
      <c r="AA395" s="271"/>
    </row>
    <row r="396" spans="1:27" s="257" customFormat="1" ht="14.25" hidden="1">
      <c r="A396" s="259">
        <f>A395+1</f>
        <v>373</v>
      </c>
      <c r="B396" s="259"/>
      <c r="C396" s="259" t="s">
        <v>65</v>
      </c>
      <c r="D396" s="277" t="s">
        <v>603</v>
      </c>
      <c r="E396" s="258" t="str">
        <f>VLOOKUP(D396,Store_Info_VN!B:P,2,0)</f>
        <v>NEW BALANCE 89 NGUYEN TRAI</v>
      </c>
      <c r="F396" s="258" t="s">
        <v>56</v>
      </c>
      <c r="G396" s="258" t="str">
        <f>I396&amp;" "&amp;J396&amp;" "&amp;K396</f>
        <v>Pole Display Brich DSP-V9</v>
      </c>
      <c r="H396" s="258">
        <v>1</v>
      </c>
      <c r="I396" s="258" t="s">
        <v>125</v>
      </c>
      <c r="J396" s="258" t="s">
        <v>812</v>
      </c>
      <c r="K396" s="258" t="s">
        <v>558</v>
      </c>
      <c r="L396" s="258"/>
      <c r="M396" s="288" t="s">
        <v>831</v>
      </c>
      <c r="N396" s="314"/>
      <c r="O396" s="314"/>
      <c r="P396" s="259"/>
      <c r="Q396" s="259"/>
      <c r="R396" s="258"/>
      <c r="S396" s="258"/>
      <c r="T396" s="278"/>
      <c r="U396" s="268"/>
      <c r="V396" s="258"/>
      <c r="W396" s="308"/>
      <c r="X396" s="277"/>
      <c r="Y396" s="271"/>
      <c r="Z396" s="271"/>
      <c r="AA396" s="271"/>
    </row>
    <row r="397" spans="1:27" s="257" customFormat="1" ht="14.25" hidden="1">
      <c r="A397" s="259">
        <f>A396+1</f>
        <v>374</v>
      </c>
      <c r="B397" s="259"/>
      <c r="C397" s="259" t="s">
        <v>65</v>
      </c>
      <c r="D397" s="277" t="s">
        <v>603</v>
      </c>
      <c r="E397" s="258" t="str">
        <f>VLOOKUP(D397,Store_Info_VN!B:P,2,0)</f>
        <v>NEW BALANCE 89 NGUYEN TRAI</v>
      </c>
      <c r="F397" s="258" t="s">
        <v>56</v>
      </c>
      <c r="G397" s="258" t="str">
        <f>I397&amp;" "&amp;J397&amp;" "&amp;K397</f>
        <v>Cash Drawer Maken MK-410</v>
      </c>
      <c r="H397" s="258">
        <v>1</v>
      </c>
      <c r="I397" s="258" t="s">
        <v>159</v>
      </c>
      <c r="J397" s="258" t="s">
        <v>230</v>
      </c>
      <c r="K397" s="258" t="s">
        <v>732</v>
      </c>
      <c r="L397" s="258"/>
      <c r="M397" s="288" t="s">
        <v>832</v>
      </c>
      <c r="N397" s="314"/>
      <c r="O397" s="314"/>
      <c r="P397" s="259"/>
      <c r="Q397" s="259"/>
      <c r="R397" s="258"/>
      <c r="S397" s="258"/>
      <c r="T397" s="278"/>
      <c r="U397" s="268"/>
      <c r="V397" s="258"/>
      <c r="W397" s="308"/>
      <c r="X397" s="277"/>
      <c r="Y397" s="271"/>
      <c r="Z397" s="271"/>
      <c r="AA397" s="271"/>
    </row>
    <row r="398" spans="1:27" s="257" customFormat="1" ht="14.25" hidden="1">
      <c r="A398" s="259">
        <f>A397+1</f>
        <v>375</v>
      </c>
      <c r="B398" s="259"/>
      <c r="C398" s="259" t="s">
        <v>65</v>
      </c>
      <c r="D398" s="277" t="s">
        <v>603</v>
      </c>
      <c r="E398" s="258" t="str">
        <f>VLOOKUP(D398,Store_Info_VN!B:P,2,0)</f>
        <v>NEW BALANCE 89 NGUYEN TRAI</v>
      </c>
      <c r="F398" s="258" t="s">
        <v>56</v>
      </c>
      <c r="G398" s="258" t="str">
        <f>I398&amp;" "&amp;J398&amp;" "&amp;K398</f>
        <v>A4 Printer Canon LBP 2900</v>
      </c>
      <c r="H398" s="258">
        <v>1</v>
      </c>
      <c r="I398" s="258" t="s">
        <v>99</v>
      </c>
      <c r="J398" s="258" t="s">
        <v>100</v>
      </c>
      <c r="K398" s="258" t="s">
        <v>101</v>
      </c>
      <c r="L398" s="258"/>
      <c r="M398" s="288" t="s">
        <v>833</v>
      </c>
      <c r="N398" s="314"/>
      <c r="O398" s="314"/>
      <c r="P398" s="259"/>
      <c r="Q398" s="259"/>
      <c r="R398" s="258"/>
      <c r="S398" s="258"/>
      <c r="T398" s="278"/>
      <c r="U398" s="268"/>
      <c r="V398" s="258"/>
      <c r="W398" s="308"/>
      <c r="X398" s="277"/>
      <c r="Y398" s="271"/>
      <c r="Z398" s="271"/>
      <c r="AA398" s="271"/>
    </row>
    <row r="399" spans="1:27" s="257" customFormat="1" ht="14.25" hidden="1">
      <c r="A399" s="259">
        <f>A398+1</f>
        <v>376</v>
      </c>
      <c r="B399" s="259"/>
      <c r="C399" s="259" t="s">
        <v>65</v>
      </c>
      <c r="D399" s="277" t="s">
        <v>603</v>
      </c>
      <c r="E399" s="258" t="str">
        <f>VLOOKUP(D399,Store_Info_VN!B:P,2,0)</f>
        <v>NEW BALANCE 89 NGUYEN TRAI</v>
      </c>
      <c r="F399" s="258" t="s">
        <v>56</v>
      </c>
      <c r="G399" s="258" t="str">
        <f>I399&amp;" "&amp;J399&amp;" "&amp;K399</f>
        <v>Other Lioa Power Socket</v>
      </c>
      <c r="H399" s="258">
        <v>1</v>
      </c>
      <c r="I399" s="258" t="s">
        <v>275</v>
      </c>
      <c r="J399" s="258" t="s">
        <v>770</v>
      </c>
      <c r="K399" s="258" t="s">
        <v>822</v>
      </c>
      <c r="L399" s="258"/>
      <c r="M399" s="288"/>
      <c r="N399" s="314"/>
      <c r="O399" s="314"/>
      <c r="P399" s="259"/>
      <c r="Q399" s="259"/>
      <c r="R399" s="258"/>
      <c r="S399" s="258"/>
      <c r="T399" s="278"/>
      <c r="U399" s="268"/>
      <c r="V399" s="258"/>
      <c r="W399" s="308"/>
      <c r="X399" s="277"/>
      <c r="Y399" s="271"/>
      <c r="Z399" s="271"/>
      <c r="AA399" s="271"/>
    </row>
    <row r="400" spans="1:27" s="257" customFormat="1" ht="14.25" hidden="1">
      <c r="A400" s="259">
        <f>A399+1</f>
        <v>377</v>
      </c>
      <c r="B400" s="259"/>
      <c r="C400" s="259" t="s">
        <v>65</v>
      </c>
      <c r="D400" s="277" t="s">
        <v>603</v>
      </c>
      <c r="E400" s="258" t="str">
        <f>VLOOKUP(D400,Store_Info_VN!B:P,2,0)</f>
        <v>NEW BALANCE 89 NGUYEN TRAI</v>
      </c>
      <c r="F400" s="258" t="s">
        <v>56</v>
      </c>
      <c r="G400" s="258" t="str">
        <f>I400&amp;" "&amp;J400&amp;" "&amp;K400</f>
        <v>Monitor HP V20</v>
      </c>
      <c r="H400" s="258">
        <v>1</v>
      </c>
      <c r="I400" s="258" t="s">
        <v>116</v>
      </c>
      <c r="J400" s="258" t="s">
        <v>58</v>
      </c>
      <c r="K400" s="258" t="s">
        <v>782</v>
      </c>
      <c r="L400" s="258"/>
      <c r="M400" s="288"/>
      <c r="N400" s="314"/>
      <c r="O400" s="314"/>
      <c r="P400" s="259"/>
      <c r="Q400" s="259"/>
      <c r="R400" s="258"/>
      <c r="S400" s="258"/>
      <c r="T400" s="278"/>
      <c r="U400" s="268"/>
      <c r="V400" s="258"/>
      <c r="W400" s="308"/>
      <c r="X400" s="277"/>
      <c r="Y400" s="271"/>
      <c r="Z400" s="271"/>
      <c r="AA400" s="271"/>
    </row>
    <row r="401" spans="1:27" s="257" customFormat="1" ht="28.5" hidden="1">
      <c r="A401" s="259">
        <f>A400+1</f>
        <v>378</v>
      </c>
      <c r="B401" s="259"/>
      <c r="C401" s="259" t="s">
        <v>65</v>
      </c>
      <c r="D401" s="277" t="s">
        <v>603</v>
      </c>
      <c r="E401" s="258" t="str">
        <f>VLOOKUP(D401,Store_Info_VN!B:P,2,0)</f>
        <v>NEW BALANCE 89 NGUYEN TRAI</v>
      </c>
      <c r="F401" s="258" t="s">
        <v>56</v>
      </c>
      <c r="G401" s="258" t="str">
        <f>I401&amp;" "&amp;J401&amp;" "&amp;K401</f>
        <v>Network Switch Cisco CBS110-16T-EU</v>
      </c>
      <c r="H401" s="258">
        <v>1</v>
      </c>
      <c r="I401" s="258" t="s">
        <v>172</v>
      </c>
      <c r="J401" s="258" t="s">
        <v>562</v>
      </c>
      <c r="K401" s="258" t="s">
        <v>563</v>
      </c>
      <c r="L401" s="258"/>
      <c r="M401" s="288" t="s">
        <v>834</v>
      </c>
      <c r="N401" s="314"/>
      <c r="O401" s="314"/>
      <c r="P401" s="259"/>
      <c r="Q401" s="259"/>
      <c r="R401" s="258"/>
      <c r="S401" s="258"/>
      <c r="T401" s="278"/>
      <c r="U401" s="268"/>
      <c r="V401" s="258"/>
      <c r="W401" s="308"/>
      <c r="X401" s="277"/>
      <c r="Y401" s="271"/>
      <c r="Z401" s="271"/>
      <c r="AA401" s="271"/>
    </row>
    <row r="402" spans="1:27" s="257" customFormat="1" ht="14.25" hidden="1">
      <c r="A402" s="259">
        <f>A401+1</f>
        <v>379</v>
      </c>
      <c r="B402" s="259"/>
      <c r="C402" s="259" t="s">
        <v>65</v>
      </c>
      <c r="D402" s="277" t="s">
        <v>603</v>
      </c>
      <c r="E402" s="258" t="str">
        <f>VLOOKUP(D402,Store_Info_VN!B:P,2,0)</f>
        <v>NEW BALANCE 89 NGUYEN TRAI</v>
      </c>
      <c r="F402" s="258" t="s">
        <v>56</v>
      </c>
      <c r="G402" s="258"/>
      <c r="H402" s="258">
        <v>1</v>
      </c>
      <c r="I402" s="258" t="s">
        <v>273</v>
      </c>
      <c r="J402" s="258" t="s">
        <v>274</v>
      </c>
      <c r="K402" s="258" t="s">
        <v>466</v>
      </c>
      <c r="L402" s="258"/>
      <c r="M402" s="288"/>
      <c r="N402" s="314"/>
      <c r="O402" s="314"/>
      <c r="P402" s="259"/>
      <c r="Q402" s="259"/>
      <c r="R402" s="258"/>
      <c r="S402" s="258"/>
      <c r="T402" s="278"/>
      <c r="U402" s="268"/>
      <c r="V402" s="258"/>
      <c r="W402" s="308"/>
      <c r="X402" s="277"/>
      <c r="Y402" s="271"/>
      <c r="Z402" s="271"/>
      <c r="AA402" s="271"/>
    </row>
    <row r="403" spans="1:27" s="257" customFormat="1" ht="28.5" hidden="1">
      <c r="A403" s="290">
        <f>A402+1</f>
        <v>380</v>
      </c>
      <c r="B403" s="290"/>
      <c r="C403" s="290" t="s">
        <v>253</v>
      </c>
      <c r="D403" s="294" t="s">
        <v>607</v>
      </c>
      <c r="E403" s="261" t="str">
        <f>VLOOKUP(D403,Store_Info_VN!B:P,2,0)</f>
        <v xml:space="preserve">BIRKENSTOCK LOTTE MALL </v>
      </c>
      <c r="F403" s="261" t="s">
        <v>56</v>
      </c>
      <c r="G403" s="261" t="str">
        <f>I403&amp;" "&amp;J403&amp;" "&amp;K403</f>
        <v>Scanner Datalogic QW2100</v>
      </c>
      <c r="H403" s="297">
        <v>1</v>
      </c>
      <c r="I403" s="261" t="s">
        <v>96</v>
      </c>
      <c r="J403" s="261" t="s">
        <v>97</v>
      </c>
      <c r="K403" s="298" t="s">
        <v>98</v>
      </c>
      <c r="L403" s="261"/>
      <c r="M403" s="299" t="s">
        <v>835</v>
      </c>
      <c r="N403" s="343"/>
      <c r="O403" s="343"/>
      <c r="P403" s="295"/>
      <c r="Q403" s="295"/>
      <c r="R403" s="261"/>
      <c r="S403" s="261"/>
      <c r="T403" s="344"/>
      <c r="U403" s="291"/>
      <c r="V403" s="261"/>
      <c r="W403" s="269"/>
      <c r="X403" s="345"/>
      <c r="Y403" s="293"/>
      <c r="Z403" s="346"/>
      <c r="AA403" s="293"/>
    </row>
    <row r="404" spans="1:27" s="257" customFormat="1" ht="28.5" hidden="1">
      <c r="A404" s="259">
        <f>A403+1</f>
        <v>381</v>
      </c>
      <c r="B404" s="259"/>
      <c r="C404" s="259" t="s">
        <v>253</v>
      </c>
      <c r="D404" s="260" t="s">
        <v>607</v>
      </c>
      <c r="E404" s="258" t="str">
        <f>VLOOKUP(D404,Store_Info_VN!B:P,2,0)</f>
        <v xml:space="preserve">BIRKENSTOCK LOTTE MALL </v>
      </c>
      <c r="F404" s="261" t="s">
        <v>56</v>
      </c>
      <c r="G404" s="258" t="str">
        <f>I404&amp;" "&amp;J404&amp;" "&amp;K404</f>
        <v>Bill Printer Epson TM-82III</v>
      </c>
      <c r="H404" s="262">
        <v>1</v>
      </c>
      <c r="I404" s="258" t="s">
        <v>92</v>
      </c>
      <c r="J404" s="258" t="s">
        <v>93</v>
      </c>
      <c r="K404" s="263" t="s">
        <v>664</v>
      </c>
      <c r="L404" s="258"/>
      <c r="M404" s="264" t="s">
        <v>836</v>
      </c>
      <c r="N404" s="265"/>
      <c r="O404" s="265"/>
      <c r="P404" s="266"/>
      <c r="Q404" s="266"/>
      <c r="R404" s="258"/>
      <c r="S404" s="258"/>
      <c r="T404" s="267"/>
      <c r="U404" s="268"/>
      <c r="V404" s="258"/>
      <c r="W404" s="269"/>
      <c r="X404" s="270"/>
      <c r="Y404" s="271"/>
      <c r="Z404" s="272"/>
      <c r="AA404" s="271"/>
    </row>
    <row r="405" spans="1:27" s="257" customFormat="1" ht="28.5" hidden="1">
      <c r="A405" s="259">
        <f>A404+1</f>
        <v>382</v>
      </c>
      <c r="B405" s="259"/>
      <c r="C405" s="259" t="s">
        <v>253</v>
      </c>
      <c r="D405" s="260" t="s">
        <v>607</v>
      </c>
      <c r="E405" s="258" t="str">
        <f>VLOOKUP(D405,Store_Info_VN!B:P,2,0)</f>
        <v xml:space="preserve">BIRKENSTOCK LOTTE MALL </v>
      </c>
      <c r="F405" s="261" t="s">
        <v>56</v>
      </c>
      <c r="G405" s="258" t="str">
        <f>I405&amp;" "&amp;J405&amp;" "&amp;K405</f>
        <v>A4 Printer Canon LBP 2900</v>
      </c>
      <c r="H405" s="262">
        <v>1</v>
      </c>
      <c r="I405" s="258" t="s">
        <v>99</v>
      </c>
      <c r="J405" s="258" t="s">
        <v>100</v>
      </c>
      <c r="K405" s="263" t="s">
        <v>101</v>
      </c>
      <c r="L405" s="258"/>
      <c r="M405" s="316" t="s">
        <v>837</v>
      </c>
      <c r="N405" s="265"/>
      <c r="O405" s="265"/>
      <c r="P405" s="266"/>
      <c r="Q405" s="266"/>
      <c r="R405" s="258"/>
      <c r="S405" s="258"/>
      <c r="T405" s="267"/>
      <c r="U405" s="268"/>
      <c r="V405" s="258"/>
      <c r="W405" s="269"/>
      <c r="X405" s="270"/>
      <c r="Y405" s="271"/>
      <c r="Z405" s="272"/>
      <c r="AA405" s="271"/>
    </row>
    <row r="406" spans="1:27" s="257" customFormat="1" ht="28.5" hidden="1">
      <c r="A406" s="259">
        <f>A405+1</f>
        <v>383</v>
      </c>
      <c r="B406" s="259"/>
      <c r="C406" s="259" t="s">
        <v>253</v>
      </c>
      <c r="D406" s="260" t="s">
        <v>607</v>
      </c>
      <c r="E406" s="258" t="str">
        <f>VLOOKUP(D406,Store_Info_VN!B:P,2,0)</f>
        <v xml:space="preserve">BIRKENSTOCK LOTTE MALL </v>
      </c>
      <c r="F406" s="261" t="s">
        <v>56</v>
      </c>
      <c r="G406" s="258" t="str">
        <f>I406&amp;" "&amp;J406&amp;" "&amp;K406</f>
        <v xml:space="preserve">Other Lioa Power Socket </v>
      </c>
      <c r="H406" s="262">
        <v>1</v>
      </c>
      <c r="I406" s="258" t="s">
        <v>275</v>
      </c>
      <c r="J406" s="258" t="s">
        <v>770</v>
      </c>
      <c r="K406" s="263" t="s">
        <v>838</v>
      </c>
      <c r="L406" s="258"/>
      <c r="M406" s="316"/>
      <c r="N406" s="265"/>
      <c r="O406" s="265"/>
      <c r="P406" s="266"/>
      <c r="Q406" s="266"/>
      <c r="R406" s="258"/>
      <c r="S406" s="258"/>
      <c r="T406" s="267"/>
      <c r="U406" s="268"/>
      <c r="V406" s="258"/>
      <c r="W406" s="269"/>
      <c r="X406" s="270"/>
      <c r="Y406" s="271"/>
      <c r="Z406" s="272"/>
      <c r="AA406" s="271"/>
    </row>
    <row r="407" spans="1:27" s="257" customFormat="1" ht="28.5" hidden="1">
      <c r="A407" s="259">
        <f>A406+1</f>
        <v>384</v>
      </c>
      <c r="B407" s="259"/>
      <c r="C407" s="259" t="s">
        <v>253</v>
      </c>
      <c r="D407" s="260" t="s">
        <v>607</v>
      </c>
      <c r="E407" s="258" t="str">
        <f>VLOOKUP(D407,Store_Info_VN!B:P,2,0)</f>
        <v xml:space="preserve">BIRKENSTOCK LOTTE MALL </v>
      </c>
      <c r="F407" s="261" t="s">
        <v>56</v>
      </c>
      <c r="G407" s="258" t="str">
        <f>I407&amp;" "&amp;J407&amp;" "&amp;K407</f>
        <v>Monitor HP V20</v>
      </c>
      <c r="H407" s="262">
        <v>1</v>
      </c>
      <c r="I407" s="258" t="s">
        <v>116</v>
      </c>
      <c r="J407" s="258" t="s">
        <v>58</v>
      </c>
      <c r="K407" s="263" t="s">
        <v>782</v>
      </c>
      <c r="L407" s="258"/>
      <c r="M407" s="264" t="s">
        <v>839</v>
      </c>
      <c r="N407" s="265"/>
      <c r="O407" s="265"/>
      <c r="P407" s="266"/>
      <c r="Q407" s="266"/>
      <c r="R407" s="258"/>
      <c r="S407" s="258"/>
      <c r="T407" s="267"/>
      <c r="U407" s="268"/>
      <c r="V407" s="258"/>
      <c r="W407" s="269"/>
      <c r="X407" s="270"/>
      <c r="Y407" s="271"/>
      <c r="Z407" s="272"/>
      <c r="AA407" s="271"/>
    </row>
    <row r="408" spans="1:27" s="257" customFormat="1" ht="28.5" hidden="1">
      <c r="A408" s="259">
        <f>A407+1</f>
        <v>385</v>
      </c>
      <c r="B408" s="259"/>
      <c r="C408" s="259" t="s">
        <v>253</v>
      </c>
      <c r="D408" s="260" t="s">
        <v>607</v>
      </c>
      <c r="E408" s="258" t="str">
        <f>VLOOKUP(D408,Store_Info_VN!B:P,2,0)</f>
        <v xml:space="preserve">BIRKENSTOCK LOTTE MALL </v>
      </c>
      <c r="F408" s="261" t="s">
        <v>56</v>
      </c>
      <c r="G408" s="258" t="str">
        <f>I408&amp;" "&amp;J408&amp;" "&amp;K408</f>
        <v>Network Switch Cisco CISCO-CBS110-16T-EU</v>
      </c>
      <c r="H408" s="262">
        <v>1</v>
      </c>
      <c r="I408" s="258" t="s">
        <v>172</v>
      </c>
      <c r="J408" s="258" t="s">
        <v>562</v>
      </c>
      <c r="K408" s="263" t="s">
        <v>840</v>
      </c>
      <c r="L408" s="258"/>
      <c r="M408" s="264" t="s">
        <v>841</v>
      </c>
      <c r="N408" s="265"/>
      <c r="O408" s="265"/>
      <c r="P408" s="266"/>
      <c r="Q408" s="266"/>
      <c r="R408" s="258"/>
      <c r="S408" s="258"/>
      <c r="T408" s="267"/>
      <c r="U408" s="268"/>
      <c r="V408" s="258"/>
      <c r="W408" s="269"/>
      <c r="X408" s="270"/>
      <c r="Y408" s="271"/>
      <c r="Z408" s="272"/>
      <c r="AA408" s="271"/>
    </row>
    <row r="409" spans="1:27" s="257" customFormat="1" ht="28.5" hidden="1">
      <c r="A409" s="281">
        <f>A408+1</f>
        <v>386</v>
      </c>
      <c r="B409" s="281"/>
      <c r="C409" s="281" t="s">
        <v>253</v>
      </c>
      <c r="D409" s="307" t="s">
        <v>607</v>
      </c>
      <c r="E409" s="279" t="str">
        <f>VLOOKUP(D409,Store_Info_VN!B:P,2,0)</f>
        <v xml:space="preserve">BIRKENSTOCK LOTTE MALL </v>
      </c>
      <c r="F409" s="296" t="s">
        <v>56</v>
      </c>
      <c r="G409" s="279" t="str">
        <f>I409&amp;" "&amp;J409&amp;" "&amp;K409</f>
        <v>USB Hub Orico 4 Port</v>
      </c>
      <c r="H409" s="282">
        <v>1</v>
      </c>
      <c r="I409" s="279" t="s">
        <v>273</v>
      </c>
      <c r="J409" s="279" t="s">
        <v>274</v>
      </c>
      <c r="K409" s="275" t="s">
        <v>466</v>
      </c>
      <c r="L409" s="279"/>
      <c r="M409" s="283"/>
      <c r="N409" s="340"/>
      <c r="O409" s="340"/>
      <c r="P409" s="310"/>
      <c r="Q409" s="310"/>
      <c r="R409" s="279"/>
      <c r="S409" s="279"/>
      <c r="T409" s="311"/>
      <c r="U409" s="286"/>
      <c r="V409" s="279"/>
      <c r="W409" s="341"/>
      <c r="X409" s="270"/>
      <c r="Y409" s="284"/>
      <c r="Z409" s="342"/>
      <c r="AA409" s="284"/>
    </row>
    <row r="410" spans="1:27" s="257" customFormat="1" hidden="1">
      <c r="A410" s="259">
        <f>A409+1</f>
        <v>387</v>
      </c>
      <c r="B410" s="259"/>
      <c r="C410" s="259" t="s">
        <v>65</v>
      </c>
      <c r="D410" s="277" t="s">
        <v>611</v>
      </c>
      <c r="E410" s="258" t="str">
        <f>VLOOKUP(D410,Store_Info_VN!B:P,2,0)</f>
        <v>FOOTLOCKER LOTTE MALL</v>
      </c>
      <c r="F410" s="258" t="s">
        <v>56</v>
      </c>
      <c r="G410" s="258" t="str">
        <f>I410&amp;" "&amp;J410&amp;" "&amp;K410</f>
        <v>Monitor HP V19</v>
      </c>
      <c r="H410" s="258">
        <v>1</v>
      </c>
      <c r="I410" s="258" t="s">
        <v>116</v>
      </c>
      <c r="J410" s="258" t="s">
        <v>58</v>
      </c>
      <c r="K410" s="258" t="s">
        <v>842</v>
      </c>
      <c r="L410" s="258"/>
      <c r="M410" s="288" t="s">
        <v>843</v>
      </c>
      <c r="N410" s="314"/>
      <c r="O410" s="314"/>
      <c r="P410" s="259"/>
      <c r="Q410" s="259"/>
      <c r="R410" s="258"/>
      <c r="S410" s="258"/>
      <c r="T410" s="660" t="s">
        <v>844</v>
      </c>
      <c r="U410" s="268"/>
      <c r="V410" s="258"/>
      <c r="W410" s="308"/>
      <c r="X410" s="277"/>
      <c r="Y410" s="271"/>
      <c r="Z410" s="271"/>
      <c r="AA410" s="271"/>
    </row>
    <row r="411" spans="1:27" s="257" customFormat="1" hidden="1">
      <c r="A411" s="259">
        <f>A410+1</f>
        <v>388</v>
      </c>
      <c r="B411" s="259"/>
      <c r="C411" s="259" t="s">
        <v>65</v>
      </c>
      <c r="D411" s="277" t="s">
        <v>611</v>
      </c>
      <c r="E411" s="258" t="str">
        <f>VLOOKUP(D411,Store_Info_VN!B:P,2,0)</f>
        <v>FOOTLOCKER LOTTE MALL</v>
      </c>
      <c r="F411" s="258" t="s">
        <v>56</v>
      </c>
      <c r="G411" s="258" t="str">
        <f>I411&amp;" "&amp;J411&amp;" "&amp;K411</f>
        <v>Monitor HP V19</v>
      </c>
      <c r="H411" s="258">
        <v>1</v>
      </c>
      <c r="I411" s="258" t="s">
        <v>116</v>
      </c>
      <c r="J411" s="258" t="s">
        <v>58</v>
      </c>
      <c r="K411" s="258" t="s">
        <v>842</v>
      </c>
      <c r="L411" s="258"/>
      <c r="M411" s="288" t="s">
        <v>845</v>
      </c>
      <c r="N411" s="314"/>
      <c r="O411" s="314"/>
      <c r="P411" s="259"/>
      <c r="Q411" s="259"/>
      <c r="R411" s="258"/>
      <c r="S411" s="258"/>
      <c r="T411" s="660" t="s">
        <v>624</v>
      </c>
      <c r="U411" s="268"/>
      <c r="V411" s="258"/>
      <c r="W411" s="308"/>
      <c r="X411" s="277"/>
      <c r="Y411" s="271"/>
      <c r="Z411" s="271"/>
      <c r="AA411" s="271"/>
    </row>
    <row r="412" spans="1:27" s="257" customFormat="1" hidden="1">
      <c r="A412" s="259">
        <f>A411+1</f>
        <v>389</v>
      </c>
      <c r="B412" s="259"/>
      <c r="C412" s="259" t="s">
        <v>65</v>
      </c>
      <c r="D412" s="277" t="s">
        <v>611</v>
      </c>
      <c r="E412" s="258" t="str">
        <f>VLOOKUP(D412,Store_Info_VN!B:P,2,0)</f>
        <v>FOOTLOCKER LOTTE MALL</v>
      </c>
      <c r="F412" s="258" t="s">
        <v>56</v>
      </c>
      <c r="G412" s="258" t="str">
        <f>I412&amp;" "&amp;J412&amp;" "&amp;K412</f>
        <v>Monitor HP V19</v>
      </c>
      <c r="H412" s="258">
        <v>1</v>
      </c>
      <c r="I412" s="258" t="s">
        <v>116</v>
      </c>
      <c r="J412" s="258" t="s">
        <v>58</v>
      </c>
      <c r="K412" s="258" t="s">
        <v>842</v>
      </c>
      <c r="L412" s="258"/>
      <c r="M412" s="288" t="s">
        <v>846</v>
      </c>
      <c r="N412" s="314"/>
      <c r="O412" s="314"/>
      <c r="P412" s="259"/>
      <c r="Q412" s="259"/>
      <c r="R412" s="258"/>
      <c r="S412" s="258"/>
      <c r="T412" s="660" t="s">
        <v>627</v>
      </c>
      <c r="U412" s="268"/>
      <c r="V412" s="258"/>
      <c r="W412" s="308"/>
      <c r="X412" s="277"/>
      <c r="Y412" s="271"/>
      <c r="Z412" s="271"/>
      <c r="AA412" s="271"/>
    </row>
    <row r="413" spans="1:27" s="257" customFormat="1" hidden="1">
      <c r="A413" s="259">
        <f>A412+1</f>
        <v>390</v>
      </c>
      <c r="B413" s="259"/>
      <c r="C413" s="259" t="s">
        <v>65</v>
      </c>
      <c r="D413" s="277" t="s">
        <v>611</v>
      </c>
      <c r="E413" s="258" t="str">
        <f>VLOOKUP(D413,Store_Info_VN!B:P,2,0)</f>
        <v>FOOTLOCKER LOTTE MALL</v>
      </c>
      <c r="F413" s="258" t="s">
        <v>56</v>
      </c>
      <c r="G413" s="258" t="str">
        <f>I413&amp;" "&amp;J413&amp;" "&amp;K413</f>
        <v>Monitor HP V19</v>
      </c>
      <c r="H413" s="258">
        <v>1</v>
      </c>
      <c r="I413" s="258" t="s">
        <v>116</v>
      </c>
      <c r="J413" s="258" t="s">
        <v>58</v>
      </c>
      <c r="K413" s="258" t="s">
        <v>842</v>
      </c>
      <c r="L413" s="258"/>
      <c r="M413" s="288" t="s">
        <v>847</v>
      </c>
      <c r="N413" s="314"/>
      <c r="O413" s="314"/>
      <c r="P413" s="259"/>
      <c r="Q413" s="259"/>
      <c r="R413" s="258"/>
      <c r="S413" s="258"/>
      <c r="T413" s="278" t="s">
        <v>615</v>
      </c>
      <c r="U413" s="268"/>
      <c r="V413" s="258"/>
      <c r="W413" s="308"/>
      <c r="X413" s="277"/>
      <c r="Y413" s="271"/>
      <c r="Z413" s="271"/>
      <c r="AA413" s="271"/>
    </row>
    <row r="414" spans="1:27" s="257" customFormat="1" hidden="1">
      <c r="A414" s="259">
        <f>A413+1</f>
        <v>391</v>
      </c>
      <c r="B414" s="259"/>
      <c r="C414" s="259" t="s">
        <v>65</v>
      </c>
      <c r="D414" s="277" t="s">
        <v>611</v>
      </c>
      <c r="E414" s="258" t="str">
        <f>VLOOKUP(D414,Store_Info_VN!B:P,2,0)</f>
        <v>FOOTLOCKER LOTTE MALL</v>
      </c>
      <c r="F414" s="258" t="s">
        <v>56</v>
      </c>
      <c r="G414" s="258" t="str">
        <f>I414&amp;" "&amp;J414&amp;" "&amp;K414</f>
        <v>Monitor HP V19</v>
      </c>
      <c r="H414" s="258">
        <v>1</v>
      </c>
      <c r="I414" s="258" t="s">
        <v>116</v>
      </c>
      <c r="J414" s="258" t="s">
        <v>58</v>
      </c>
      <c r="K414" s="258" t="s">
        <v>842</v>
      </c>
      <c r="L414" s="258"/>
      <c r="M414" s="288" t="s">
        <v>848</v>
      </c>
      <c r="N414" s="314"/>
      <c r="O414" s="314"/>
      <c r="P414" s="259"/>
      <c r="Q414" s="259"/>
      <c r="R414" s="258"/>
      <c r="S414" s="258"/>
      <c r="T414" s="278" t="s">
        <v>849</v>
      </c>
      <c r="U414" s="268"/>
      <c r="V414" s="258"/>
      <c r="W414" s="308"/>
      <c r="X414" s="277"/>
      <c r="Y414" s="271"/>
      <c r="Z414" s="271"/>
      <c r="AA414" s="271"/>
    </row>
    <row r="415" spans="1:27" s="257" customFormat="1" hidden="1">
      <c r="A415" s="259">
        <f>A414+1</f>
        <v>392</v>
      </c>
      <c r="B415" s="259"/>
      <c r="C415" s="259" t="s">
        <v>65</v>
      </c>
      <c r="D415" s="277" t="s">
        <v>611</v>
      </c>
      <c r="E415" s="258" t="str">
        <f>VLOOKUP(D415,Store_Info_VN!B:P,2,0)</f>
        <v>FOOTLOCKER LOTTE MALL</v>
      </c>
      <c r="F415" s="258" t="s">
        <v>56</v>
      </c>
      <c r="G415" s="258" t="str">
        <f>I415&amp;" "&amp;J415&amp;" "&amp;K415</f>
        <v>Cash Drawer Maken Mk-410</v>
      </c>
      <c r="H415" s="258">
        <v>1</v>
      </c>
      <c r="I415" s="258" t="s">
        <v>159</v>
      </c>
      <c r="J415" s="258" t="s">
        <v>230</v>
      </c>
      <c r="K415" s="288" t="s">
        <v>737</v>
      </c>
      <c r="L415" s="258"/>
      <c r="M415" s="288" t="s">
        <v>850</v>
      </c>
      <c r="N415" s="314"/>
      <c r="O415" s="314"/>
      <c r="P415" s="259"/>
      <c r="Q415" s="259"/>
      <c r="R415" s="258"/>
      <c r="S415" s="258"/>
      <c r="T415" s="660" t="s">
        <v>844</v>
      </c>
      <c r="U415" s="268"/>
      <c r="V415" s="258"/>
      <c r="W415" s="308"/>
      <c r="X415" s="277"/>
      <c r="Y415" s="271"/>
      <c r="Z415" s="271"/>
      <c r="AA415" s="271"/>
    </row>
    <row r="416" spans="1:27" s="257" customFormat="1" hidden="1">
      <c r="A416" s="259">
        <f>A415+1</f>
        <v>393</v>
      </c>
      <c r="B416" s="259"/>
      <c r="C416" s="259" t="s">
        <v>65</v>
      </c>
      <c r="D416" s="277" t="s">
        <v>611</v>
      </c>
      <c r="E416" s="258" t="str">
        <f>VLOOKUP(D416,Store_Info_VN!B:P,2,0)</f>
        <v>FOOTLOCKER LOTTE MALL</v>
      </c>
      <c r="F416" s="258" t="s">
        <v>56</v>
      </c>
      <c r="G416" s="258" t="str">
        <f>I416&amp;" "&amp;J416&amp;" "&amp;K416</f>
        <v>Cash Drawer Maken Mk-410</v>
      </c>
      <c r="H416" s="258">
        <v>1</v>
      </c>
      <c r="I416" s="258" t="s">
        <v>159</v>
      </c>
      <c r="J416" s="258" t="s">
        <v>230</v>
      </c>
      <c r="K416" s="288" t="s">
        <v>737</v>
      </c>
      <c r="L416" s="258"/>
      <c r="M416" s="288" t="s">
        <v>851</v>
      </c>
      <c r="N416" s="314"/>
      <c r="O416" s="314"/>
      <c r="P416" s="259"/>
      <c r="Q416" s="259"/>
      <c r="R416" s="258"/>
      <c r="S416" s="258"/>
      <c r="T416" s="660" t="s">
        <v>624</v>
      </c>
      <c r="U416" s="268"/>
      <c r="V416" s="258"/>
      <c r="W416" s="308"/>
      <c r="X416" s="277"/>
      <c r="Y416" s="271"/>
      <c r="Z416" s="271"/>
      <c r="AA416" s="271"/>
    </row>
    <row r="417" spans="1:27" s="257" customFormat="1" hidden="1">
      <c r="A417" s="259">
        <f>A416+1</f>
        <v>394</v>
      </c>
      <c r="B417" s="259"/>
      <c r="C417" s="259" t="s">
        <v>65</v>
      </c>
      <c r="D417" s="277" t="s">
        <v>611</v>
      </c>
      <c r="E417" s="258" t="str">
        <f>VLOOKUP(D417,Store_Info_VN!B:P,2,0)</f>
        <v>FOOTLOCKER LOTTE MALL</v>
      </c>
      <c r="F417" s="258" t="s">
        <v>56</v>
      </c>
      <c r="G417" s="258" t="str">
        <f>I417&amp;" "&amp;J417&amp;" "&amp;K417</f>
        <v>Cash Drawer Maken Mk-410</v>
      </c>
      <c r="H417" s="258">
        <v>1</v>
      </c>
      <c r="I417" s="258" t="s">
        <v>159</v>
      </c>
      <c r="J417" s="258" t="s">
        <v>230</v>
      </c>
      <c r="K417" s="288" t="s">
        <v>737</v>
      </c>
      <c r="L417" s="258"/>
      <c r="M417" s="288" t="s">
        <v>852</v>
      </c>
      <c r="N417" s="314"/>
      <c r="O417" s="314"/>
      <c r="P417" s="259"/>
      <c r="Q417" s="259"/>
      <c r="R417" s="258"/>
      <c r="S417" s="258"/>
      <c r="T417" s="660" t="s">
        <v>627</v>
      </c>
      <c r="U417" s="268"/>
      <c r="V417" s="258"/>
      <c r="W417" s="308"/>
      <c r="X417" s="277"/>
      <c r="Y417" s="271"/>
      <c r="Z417" s="271"/>
      <c r="AA417" s="271"/>
    </row>
    <row r="418" spans="1:27" s="257" customFormat="1" ht="26.25" hidden="1">
      <c r="A418" s="259">
        <f>A417+1</f>
        <v>395</v>
      </c>
      <c r="B418" s="259"/>
      <c r="C418" s="259" t="s">
        <v>65</v>
      </c>
      <c r="D418" s="277" t="s">
        <v>611</v>
      </c>
      <c r="E418" s="258" t="str">
        <f>VLOOKUP(D418,Store_Info_VN!B:P,2,0)</f>
        <v>FOOTLOCKER LOTTE MALL</v>
      </c>
      <c r="F418" s="258" t="s">
        <v>56</v>
      </c>
      <c r="G418" s="258" t="str">
        <f>I419&amp;" "&amp;J418&amp;" "&amp;K418</f>
        <v>Pole Display HP Engage 2 x 20 Pole Display (5RD97AA)</v>
      </c>
      <c r="H418" s="258">
        <v>1</v>
      </c>
      <c r="I418" s="258" t="s">
        <v>125</v>
      </c>
      <c r="J418" s="258" t="s">
        <v>58</v>
      </c>
      <c r="K418" s="288" t="s">
        <v>853</v>
      </c>
      <c r="L418" s="258"/>
      <c r="M418" s="314" t="s">
        <v>854</v>
      </c>
      <c r="N418" s="314"/>
      <c r="O418" s="314"/>
      <c r="P418" s="259"/>
      <c r="Q418" s="259"/>
      <c r="R418" s="258"/>
      <c r="S418" s="258"/>
      <c r="T418" s="660" t="s">
        <v>844</v>
      </c>
      <c r="U418" s="268"/>
      <c r="V418" s="258"/>
      <c r="W418" s="308"/>
      <c r="X418" s="277"/>
      <c r="Y418" s="271"/>
      <c r="Z418" s="271"/>
      <c r="AA418" s="271"/>
    </row>
    <row r="419" spans="1:27" s="257" customFormat="1" ht="26.25" hidden="1">
      <c r="A419" s="259">
        <f>A418+1</f>
        <v>396</v>
      </c>
      <c r="B419" s="259"/>
      <c r="C419" s="259" t="s">
        <v>65</v>
      </c>
      <c r="D419" s="277" t="s">
        <v>611</v>
      </c>
      <c r="E419" s="258" t="str">
        <f>VLOOKUP(D419,Store_Info_VN!B:P,2,0)</f>
        <v>FOOTLOCKER LOTTE MALL</v>
      </c>
      <c r="F419" s="258" t="s">
        <v>56</v>
      </c>
      <c r="G419" s="258" t="str">
        <f>I419&amp;" "&amp;J419&amp;" "&amp;K419</f>
        <v>Pole Display HP Engage 2 x 20 Pole Display (5RD97AA)</v>
      </c>
      <c r="H419" s="258">
        <v>1</v>
      </c>
      <c r="I419" s="258" t="s">
        <v>125</v>
      </c>
      <c r="J419" s="258" t="s">
        <v>58</v>
      </c>
      <c r="K419" s="288" t="s">
        <v>853</v>
      </c>
      <c r="L419" s="258"/>
      <c r="M419" s="314" t="s">
        <v>855</v>
      </c>
      <c r="N419" s="314"/>
      <c r="O419" s="314"/>
      <c r="P419" s="259"/>
      <c r="Q419" s="259"/>
      <c r="R419" s="258"/>
      <c r="S419" s="258"/>
      <c r="T419" s="660" t="s">
        <v>624</v>
      </c>
      <c r="U419" s="268"/>
      <c r="V419" s="258"/>
      <c r="W419" s="308"/>
      <c r="X419" s="277"/>
      <c r="Y419" s="271"/>
      <c r="Z419" s="271"/>
      <c r="AA419" s="271"/>
    </row>
    <row r="420" spans="1:27" s="257" customFormat="1" ht="26.25" hidden="1">
      <c r="A420" s="259">
        <f>A419+1</f>
        <v>397</v>
      </c>
      <c r="B420" s="259"/>
      <c r="C420" s="259" t="s">
        <v>65</v>
      </c>
      <c r="D420" s="277" t="s">
        <v>611</v>
      </c>
      <c r="E420" s="258" t="str">
        <f>VLOOKUP(D420,Store_Info_VN!B:P,2,0)</f>
        <v>FOOTLOCKER LOTTE MALL</v>
      </c>
      <c r="F420" s="258" t="s">
        <v>56</v>
      </c>
      <c r="G420" s="258" t="str">
        <f>I420&amp;" "&amp;J420&amp;" "&amp;K420</f>
        <v>Pole Display HP Engage 2 x 20 Pole Display (5RD97AA)</v>
      </c>
      <c r="H420" s="258">
        <v>1</v>
      </c>
      <c r="I420" s="258" t="s">
        <v>125</v>
      </c>
      <c r="J420" s="258" t="s">
        <v>58</v>
      </c>
      <c r="K420" s="288" t="s">
        <v>853</v>
      </c>
      <c r="L420" s="258"/>
      <c r="M420" s="314" t="s">
        <v>856</v>
      </c>
      <c r="N420" s="314"/>
      <c r="O420" s="314"/>
      <c r="P420" s="259"/>
      <c r="Q420" s="259"/>
      <c r="R420" s="258"/>
      <c r="S420" s="258"/>
      <c r="T420" s="660" t="s">
        <v>627</v>
      </c>
      <c r="U420" s="268"/>
      <c r="V420" s="258"/>
      <c r="W420" s="308"/>
      <c r="X420" s="277"/>
      <c r="Y420" s="271"/>
      <c r="Z420" s="271"/>
      <c r="AA420" s="271"/>
    </row>
    <row r="421" spans="1:27" s="257" customFormat="1" hidden="1">
      <c r="A421" s="259">
        <f>A420+1</f>
        <v>398</v>
      </c>
      <c r="B421" s="259"/>
      <c r="C421" s="259" t="s">
        <v>65</v>
      </c>
      <c r="D421" s="277" t="s">
        <v>611</v>
      </c>
      <c r="E421" s="258" t="str">
        <f>VLOOKUP(D421,Store_Info_VN!B:P,2,0)</f>
        <v>FOOTLOCKER LOTTE MALL</v>
      </c>
      <c r="F421" s="258" t="s">
        <v>56</v>
      </c>
      <c r="G421" s="258" t="str">
        <f>I421&amp;" "&amp;J421&amp;" "&amp;K421</f>
        <v>Scanner Zebra Wireless DS2278</v>
      </c>
      <c r="H421" s="258">
        <v>1</v>
      </c>
      <c r="I421" s="258" t="s">
        <v>96</v>
      </c>
      <c r="J421" s="258" t="s">
        <v>857</v>
      </c>
      <c r="K421" s="288" t="s">
        <v>858</v>
      </c>
      <c r="L421" s="258"/>
      <c r="M421" s="288" t="s">
        <v>859</v>
      </c>
      <c r="N421" s="314"/>
      <c r="O421" s="314"/>
      <c r="P421" s="259"/>
      <c r="Q421" s="259"/>
      <c r="R421" s="258"/>
      <c r="S421" s="258"/>
      <c r="T421" s="660" t="s">
        <v>844</v>
      </c>
      <c r="U421" s="268"/>
      <c r="V421" s="258"/>
      <c r="W421" s="308"/>
      <c r="X421" s="277"/>
      <c r="Y421" s="271"/>
      <c r="Z421" s="271"/>
      <c r="AA421" s="271"/>
    </row>
    <row r="422" spans="1:27" s="257" customFormat="1" hidden="1">
      <c r="A422" s="259">
        <f>A421+1</f>
        <v>399</v>
      </c>
      <c r="B422" s="259"/>
      <c r="C422" s="259" t="s">
        <v>65</v>
      </c>
      <c r="D422" s="277" t="s">
        <v>611</v>
      </c>
      <c r="E422" s="258" t="str">
        <f>VLOOKUP(D422,Store_Info_VN!B:P,2,0)</f>
        <v>FOOTLOCKER LOTTE MALL</v>
      </c>
      <c r="F422" s="258" t="s">
        <v>56</v>
      </c>
      <c r="G422" s="258" t="str">
        <f>I422&amp;" "&amp;J422&amp;" "&amp;K422</f>
        <v>Scanner Zebra Wireless DS2278</v>
      </c>
      <c r="H422" s="258">
        <v>1</v>
      </c>
      <c r="I422" s="258" t="s">
        <v>96</v>
      </c>
      <c r="J422" s="258" t="s">
        <v>857</v>
      </c>
      <c r="K422" s="288" t="s">
        <v>858</v>
      </c>
      <c r="L422" s="258"/>
      <c r="M422" s="288" t="s">
        <v>860</v>
      </c>
      <c r="N422" s="314"/>
      <c r="O422" s="314"/>
      <c r="P422" s="259"/>
      <c r="Q422" s="259"/>
      <c r="R422" s="258"/>
      <c r="S422" s="258"/>
      <c r="T422" s="660" t="s">
        <v>624</v>
      </c>
      <c r="U422" s="268"/>
      <c r="V422" s="258"/>
      <c r="W422" s="308"/>
      <c r="X422" s="277"/>
      <c r="Y422" s="271"/>
      <c r="Z422" s="271"/>
      <c r="AA422" s="271"/>
    </row>
    <row r="423" spans="1:27" s="257" customFormat="1" hidden="1">
      <c r="A423" s="259">
        <f>A422+1</f>
        <v>400</v>
      </c>
      <c r="B423" s="259"/>
      <c r="C423" s="259" t="s">
        <v>65</v>
      </c>
      <c r="D423" s="277" t="s">
        <v>611</v>
      </c>
      <c r="E423" s="258" t="str">
        <f>VLOOKUP(D423,Store_Info_VN!B:P,2,0)</f>
        <v>FOOTLOCKER LOTTE MALL</v>
      </c>
      <c r="F423" s="258" t="s">
        <v>56</v>
      </c>
      <c r="G423" s="258" t="str">
        <f>I423&amp;" "&amp;J423&amp;" "&amp;K423</f>
        <v>Scanner Zebra Wireless DS2278</v>
      </c>
      <c r="H423" s="258">
        <v>1</v>
      </c>
      <c r="I423" s="258" t="s">
        <v>96</v>
      </c>
      <c r="J423" s="258" t="s">
        <v>857</v>
      </c>
      <c r="K423" s="288" t="s">
        <v>858</v>
      </c>
      <c r="L423" s="258"/>
      <c r="M423" s="288" t="s">
        <v>861</v>
      </c>
      <c r="N423" s="314"/>
      <c r="O423" s="314"/>
      <c r="P423" s="259"/>
      <c r="Q423" s="259"/>
      <c r="R423" s="258"/>
      <c r="S423" s="258"/>
      <c r="T423" s="660" t="s">
        <v>627</v>
      </c>
      <c r="U423" s="268"/>
      <c r="V423" s="258"/>
      <c r="W423" s="308"/>
      <c r="X423" s="277"/>
      <c r="Y423" s="271"/>
      <c r="Z423" s="271"/>
      <c r="AA423" s="271"/>
    </row>
    <row r="424" spans="1:27" s="257" customFormat="1" ht="26.25" hidden="1">
      <c r="A424" s="259">
        <f>A423+1</f>
        <v>401</v>
      </c>
      <c r="B424" s="259"/>
      <c r="C424" s="259" t="s">
        <v>65</v>
      </c>
      <c r="D424" s="277" t="s">
        <v>611</v>
      </c>
      <c r="E424" s="258" t="str">
        <f>VLOOKUP(D424,Store_Info_VN!B:P,2,0)</f>
        <v>FOOTLOCKER LOTTE MALL</v>
      </c>
      <c r="F424" s="258" t="s">
        <v>56</v>
      </c>
      <c r="G424" s="258" t="str">
        <f>I424&amp;" "&amp;J424&amp;" "&amp;K424</f>
        <v>Bill Printer Star Thermal Star printer MCP31L, USB</v>
      </c>
      <c r="H424" s="258">
        <v>1</v>
      </c>
      <c r="I424" s="258" t="s">
        <v>92</v>
      </c>
      <c r="J424" s="258" t="s">
        <v>862</v>
      </c>
      <c r="K424" s="288" t="s">
        <v>863</v>
      </c>
      <c r="L424" s="258"/>
      <c r="M424" s="288" t="s">
        <v>864</v>
      </c>
      <c r="N424" s="314"/>
      <c r="O424" s="314"/>
      <c r="P424" s="259"/>
      <c r="Q424" s="259"/>
      <c r="R424" s="258"/>
      <c r="S424" s="258"/>
      <c r="T424" s="660" t="s">
        <v>844</v>
      </c>
      <c r="U424" s="268"/>
      <c r="V424" s="258"/>
      <c r="W424" s="308"/>
      <c r="X424" s="277"/>
      <c r="Y424" s="271"/>
      <c r="Z424" s="271"/>
      <c r="AA424" s="271"/>
    </row>
    <row r="425" spans="1:27" s="257" customFormat="1" ht="26.25" hidden="1">
      <c r="A425" s="259">
        <f>A424+1</f>
        <v>402</v>
      </c>
      <c r="B425" s="259"/>
      <c r="C425" s="259" t="s">
        <v>65</v>
      </c>
      <c r="D425" s="277" t="s">
        <v>611</v>
      </c>
      <c r="E425" s="258" t="str">
        <f>VLOOKUP(D425,Store_Info_VN!B:P,2,0)</f>
        <v>FOOTLOCKER LOTTE MALL</v>
      </c>
      <c r="F425" s="258" t="s">
        <v>56</v>
      </c>
      <c r="G425" s="258" t="str">
        <f>I425&amp;" "&amp;J425&amp;" "&amp;K425</f>
        <v>Bill Printer Star Thermal Star printer MCP31L, USB</v>
      </c>
      <c r="H425" s="258">
        <v>1</v>
      </c>
      <c r="I425" s="258" t="s">
        <v>92</v>
      </c>
      <c r="J425" s="258" t="s">
        <v>862</v>
      </c>
      <c r="K425" s="288" t="s">
        <v>863</v>
      </c>
      <c r="L425" s="258"/>
      <c r="M425" s="288" t="s">
        <v>865</v>
      </c>
      <c r="N425" s="314"/>
      <c r="O425" s="314"/>
      <c r="P425" s="259"/>
      <c r="Q425" s="259"/>
      <c r="R425" s="258"/>
      <c r="S425" s="258"/>
      <c r="T425" s="660" t="s">
        <v>624</v>
      </c>
      <c r="U425" s="268"/>
      <c r="V425" s="258"/>
      <c r="W425" s="308"/>
      <c r="X425" s="277"/>
      <c r="Y425" s="271"/>
      <c r="Z425" s="271"/>
      <c r="AA425" s="271"/>
    </row>
    <row r="426" spans="1:27" s="257" customFormat="1" ht="26.25" hidden="1">
      <c r="A426" s="259">
        <f>A425+1</f>
        <v>403</v>
      </c>
      <c r="B426" s="259"/>
      <c r="C426" s="259" t="s">
        <v>65</v>
      </c>
      <c r="D426" s="277" t="s">
        <v>611</v>
      </c>
      <c r="E426" s="258" t="str">
        <f>VLOOKUP(D426,Store_Info_VN!B:P,2,0)</f>
        <v>FOOTLOCKER LOTTE MALL</v>
      </c>
      <c r="F426" s="258" t="s">
        <v>56</v>
      </c>
      <c r="G426" s="258" t="str">
        <f>I426&amp;" "&amp;J426&amp;" "&amp;K426</f>
        <v>Bill Printer Star Thermal Star printer MCP31L, USB</v>
      </c>
      <c r="H426" s="258">
        <v>1</v>
      </c>
      <c r="I426" s="258" t="s">
        <v>92</v>
      </c>
      <c r="J426" s="258" t="s">
        <v>862</v>
      </c>
      <c r="K426" s="288" t="s">
        <v>863</v>
      </c>
      <c r="L426" s="258"/>
      <c r="M426" s="288" t="s">
        <v>866</v>
      </c>
      <c r="N426" s="314"/>
      <c r="O426" s="314"/>
      <c r="P426" s="259"/>
      <c r="Q426" s="259"/>
      <c r="R426" s="258"/>
      <c r="S426" s="258"/>
      <c r="T426" s="660" t="s">
        <v>627</v>
      </c>
      <c r="U426" s="268"/>
      <c r="V426" s="258"/>
      <c r="W426" s="308"/>
      <c r="X426" s="277"/>
      <c r="Y426" s="271"/>
      <c r="Z426" s="271"/>
      <c r="AA426" s="271"/>
    </row>
    <row r="427" spans="1:27" s="257" customFormat="1" hidden="1">
      <c r="A427" s="259">
        <f>A426+1</f>
        <v>404</v>
      </c>
      <c r="B427" s="259"/>
      <c r="C427" s="259" t="s">
        <v>65</v>
      </c>
      <c r="D427" s="277" t="s">
        <v>611</v>
      </c>
      <c r="E427" s="258" t="str">
        <f>VLOOKUP(D427,Store_Info_VN!B:P,2,0)</f>
        <v>FOOTLOCKER LOTTE MALL</v>
      </c>
      <c r="F427" s="258" t="s">
        <v>56</v>
      </c>
      <c r="G427" s="258" t="str">
        <f>I427&amp;" "&amp;J427&amp;" "&amp;K427</f>
        <v xml:space="preserve">  </v>
      </c>
      <c r="H427" s="258">
        <v>1</v>
      </c>
      <c r="I427" s="258"/>
      <c r="J427" s="258"/>
      <c r="K427" s="288"/>
      <c r="L427" s="258"/>
      <c r="M427" s="288"/>
      <c r="N427" s="314"/>
      <c r="O427" s="314"/>
      <c r="P427" s="259"/>
      <c r="Q427" s="259"/>
      <c r="R427" s="258"/>
      <c r="S427" s="258"/>
      <c r="T427" s="278"/>
      <c r="U427" s="268"/>
      <c r="V427" s="258"/>
      <c r="W427" s="308"/>
      <c r="X427" s="277"/>
      <c r="Y427" s="271"/>
      <c r="Z427" s="271"/>
      <c r="AA427" s="271"/>
    </row>
    <row r="428" spans="1:27" s="257" customFormat="1" hidden="1">
      <c r="A428" s="259">
        <f>A427+1</f>
        <v>405</v>
      </c>
      <c r="B428" s="259"/>
      <c r="C428" s="259" t="s">
        <v>65</v>
      </c>
      <c r="D428" s="277" t="s">
        <v>611</v>
      </c>
      <c r="E428" s="258" t="str">
        <f>VLOOKUP(D428,Store_Info_VN!B:P,2,0)</f>
        <v>FOOTLOCKER LOTTE MALL</v>
      </c>
      <c r="F428" s="258" t="s">
        <v>56</v>
      </c>
      <c r="G428" s="258" t="str">
        <f>I428&amp;" "&amp;J428&amp;" "&amp;K428</f>
        <v xml:space="preserve">  </v>
      </c>
      <c r="H428" s="258">
        <v>1</v>
      </c>
      <c r="I428" s="258"/>
      <c r="J428" s="258"/>
      <c r="K428" s="288"/>
      <c r="L428" s="258"/>
      <c r="M428" s="288"/>
      <c r="N428" s="314"/>
      <c r="O428" s="314"/>
      <c r="P428" s="259"/>
      <c r="Q428" s="259"/>
      <c r="R428" s="258"/>
      <c r="S428" s="258"/>
      <c r="T428" s="278"/>
      <c r="U428" s="268"/>
      <c r="V428" s="258"/>
      <c r="W428" s="308"/>
      <c r="X428" s="277"/>
      <c r="Y428" s="271"/>
      <c r="Z428" s="271"/>
      <c r="AA428" s="271"/>
    </row>
    <row r="429" spans="1:27" s="257" customFormat="1" hidden="1">
      <c r="A429" s="259">
        <f>A428+1</f>
        <v>406</v>
      </c>
      <c r="B429" s="259"/>
      <c r="C429" s="259" t="s">
        <v>65</v>
      </c>
      <c r="D429" s="277" t="s">
        <v>611</v>
      </c>
      <c r="E429" s="258" t="str">
        <f>VLOOKUP(D429,Store_Info_VN!B:P,2,0)</f>
        <v>FOOTLOCKER LOTTE MALL</v>
      </c>
      <c r="F429" s="258" t="s">
        <v>56</v>
      </c>
      <c r="G429" s="258" t="str">
        <f>I429&amp;" "&amp;J429&amp;" "&amp;K429</f>
        <v xml:space="preserve">  </v>
      </c>
      <c r="H429" s="258">
        <v>1</v>
      </c>
      <c r="I429" s="258"/>
      <c r="J429" s="258"/>
      <c r="K429" s="288"/>
      <c r="L429" s="258"/>
      <c r="M429" s="288"/>
      <c r="N429" s="314"/>
      <c r="O429" s="314"/>
      <c r="P429" s="259"/>
      <c r="Q429" s="259"/>
      <c r="R429" s="258"/>
      <c r="S429" s="258"/>
      <c r="T429" s="278"/>
      <c r="U429" s="268"/>
      <c r="V429" s="258"/>
      <c r="W429" s="308"/>
      <c r="X429" s="277"/>
      <c r="Y429" s="271"/>
      <c r="Z429" s="271"/>
      <c r="AA429" s="271"/>
    </row>
    <row r="430" spans="1:27" s="257" customFormat="1" hidden="1">
      <c r="A430" s="259">
        <f>A429+1</f>
        <v>407</v>
      </c>
      <c r="B430" s="259"/>
      <c r="C430" s="259" t="s">
        <v>65</v>
      </c>
      <c r="D430" s="277" t="s">
        <v>611</v>
      </c>
      <c r="E430" s="258" t="str">
        <f>VLOOKUP(D430,Store_Info_VN!B:P,2,0)</f>
        <v>FOOTLOCKER LOTTE MALL</v>
      </c>
      <c r="F430" s="258" t="s">
        <v>56</v>
      </c>
      <c r="G430" s="258" t="str">
        <f>I430&amp;" "&amp;J430&amp;" "&amp;K430</f>
        <v xml:space="preserve">  </v>
      </c>
      <c r="H430" s="258">
        <v>1</v>
      </c>
      <c r="I430" s="258"/>
      <c r="J430" s="258"/>
      <c r="K430" s="288"/>
      <c r="L430" s="258"/>
      <c r="M430" s="288"/>
      <c r="N430" s="314"/>
      <c r="O430" s="314"/>
      <c r="P430" s="259"/>
      <c r="Q430" s="259"/>
      <c r="R430" s="258"/>
      <c r="S430" s="258"/>
      <c r="T430" s="278"/>
      <c r="U430" s="268"/>
      <c r="V430" s="258"/>
      <c r="W430" s="308"/>
      <c r="X430" s="277"/>
      <c r="Y430" s="271"/>
      <c r="Z430" s="271"/>
      <c r="AA430" s="271"/>
    </row>
    <row r="431" spans="1:27" s="257" customFormat="1" hidden="1">
      <c r="A431" s="259">
        <f>A430+1</f>
        <v>408</v>
      </c>
      <c r="B431" s="259"/>
      <c r="C431" s="259" t="s">
        <v>65</v>
      </c>
      <c r="D431" s="277" t="s">
        <v>611</v>
      </c>
      <c r="E431" s="258" t="str">
        <f>VLOOKUP(D431,Store_Info_VN!B:P,2,0)</f>
        <v>FOOTLOCKER LOTTE MALL</v>
      </c>
      <c r="F431" s="258" t="s">
        <v>56</v>
      </c>
      <c r="G431" s="258" t="str">
        <f>I431&amp;" "&amp;J431&amp;" "&amp;K431</f>
        <v xml:space="preserve">  </v>
      </c>
      <c r="H431" s="258">
        <v>1</v>
      </c>
      <c r="I431" s="258"/>
      <c r="J431" s="258"/>
      <c r="K431" s="288"/>
      <c r="L431" s="258"/>
      <c r="M431" s="288"/>
      <c r="N431" s="314"/>
      <c r="O431" s="314"/>
      <c r="P431" s="259"/>
      <c r="Q431" s="259"/>
      <c r="R431" s="258"/>
      <c r="S431" s="258"/>
      <c r="T431" s="278"/>
      <c r="U431" s="268"/>
      <c r="V431" s="258"/>
      <c r="W431" s="308"/>
      <c r="X431" s="277"/>
      <c r="Y431" s="271"/>
      <c r="Z431" s="271"/>
      <c r="AA431" s="271"/>
    </row>
    <row r="432" spans="1:27" s="257" customFormat="1" hidden="1">
      <c r="A432" s="259">
        <f>A431+1</f>
        <v>409</v>
      </c>
      <c r="B432" s="259"/>
      <c r="C432" s="259" t="s">
        <v>65</v>
      </c>
      <c r="D432" s="277" t="s">
        <v>611</v>
      </c>
      <c r="E432" s="258" t="str">
        <f>VLOOKUP(D432,Store_Info_VN!B:P,2,0)</f>
        <v>FOOTLOCKER LOTTE MALL</v>
      </c>
      <c r="F432" s="258" t="s">
        <v>56</v>
      </c>
      <c r="G432" s="258" t="str">
        <f>I432&amp;" "&amp;J432&amp;" "&amp;K432</f>
        <v xml:space="preserve">  </v>
      </c>
      <c r="H432" s="258">
        <v>1</v>
      </c>
      <c r="I432" s="258"/>
      <c r="J432" s="258"/>
      <c r="K432" s="288"/>
      <c r="L432" s="258"/>
      <c r="M432" s="288"/>
      <c r="N432" s="314"/>
      <c r="O432" s="314"/>
      <c r="P432" s="259"/>
      <c r="Q432" s="259"/>
      <c r="R432" s="258"/>
      <c r="S432" s="258"/>
      <c r="T432" s="278"/>
      <c r="U432" s="268"/>
      <c r="V432" s="258"/>
      <c r="W432" s="308"/>
      <c r="X432" s="277"/>
      <c r="Y432" s="271"/>
      <c r="Z432" s="271"/>
      <c r="AA432" s="271"/>
    </row>
    <row r="433" spans="1:28" s="257" customFormat="1" hidden="1">
      <c r="A433" s="259">
        <f>A432+1</f>
        <v>410</v>
      </c>
      <c r="B433" s="259"/>
      <c r="C433" s="259" t="s">
        <v>65</v>
      </c>
      <c r="D433" s="277" t="s">
        <v>611</v>
      </c>
      <c r="E433" s="258" t="str">
        <f>VLOOKUP(D433,Store_Info_VN!B:P,2,0)</f>
        <v>FOOTLOCKER LOTTE MALL</v>
      </c>
      <c r="F433" s="258" t="s">
        <v>56</v>
      </c>
      <c r="G433" s="258" t="str">
        <f>I433&amp;" "&amp;J433&amp;" "&amp;K433</f>
        <v xml:space="preserve">  </v>
      </c>
      <c r="H433" s="258">
        <v>1</v>
      </c>
      <c r="I433" s="258"/>
      <c r="J433" s="258"/>
      <c r="K433" s="288"/>
      <c r="L433" s="258"/>
      <c r="M433" s="288"/>
      <c r="N433" s="314"/>
      <c r="O433" s="314"/>
      <c r="P433" s="259"/>
      <c r="Q433" s="259"/>
      <c r="R433" s="258"/>
      <c r="S433" s="258"/>
      <c r="T433" s="278"/>
      <c r="U433" s="268"/>
      <c r="V433" s="258"/>
      <c r="W433" s="308"/>
      <c r="X433" s="277"/>
      <c r="Y433" s="271"/>
      <c r="Z433" s="271"/>
      <c r="AA433" s="271"/>
    </row>
    <row r="434" spans="1:28" ht="56.25">
      <c r="A434" s="261">
        <f>A433+1</f>
        <v>411</v>
      </c>
      <c r="B434" s="261" t="s">
        <v>867</v>
      </c>
      <c r="C434" s="261" t="s">
        <v>54</v>
      </c>
      <c r="D434" s="289" t="s">
        <v>868</v>
      </c>
      <c r="E434" s="261" t="e">
        <f>VLOOKUP(D434,Store_Info_VN!B:P,2,0)</f>
        <v>#N/A</v>
      </c>
      <c r="F434" s="261" t="s">
        <v>56</v>
      </c>
      <c r="G434" s="261" t="str">
        <f>I434&amp;" "&amp;J434&amp;" "&amp;K434</f>
        <v>Laptop Dell Latitude 3520</v>
      </c>
      <c r="H434" s="261">
        <v>1</v>
      </c>
      <c r="I434" s="261" t="s">
        <v>86</v>
      </c>
      <c r="J434" s="261" t="s">
        <v>133</v>
      </c>
      <c r="K434" s="261" t="s">
        <v>131</v>
      </c>
      <c r="L434" s="261" t="s">
        <v>131</v>
      </c>
      <c r="M434" s="665" t="s">
        <v>869</v>
      </c>
      <c r="N434" s="289">
        <v>8</v>
      </c>
      <c r="O434" s="289">
        <v>256</v>
      </c>
      <c r="P434" s="261" t="s">
        <v>79</v>
      </c>
      <c r="Q434" s="261" t="s">
        <v>870</v>
      </c>
      <c r="R434" s="261"/>
      <c r="S434" s="261"/>
      <c r="T434" s="666" t="s">
        <v>871</v>
      </c>
      <c r="U434" s="291" t="s">
        <v>872</v>
      </c>
      <c r="V434" s="261"/>
      <c r="W434" s="305"/>
      <c r="X434" s="289" t="s">
        <v>64</v>
      </c>
      <c r="Y434" s="293" t="s">
        <v>64</v>
      </c>
      <c r="Z434" s="293" t="s">
        <v>64</v>
      </c>
      <c r="AA434" s="293" t="s">
        <v>64</v>
      </c>
    </row>
    <row r="435" spans="1:28" ht="28.5">
      <c r="A435" s="258">
        <f>A434+1</f>
        <v>412</v>
      </c>
      <c r="B435" s="258" t="s">
        <v>873</v>
      </c>
      <c r="C435" s="258" t="s">
        <v>54</v>
      </c>
      <c r="D435" s="277" t="s">
        <v>874</v>
      </c>
      <c r="E435" s="258" t="e">
        <f>VLOOKUP(D435,Store_Info_VN!B:P,2,0)</f>
        <v>#N/A</v>
      </c>
      <c r="F435" s="258" t="s">
        <v>56</v>
      </c>
      <c r="G435" s="258" t="str">
        <f>I435&amp;" "&amp;J435&amp;" "&amp;K435</f>
        <v>Laptop Dell Latitude 3520</v>
      </c>
      <c r="H435" s="258">
        <v>1</v>
      </c>
      <c r="I435" s="258" t="s">
        <v>86</v>
      </c>
      <c r="J435" s="258" t="s">
        <v>133</v>
      </c>
      <c r="K435" s="258" t="s">
        <v>131</v>
      </c>
      <c r="L435" s="258" t="s">
        <v>131</v>
      </c>
      <c r="M435" s="615" t="s">
        <v>875</v>
      </c>
      <c r="N435" s="277">
        <v>8</v>
      </c>
      <c r="O435" s="277">
        <v>256</v>
      </c>
      <c r="P435" s="258" t="s">
        <v>79</v>
      </c>
      <c r="Q435" s="258" t="s">
        <v>876</v>
      </c>
      <c r="R435" s="258"/>
      <c r="S435" s="258"/>
      <c r="U435" s="268" t="s">
        <v>877</v>
      </c>
      <c r="W435" s="308" t="s">
        <v>878</v>
      </c>
      <c r="X435" s="277" t="s">
        <v>64</v>
      </c>
      <c r="Y435" s="271" t="s">
        <v>64</v>
      </c>
      <c r="Z435" s="271" t="s">
        <v>64</v>
      </c>
      <c r="AA435" s="271" t="s">
        <v>64</v>
      </c>
    </row>
    <row r="436" spans="1:28" s="257" customFormat="1" ht="30" hidden="1" customHeight="1">
      <c r="A436" s="290">
        <f>A435+1</f>
        <v>413</v>
      </c>
      <c r="B436" s="290" t="s">
        <v>879</v>
      </c>
      <c r="C436" s="290" t="s">
        <v>253</v>
      </c>
      <c r="D436" s="294" t="s">
        <v>880</v>
      </c>
      <c r="E436" s="261" t="str">
        <f>VLOOKUP(D436,Store_Info_VN!B:P,2,0)</f>
        <v>BIRKEN STOCK GOLDCOAST NHA TRANG</v>
      </c>
      <c r="F436" s="261" t="s">
        <v>56</v>
      </c>
      <c r="G436" s="261" t="str">
        <f>I436&amp;" "&amp;J436&amp;" "&amp;K436</f>
        <v>Laptop Lenovo Ideapad</v>
      </c>
      <c r="H436" s="297">
        <v>1</v>
      </c>
      <c r="I436" s="261" t="s">
        <v>86</v>
      </c>
      <c r="J436" s="261" t="s">
        <v>279</v>
      </c>
      <c r="K436" s="299" t="s">
        <v>881</v>
      </c>
      <c r="L436" s="651" t="s">
        <v>882</v>
      </c>
      <c r="M436" s="299" t="s">
        <v>883</v>
      </c>
      <c r="N436" s="343">
        <v>8</v>
      </c>
      <c r="O436" s="343">
        <v>500</v>
      </c>
      <c r="P436" s="295" t="s">
        <v>79</v>
      </c>
      <c r="Q436" s="295" t="s">
        <v>884</v>
      </c>
      <c r="R436" s="261"/>
      <c r="S436" s="261"/>
      <c r="T436" s="344"/>
      <c r="U436" s="291"/>
      <c r="V436" s="261"/>
      <c r="W436" s="269"/>
      <c r="X436" s="345"/>
      <c r="Y436" s="293"/>
      <c r="Z436" s="346"/>
      <c r="AA436" s="293"/>
    </row>
    <row r="437" spans="1:28" s="257" customFormat="1" ht="28.5" hidden="1">
      <c r="A437" s="259">
        <f>A436+1</f>
        <v>414</v>
      </c>
      <c r="B437" s="259"/>
      <c r="C437" s="259" t="s">
        <v>253</v>
      </c>
      <c r="D437" s="260" t="s">
        <v>880</v>
      </c>
      <c r="E437" s="258" t="str">
        <f>VLOOKUP(D437,Store_Info_VN!B:P,2,0)</f>
        <v>BIRKEN STOCK GOLDCOAST NHA TRANG</v>
      </c>
      <c r="F437" s="261" t="s">
        <v>56</v>
      </c>
      <c r="G437" s="258" t="str">
        <f>I437&amp;" "&amp;J437&amp;" "&amp;K437</f>
        <v>Scanner Datalogic  QW21000</v>
      </c>
      <c r="H437" s="262">
        <v>1</v>
      </c>
      <c r="I437" s="258" t="s">
        <v>96</v>
      </c>
      <c r="J437" s="258" t="s">
        <v>885</v>
      </c>
      <c r="K437" s="264" t="s">
        <v>886</v>
      </c>
      <c r="L437" s="258"/>
      <c r="M437" s="264" t="s">
        <v>263</v>
      </c>
      <c r="N437" s="265"/>
      <c r="O437" s="265"/>
      <c r="P437" s="266"/>
      <c r="Q437" s="266"/>
      <c r="R437" s="258"/>
      <c r="S437" s="258"/>
      <c r="T437" s="267"/>
      <c r="U437" s="268"/>
      <c r="V437" s="258"/>
      <c r="W437" s="269"/>
      <c r="X437" s="270"/>
      <c r="Y437" s="271"/>
      <c r="Z437" s="272"/>
      <c r="AA437" s="271"/>
    </row>
    <row r="438" spans="1:28" s="257" customFormat="1" ht="28.5" hidden="1">
      <c r="A438" s="259">
        <f>A437+1</f>
        <v>415</v>
      </c>
      <c r="B438" s="259"/>
      <c r="C438" s="259" t="s">
        <v>253</v>
      </c>
      <c r="D438" s="260" t="s">
        <v>880</v>
      </c>
      <c r="E438" s="258" t="str">
        <f>VLOOKUP(D438,Store_Info_VN!B:P,2,0)</f>
        <v>BIRKEN STOCK GOLDCOAST NHA TRANG</v>
      </c>
      <c r="F438" s="261" t="s">
        <v>56</v>
      </c>
      <c r="G438" s="258" t="str">
        <f>I438&amp;" "&amp;J438&amp;" "&amp;K438</f>
        <v>Bill Printer Epson TM82III</v>
      </c>
      <c r="H438" s="262">
        <v>1</v>
      </c>
      <c r="I438" s="258" t="s">
        <v>92</v>
      </c>
      <c r="J438" s="258" t="s">
        <v>93</v>
      </c>
      <c r="K438" s="264" t="s">
        <v>704</v>
      </c>
      <c r="L438" s="258"/>
      <c r="M438" s="264" t="s">
        <v>887</v>
      </c>
      <c r="N438" s="265"/>
      <c r="O438" s="265"/>
      <c r="P438" s="266"/>
      <c r="Q438" s="266"/>
      <c r="R438" s="258"/>
      <c r="S438" s="258"/>
      <c r="T438" s="267"/>
      <c r="U438" s="268"/>
      <c r="V438" s="258"/>
      <c r="W438" s="269"/>
      <c r="X438" s="270"/>
      <c r="Y438" s="271"/>
      <c r="Z438" s="272"/>
      <c r="AA438" s="271"/>
    </row>
    <row r="439" spans="1:28" s="257" customFormat="1" ht="28.5" hidden="1">
      <c r="A439" s="259">
        <f>A438+1</f>
        <v>416</v>
      </c>
      <c r="B439" s="259"/>
      <c r="C439" s="259" t="s">
        <v>253</v>
      </c>
      <c r="D439" s="260" t="s">
        <v>880</v>
      </c>
      <c r="E439" s="258" t="str">
        <f>VLOOKUP(D439,Store_Info_VN!B:P,2,0)</f>
        <v>BIRKEN STOCK GOLDCOAST NHA TRANG</v>
      </c>
      <c r="F439" s="261" t="s">
        <v>56</v>
      </c>
      <c r="G439" s="258" t="str">
        <f>I439&amp;" "&amp;J439&amp;" "&amp;K439</f>
        <v>USB Hub Orico 4 port</v>
      </c>
      <c r="H439" s="262">
        <v>1</v>
      </c>
      <c r="I439" s="258" t="s">
        <v>273</v>
      </c>
      <c r="J439" s="258" t="s">
        <v>274</v>
      </c>
      <c r="K439" s="264" t="s">
        <v>693</v>
      </c>
      <c r="L439" s="258"/>
      <c r="M439" s="264"/>
      <c r="N439" s="265"/>
      <c r="O439" s="265"/>
      <c r="P439" s="266"/>
      <c r="Q439" s="266"/>
      <c r="R439" s="258"/>
      <c r="S439" s="258"/>
      <c r="T439" s="267"/>
      <c r="U439" s="268"/>
      <c r="V439" s="258"/>
      <c r="W439" s="269"/>
      <c r="X439" s="270"/>
      <c r="Y439" s="271"/>
      <c r="Z439" s="272"/>
      <c r="AA439" s="271"/>
    </row>
    <row r="440" spans="1:28" s="257" customFormat="1" ht="28.5" hidden="1">
      <c r="A440" s="281">
        <f>A439+1</f>
        <v>417</v>
      </c>
      <c r="B440" s="281"/>
      <c r="C440" s="281" t="s">
        <v>253</v>
      </c>
      <c r="D440" s="307" t="s">
        <v>880</v>
      </c>
      <c r="E440" s="279" t="str">
        <f>VLOOKUP(D440,Store_Info_VN!B:P,2,0)</f>
        <v>BIRKEN STOCK GOLDCOAST NHA TRANG</v>
      </c>
      <c r="F440" s="296" t="s">
        <v>56</v>
      </c>
      <c r="G440" s="279" t="str">
        <f>I440&amp;" "&amp;J440&amp;" "&amp;K440</f>
        <v>Network Switch Mercusys 8 port</v>
      </c>
      <c r="H440" s="282">
        <v>1</v>
      </c>
      <c r="I440" s="279" t="s">
        <v>172</v>
      </c>
      <c r="J440" s="279" t="s">
        <v>173</v>
      </c>
      <c r="K440" s="283" t="s">
        <v>888</v>
      </c>
      <c r="L440" s="279"/>
      <c r="M440" s="283" t="s">
        <v>889</v>
      </c>
      <c r="N440" s="340"/>
      <c r="O440" s="340"/>
      <c r="P440" s="310"/>
      <c r="Q440" s="310"/>
      <c r="R440" s="279"/>
      <c r="S440" s="279"/>
      <c r="T440" s="311"/>
      <c r="U440" s="286"/>
      <c r="V440" s="279"/>
      <c r="W440" s="341"/>
      <c r="X440" s="270"/>
      <c r="Y440" s="284"/>
      <c r="Z440" s="342"/>
      <c r="AA440" s="284"/>
    </row>
    <row r="441" spans="1:28" s="257" customFormat="1" hidden="1">
      <c r="A441" s="259">
        <f>A440+1</f>
        <v>418</v>
      </c>
      <c r="B441" s="259"/>
      <c r="C441" s="259" t="s">
        <v>65</v>
      </c>
      <c r="D441" s="277" t="s">
        <v>890</v>
      </c>
      <c r="E441" s="258" t="str">
        <f>VLOOKUP(D441,Store_Info_VN!B:P,2,0)</f>
        <v>NEW BALANCE GOLDCOAST NHA TRANG</v>
      </c>
      <c r="F441" s="258" t="s">
        <v>56</v>
      </c>
      <c r="G441" s="258" t="str">
        <f>I441&amp;" "&amp;J441&amp;" "&amp;K441</f>
        <v>MiniPC HP Prodesk 400 G3</v>
      </c>
      <c r="H441" s="258">
        <v>1</v>
      </c>
      <c r="I441" s="258" t="s">
        <v>891</v>
      </c>
      <c r="J441" s="258" t="s">
        <v>58</v>
      </c>
      <c r="K441" s="288" t="s">
        <v>892</v>
      </c>
      <c r="L441" s="258"/>
      <c r="M441" s="288" t="s">
        <v>181</v>
      </c>
      <c r="N441" s="314"/>
      <c r="O441" s="314"/>
      <c r="P441" s="259"/>
      <c r="Q441" s="259"/>
      <c r="R441" s="258"/>
      <c r="S441" s="258"/>
      <c r="T441" s="278"/>
      <c r="U441" s="268"/>
      <c r="V441" s="258"/>
      <c r="W441" s="308"/>
      <c r="X441" s="277"/>
      <c r="Y441" s="271"/>
      <c r="Z441" s="271"/>
      <c r="AA441" s="271"/>
    </row>
    <row r="442" spans="1:28" s="257" customFormat="1" hidden="1">
      <c r="A442" s="259">
        <f>A441+1</f>
        <v>419</v>
      </c>
      <c r="B442" s="259"/>
      <c r="C442" s="259" t="s">
        <v>65</v>
      </c>
      <c r="D442" s="277" t="s">
        <v>890</v>
      </c>
      <c r="E442" s="258" t="str">
        <f>VLOOKUP(D442,Store_Info_VN!B:P,2,0)</f>
        <v>NEW BALANCE GOLDCOAST NHA TRANG</v>
      </c>
      <c r="F442" s="258" t="s">
        <v>56</v>
      </c>
      <c r="G442" s="258" t="str">
        <f>I442&amp;" "&amp;J442&amp;" "&amp;K442</f>
        <v>Monitor HP V190</v>
      </c>
      <c r="H442" s="258">
        <v>1</v>
      </c>
      <c r="I442" s="258" t="s">
        <v>116</v>
      </c>
      <c r="J442" s="258" t="s">
        <v>58</v>
      </c>
      <c r="K442" s="288" t="s">
        <v>117</v>
      </c>
      <c r="L442" s="258"/>
      <c r="M442" s="288" t="s">
        <v>893</v>
      </c>
      <c r="N442" s="314"/>
      <c r="O442" s="314"/>
      <c r="P442" s="259"/>
      <c r="Q442" s="259"/>
      <c r="R442" s="258"/>
      <c r="S442" s="258"/>
      <c r="T442" s="278"/>
      <c r="U442" s="268"/>
      <c r="V442" s="258"/>
      <c r="W442" s="308"/>
      <c r="X442" s="277"/>
      <c r="Y442" s="271"/>
      <c r="Z442" s="271"/>
      <c r="AA442" s="271"/>
    </row>
    <row r="443" spans="1:28" s="257" customFormat="1" hidden="1">
      <c r="A443" s="259">
        <f>A442+1</f>
        <v>420</v>
      </c>
      <c r="B443" s="259"/>
      <c r="C443" s="259" t="s">
        <v>65</v>
      </c>
      <c r="D443" s="277" t="s">
        <v>890</v>
      </c>
      <c r="E443" s="258" t="str">
        <f>VLOOKUP(D443,Store_Info_VN!B:P,2,0)</f>
        <v>NEW BALANCE GOLDCOAST NHA TRANG</v>
      </c>
      <c r="F443" s="258" t="s">
        <v>56</v>
      </c>
      <c r="G443" s="258" t="str">
        <f>I443&amp;" "&amp;J443&amp;" "&amp;K443</f>
        <v>Scanner Datalogic  QW21000</v>
      </c>
      <c r="H443" s="258">
        <v>1</v>
      </c>
      <c r="I443" s="258" t="s">
        <v>96</v>
      </c>
      <c r="J443" s="258" t="s">
        <v>885</v>
      </c>
      <c r="K443" s="288" t="s">
        <v>886</v>
      </c>
      <c r="L443" s="258"/>
      <c r="M443" s="288" t="s">
        <v>894</v>
      </c>
      <c r="N443" s="314"/>
      <c r="O443" s="314"/>
      <c r="P443" s="259"/>
      <c r="Q443" s="259"/>
      <c r="R443" s="258"/>
      <c r="S443" s="258"/>
      <c r="T443" s="278"/>
      <c r="U443" s="268"/>
      <c r="V443" s="258"/>
      <c r="W443" s="308"/>
      <c r="X443" s="277"/>
      <c r="Y443" s="271"/>
      <c r="Z443" s="271"/>
      <c r="AA443" s="271"/>
    </row>
    <row r="444" spans="1:28" s="257" customFormat="1" hidden="1">
      <c r="A444" s="259">
        <f>A443+1</f>
        <v>421</v>
      </c>
      <c r="B444" s="259"/>
      <c r="C444" s="259" t="s">
        <v>65</v>
      </c>
      <c r="D444" s="277" t="s">
        <v>890</v>
      </c>
      <c r="E444" s="258" t="str">
        <f>VLOOKUP(D444,Store_Info_VN!B:P,2,0)</f>
        <v>NEW BALANCE GOLDCOAST NHA TRANG</v>
      </c>
      <c r="F444" s="258" t="s">
        <v>56</v>
      </c>
      <c r="G444" s="258" t="str">
        <f>I444&amp;" "&amp;J444&amp;" "&amp;K444</f>
        <v>Bill Printer Epson TM82III</v>
      </c>
      <c r="H444" s="258">
        <v>1</v>
      </c>
      <c r="I444" s="258" t="s">
        <v>92</v>
      </c>
      <c r="J444" s="258" t="s">
        <v>93</v>
      </c>
      <c r="K444" s="288" t="s">
        <v>704</v>
      </c>
      <c r="L444" s="258"/>
      <c r="M444" s="288" t="s">
        <v>895</v>
      </c>
      <c r="N444" s="314"/>
      <c r="O444" s="314"/>
      <c r="P444" s="259"/>
      <c r="Q444" s="259"/>
      <c r="R444" s="258"/>
      <c r="S444" s="258"/>
      <c r="T444" s="278"/>
      <c r="U444" s="268"/>
      <c r="V444" s="258"/>
      <c r="W444" s="308"/>
      <c r="X444" s="277"/>
      <c r="Y444" s="271"/>
      <c r="Z444" s="271"/>
      <c r="AA444" s="271"/>
    </row>
    <row r="445" spans="1:28" s="257" customFormat="1" hidden="1">
      <c r="A445" s="259">
        <f>A444+1</f>
        <v>422</v>
      </c>
      <c r="B445" s="259"/>
      <c r="C445" s="259" t="s">
        <v>65</v>
      </c>
      <c r="D445" s="277" t="s">
        <v>890</v>
      </c>
      <c r="E445" s="258" t="str">
        <f>VLOOKUP(D445,Store_Info_VN!B:P,2,0)</f>
        <v>NEW BALANCE GOLDCOAST NHA TRANG</v>
      </c>
      <c r="F445" s="258" t="s">
        <v>56</v>
      </c>
      <c r="G445" s="258" t="str">
        <f>I445&amp;" "&amp;J445&amp;" "&amp;K445</f>
        <v>USB Hub Orico 4 port</v>
      </c>
      <c r="H445" s="258">
        <v>1</v>
      </c>
      <c r="I445" s="258" t="s">
        <v>273</v>
      </c>
      <c r="J445" s="258" t="s">
        <v>274</v>
      </c>
      <c r="K445" s="288" t="s">
        <v>693</v>
      </c>
      <c r="L445" s="258"/>
      <c r="M445" s="288"/>
      <c r="N445" s="314"/>
      <c r="O445" s="314"/>
      <c r="P445" s="259"/>
      <c r="Q445" s="259"/>
      <c r="R445" s="258"/>
      <c r="S445" s="258"/>
      <c r="T445" s="278"/>
      <c r="U445" s="268"/>
      <c r="V445" s="258"/>
      <c r="W445" s="308"/>
      <c r="X445" s="277"/>
      <c r="Y445" s="271"/>
      <c r="Z445" s="271"/>
      <c r="AA445" s="271"/>
    </row>
    <row r="446" spans="1:28" s="257" customFormat="1" ht="32.25" hidden="1" customHeight="1">
      <c r="A446" s="259">
        <f>A445+1</f>
        <v>423</v>
      </c>
      <c r="B446" s="259"/>
      <c r="C446" s="259" t="s">
        <v>65</v>
      </c>
      <c r="D446" s="277" t="s">
        <v>890</v>
      </c>
      <c r="E446" s="258" t="str">
        <f>VLOOKUP(D446,Store_Info_VN!B:P,2,0)</f>
        <v>NEW BALANCE GOLDCOAST NHA TRANG</v>
      </c>
      <c r="F446" s="258" t="s">
        <v>56</v>
      </c>
      <c r="G446" s="258" t="str">
        <f>I446&amp;" "&amp;J446&amp;" "&amp;K446</f>
        <v>Network Switch Mercusys 8 port</v>
      </c>
      <c r="H446" s="258">
        <v>1</v>
      </c>
      <c r="I446" s="258" t="s">
        <v>172</v>
      </c>
      <c r="J446" s="258" t="s">
        <v>173</v>
      </c>
      <c r="K446" s="288" t="s">
        <v>888</v>
      </c>
      <c r="L446" s="258"/>
      <c r="M446" s="288" t="s">
        <v>896</v>
      </c>
      <c r="N446" s="314"/>
      <c r="O446" s="314"/>
      <c r="P446" s="259"/>
      <c r="Q446" s="259"/>
      <c r="R446" s="258"/>
      <c r="S446" s="258"/>
      <c r="T446" s="278"/>
      <c r="U446" s="268"/>
      <c r="V446" s="258"/>
      <c r="W446" s="308"/>
      <c r="X446" s="277"/>
      <c r="Y446" s="271"/>
      <c r="Z446" s="271"/>
      <c r="AA446" s="271"/>
    </row>
    <row r="447" spans="1:28" ht="14.25" hidden="1">
      <c r="A447" s="259">
        <f>A446+1</f>
        <v>424</v>
      </c>
      <c r="B447" s="259" t="s">
        <v>897</v>
      </c>
      <c r="C447" s="259" t="s">
        <v>65</v>
      </c>
      <c r="D447" s="258" t="s">
        <v>898</v>
      </c>
      <c r="E447" s="320" t="s">
        <v>899</v>
      </c>
      <c r="F447" s="258" t="s">
        <v>56</v>
      </c>
      <c r="G447" s="538" t="s">
        <v>900</v>
      </c>
      <c r="H447" s="258">
        <v>1</v>
      </c>
      <c r="I447" s="258" t="str">
        <f>J447&amp;" "&amp;K447&amp;" "&amp;L447</f>
        <v>Desktop Dell Optiplex 3090</v>
      </c>
      <c r="J447" s="71" t="s">
        <v>57</v>
      </c>
      <c r="K447" s="71" t="s">
        <v>133</v>
      </c>
      <c r="L447" s="28" t="s">
        <v>901</v>
      </c>
      <c r="M447" s="539" t="s">
        <v>902</v>
      </c>
      <c r="U447" s="36" t="s">
        <v>634</v>
      </c>
      <c r="AB447" s="544"/>
    </row>
    <row r="448" spans="1:28" ht="14.25" hidden="1">
      <c r="A448" s="259">
        <f>A447+1</f>
        <v>425</v>
      </c>
      <c r="B448" s="259" t="s">
        <v>903</v>
      </c>
      <c r="C448" s="259" t="s">
        <v>65</v>
      </c>
      <c r="D448" s="258" t="s">
        <v>898</v>
      </c>
      <c r="E448" s="320" t="s">
        <v>899</v>
      </c>
      <c r="F448" s="258" t="s">
        <v>56</v>
      </c>
      <c r="G448" s="538" t="s">
        <v>900</v>
      </c>
      <c r="H448" s="258">
        <v>1</v>
      </c>
      <c r="I448" s="258" t="str">
        <f>J448&amp;" "&amp;K448&amp;" "&amp;L448</f>
        <v>Desktop Dell Optiplex 3090</v>
      </c>
      <c r="J448" s="71" t="s">
        <v>57</v>
      </c>
      <c r="K448" s="71" t="s">
        <v>133</v>
      </c>
      <c r="L448" s="28" t="s">
        <v>901</v>
      </c>
      <c r="M448" s="539" t="s">
        <v>904</v>
      </c>
      <c r="U448" s="36" t="s">
        <v>905</v>
      </c>
      <c r="AB448" s="544"/>
    </row>
    <row r="449" spans="1:28" ht="28.5" hidden="1">
      <c r="A449" s="259">
        <f>A448+1</f>
        <v>426</v>
      </c>
      <c r="B449" s="259" t="s">
        <v>906</v>
      </c>
      <c r="C449" s="259" t="s">
        <v>65</v>
      </c>
      <c r="D449" s="374" t="s">
        <v>907</v>
      </c>
      <c r="E449" s="259" t="s">
        <v>630</v>
      </c>
      <c r="F449" s="258" t="s">
        <v>469</v>
      </c>
      <c r="G449" s="258" t="str">
        <f>I449&amp;" "&amp;J449&amp;" "&amp;K449</f>
        <v>Desktop HP ProDesk 400 G3 DM</v>
      </c>
      <c r="H449" s="258">
        <v>1</v>
      </c>
      <c r="I449" s="258" t="s">
        <v>57</v>
      </c>
      <c r="J449" s="258" t="s">
        <v>58</v>
      </c>
      <c r="K449" s="258" t="s">
        <v>69</v>
      </c>
      <c r="M449" s="288" t="s">
        <v>908</v>
      </c>
      <c r="N449" s="259">
        <v>8</v>
      </c>
      <c r="O449" s="259">
        <v>500</v>
      </c>
      <c r="P449" s="259" t="s">
        <v>61</v>
      </c>
      <c r="Q449" s="259" t="s">
        <v>80</v>
      </c>
      <c r="V449" s="309" t="s">
        <v>909</v>
      </c>
      <c r="W449" s="314" t="s">
        <v>909</v>
      </c>
      <c r="Y449" s="273" t="s">
        <v>64</v>
      </c>
      <c r="Z449" s="273" t="s">
        <v>64</v>
      </c>
      <c r="AB449" s="544"/>
    </row>
    <row r="450" spans="1:28" ht="14.25" hidden="1">
      <c r="A450" s="259">
        <f>A449+1</f>
        <v>427</v>
      </c>
      <c r="C450" s="259" t="s">
        <v>65</v>
      </c>
      <c r="D450" s="258" t="s">
        <v>898</v>
      </c>
      <c r="E450" s="320" t="s">
        <v>899</v>
      </c>
      <c r="F450" s="258" t="s">
        <v>56</v>
      </c>
      <c r="G450" s="538" t="s">
        <v>910</v>
      </c>
      <c r="H450" s="258">
        <v>1</v>
      </c>
      <c r="I450" s="551" t="s">
        <v>116</v>
      </c>
      <c r="J450" s="258" t="s">
        <v>58</v>
      </c>
      <c r="K450" s="258" t="s">
        <v>911</v>
      </c>
      <c r="M450" s="539" t="s">
        <v>912</v>
      </c>
      <c r="AB450" s="544"/>
    </row>
    <row r="451" spans="1:28" ht="14.25" hidden="1">
      <c r="A451" s="259">
        <f>A450+1</f>
        <v>428</v>
      </c>
      <c r="C451" s="259" t="s">
        <v>65</v>
      </c>
      <c r="D451" s="258" t="s">
        <v>898</v>
      </c>
      <c r="E451" s="320" t="s">
        <v>899</v>
      </c>
      <c r="F451" s="258" t="s">
        <v>56</v>
      </c>
      <c r="G451" s="538" t="s">
        <v>913</v>
      </c>
      <c r="H451" s="258">
        <v>1</v>
      </c>
      <c r="I451" s="551" t="s">
        <v>116</v>
      </c>
      <c r="J451" s="258" t="s">
        <v>58</v>
      </c>
      <c r="K451" s="258" t="s">
        <v>782</v>
      </c>
      <c r="M451" s="539" t="s">
        <v>914</v>
      </c>
      <c r="AB451" s="544"/>
    </row>
    <row r="452" spans="1:28" ht="14.25" hidden="1">
      <c r="A452" s="259">
        <f>A451+1</f>
        <v>429</v>
      </c>
      <c r="C452" s="259" t="s">
        <v>65</v>
      </c>
      <c r="D452" s="258" t="s">
        <v>898</v>
      </c>
      <c r="E452" s="320" t="s">
        <v>899</v>
      </c>
      <c r="F452" s="258" t="s">
        <v>56</v>
      </c>
      <c r="G452" s="538" t="s">
        <v>915</v>
      </c>
      <c r="H452" s="258">
        <v>1</v>
      </c>
      <c r="I452" s="258" t="s">
        <v>275</v>
      </c>
      <c r="J452" s="538" t="s">
        <v>915</v>
      </c>
      <c r="M452" s="539" t="s">
        <v>916</v>
      </c>
      <c r="AB452" s="544"/>
    </row>
    <row r="453" spans="1:28" ht="14.25" hidden="1">
      <c r="A453" s="259">
        <f>A452+1</f>
        <v>430</v>
      </c>
      <c r="C453" s="259" t="s">
        <v>65</v>
      </c>
      <c r="D453" s="258" t="s">
        <v>898</v>
      </c>
      <c r="E453" s="320" t="s">
        <v>899</v>
      </c>
      <c r="F453" s="258" t="s">
        <v>56</v>
      </c>
      <c r="G453" s="551" t="str">
        <f>I453&amp;" "&amp;J453&amp;" "&amp;K453</f>
        <v>Cash Drawer Maken MK410</v>
      </c>
      <c r="H453" s="551">
        <v>1</v>
      </c>
      <c r="I453" s="551" t="s">
        <v>159</v>
      </c>
      <c r="J453" s="551" t="s">
        <v>230</v>
      </c>
      <c r="K453" s="551" t="s">
        <v>231</v>
      </c>
      <c r="M453" s="539" t="s">
        <v>435</v>
      </c>
      <c r="AB453" s="544"/>
    </row>
    <row r="454" spans="1:28" ht="14.25" hidden="1">
      <c r="A454" s="259">
        <f>A453+1</f>
        <v>431</v>
      </c>
      <c r="C454" s="259" t="s">
        <v>65</v>
      </c>
      <c r="D454" s="258" t="s">
        <v>898</v>
      </c>
      <c r="E454" s="320" t="s">
        <v>899</v>
      </c>
      <c r="F454" s="258" t="s">
        <v>56</v>
      </c>
      <c r="G454" s="551" t="str">
        <f>I454&amp;" "&amp;J454&amp;" "&amp;K454</f>
        <v>Cash Drawer Maken MK410</v>
      </c>
      <c r="H454" s="551">
        <v>1</v>
      </c>
      <c r="I454" s="551" t="s">
        <v>159</v>
      </c>
      <c r="J454" s="551" t="s">
        <v>230</v>
      </c>
      <c r="K454" s="551" t="s">
        <v>231</v>
      </c>
      <c r="M454" s="539" t="s">
        <v>917</v>
      </c>
      <c r="AB454" s="544"/>
    </row>
    <row r="455" spans="1:28" ht="14.25" hidden="1">
      <c r="A455" s="259">
        <f>A454+1</f>
        <v>432</v>
      </c>
      <c r="C455" s="259" t="s">
        <v>65</v>
      </c>
      <c r="D455" s="258" t="s">
        <v>898</v>
      </c>
      <c r="E455" s="320" t="s">
        <v>899</v>
      </c>
      <c r="F455" s="258" t="s">
        <v>56</v>
      </c>
      <c r="G455" s="551" t="str">
        <f>I455&amp;" "&amp;J455&amp;" "&amp;K455</f>
        <v xml:space="preserve">Pole Display VFD </v>
      </c>
      <c r="H455" s="551">
        <v>1</v>
      </c>
      <c r="I455" s="258" t="s">
        <v>125</v>
      </c>
      <c r="J455" s="258" t="s">
        <v>393</v>
      </c>
      <c r="K455" s="551"/>
      <c r="M455" s="539" t="s">
        <v>434</v>
      </c>
      <c r="AB455" s="544"/>
    </row>
    <row r="456" spans="1:28" ht="14.25" hidden="1">
      <c r="A456" s="259">
        <f>A455+1</f>
        <v>433</v>
      </c>
      <c r="C456" s="259" t="s">
        <v>65</v>
      </c>
      <c r="D456" s="258" t="s">
        <v>898</v>
      </c>
      <c r="E456" s="320" t="s">
        <v>899</v>
      </c>
      <c r="F456" s="258" t="s">
        <v>56</v>
      </c>
      <c r="G456" s="22" t="s">
        <v>918</v>
      </c>
      <c r="H456" s="258">
        <v>1</v>
      </c>
      <c r="M456" s="539"/>
      <c r="AB456" s="544"/>
    </row>
    <row r="457" spans="1:28" ht="14.25" hidden="1">
      <c r="A457" s="259">
        <f>A456+1</f>
        <v>434</v>
      </c>
      <c r="C457" s="259" t="s">
        <v>65</v>
      </c>
      <c r="D457" s="258" t="s">
        <v>898</v>
      </c>
      <c r="E457" s="320" t="s">
        <v>899</v>
      </c>
      <c r="F457" s="258" t="s">
        <v>56</v>
      </c>
      <c r="G457" s="551" t="str">
        <f>I457&amp;" "&amp;J457&amp;" "&amp;K457</f>
        <v>Scanner Datalogic QW2100</v>
      </c>
      <c r="H457" s="551">
        <v>1</v>
      </c>
      <c r="I457" s="551" t="s">
        <v>96</v>
      </c>
      <c r="J457" s="258" t="s">
        <v>97</v>
      </c>
      <c r="K457" s="258" t="s">
        <v>98</v>
      </c>
      <c r="M457" s="539" t="s">
        <v>461</v>
      </c>
      <c r="AB457" s="544"/>
    </row>
    <row r="458" spans="1:28" ht="14.25" hidden="1">
      <c r="A458" s="259">
        <f>A457+1</f>
        <v>435</v>
      </c>
      <c r="C458" s="259" t="s">
        <v>65</v>
      </c>
      <c r="D458" s="258" t="s">
        <v>898</v>
      </c>
      <c r="E458" s="320" t="s">
        <v>899</v>
      </c>
      <c r="F458" s="258" t="s">
        <v>56</v>
      </c>
      <c r="G458" s="551" t="str">
        <f>I458&amp;" "&amp;J458&amp;" "&amp;K458</f>
        <v>Scanner Datalogic QW2100</v>
      </c>
      <c r="H458" s="551">
        <v>1</v>
      </c>
      <c r="I458" s="551" t="s">
        <v>96</v>
      </c>
      <c r="J458" s="258" t="s">
        <v>97</v>
      </c>
      <c r="K458" s="258" t="s">
        <v>98</v>
      </c>
      <c r="M458" s="539" t="s">
        <v>712</v>
      </c>
      <c r="AB458" s="544"/>
    </row>
    <row r="459" spans="1:28" ht="14.25" hidden="1">
      <c r="A459" s="259">
        <f>A458+1</f>
        <v>436</v>
      </c>
      <c r="C459" s="259" t="s">
        <v>65</v>
      </c>
      <c r="D459" s="258" t="s">
        <v>898</v>
      </c>
      <c r="E459" s="320" t="s">
        <v>899</v>
      </c>
      <c r="F459" s="258" t="s">
        <v>56</v>
      </c>
      <c r="G459" s="551" t="str">
        <f>I459&amp;" "&amp;J459&amp;" "&amp;K459</f>
        <v>Bill Printer Epson TM-82III</v>
      </c>
      <c r="H459" s="551">
        <v>1</v>
      </c>
      <c r="I459" s="258" t="s">
        <v>92</v>
      </c>
      <c r="J459" s="258" t="s">
        <v>93</v>
      </c>
      <c r="K459" s="551" t="s">
        <v>664</v>
      </c>
      <c r="M459" s="539" t="s">
        <v>392</v>
      </c>
      <c r="AB459" s="544"/>
    </row>
    <row r="460" spans="1:28" ht="14.25" hidden="1">
      <c r="A460" s="259">
        <f>A459+1</f>
        <v>437</v>
      </c>
      <c r="C460" s="259" t="s">
        <v>65</v>
      </c>
      <c r="D460" s="258" t="s">
        <v>898</v>
      </c>
      <c r="E460" s="320" t="s">
        <v>899</v>
      </c>
      <c r="F460" s="258" t="s">
        <v>56</v>
      </c>
      <c r="G460" s="551" t="str">
        <f>I460&amp;" "&amp;J460&amp;" "&amp;K460</f>
        <v>Bill Printer Epson TM-82III</v>
      </c>
      <c r="H460" s="551">
        <v>1</v>
      </c>
      <c r="I460" s="258" t="s">
        <v>92</v>
      </c>
      <c r="J460" s="258" t="s">
        <v>93</v>
      </c>
      <c r="K460" s="551" t="s">
        <v>664</v>
      </c>
      <c r="M460" s="539" t="s">
        <v>405</v>
      </c>
      <c r="AB460" s="544"/>
    </row>
    <row r="461" spans="1:28" ht="14.25" hidden="1">
      <c r="A461" s="259">
        <f>A460+1</f>
        <v>438</v>
      </c>
      <c r="C461" s="259" t="s">
        <v>65</v>
      </c>
      <c r="D461" s="258" t="s">
        <v>898</v>
      </c>
      <c r="E461" s="320" t="s">
        <v>899</v>
      </c>
      <c r="F461" s="258" t="s">
        <v>56</v>
      </c>
      <c r="G461" s="551" t="str">
        <f>I461&amp;" "&amp;J461&amp;" "&amp;K461</f>
        <v>A4 Printer Canon LBP 2900</v>
      </c>
      <c r="H461" s="551">
        <v>1</v>
      </c>
      <c r="I461" s="258" t="s">
        <v>99</v>
      </c>
      <c r="J461" s="258" t="s">
        <v>100</v>
      </c>
      <c r="K461" s="551" t="s">
        <v>101</v>
      </c>
      <c r="M461" s="539" t="s">
        <v>436</v>
      </c>
      <c r="AB461" s="544"/>
    </row>
    <row r="462" spans="1:28" ht="14.25" hidden="1">
      <c r="A462" s="259">
        <f>A461+1</f>
        <v>439</v>
      </c>
      <c r="C462" s="259" t="s">
        <v>65</v>
      </c>
      <c r="D462" s="258" t="s">
        <v>898</v>
      </c>
      <c r="E462" s="320" t="s">
        <v>899</v>
      </c>
      <c r="F462" s="258" t="s">
        <v>56</v>
      </c>
      <c r="G462" s="538" t="s">
        <v>919</v>
      </c>
      <c r="H462" s="258">
        <v>1</v>
      </c>
      <c r="M462" s="539"/>
      <c r="AB462" s="544"/>
    </row>
    <row r="463" spans="1:28" ht="14.25" hidden="1">
      <c r="A463" s="259">
        <f>A462+1</f>
        <v>440</v>
      </c>
      <c r="C463" s="259" t="s">
        <v>65</v>
      </c>
      <c r="D463" s="258" t="s">
        <v>898</v>
      </c>
      <c r="E463" s="320" t="s">
        <v>899</v>
      </c>
      <c r="F463" s="258" t="s">
        <v>56</v>
      </c>
      <c r="G463" s="538" t="s">
        <v>919</v>
      </c>
      <c r="H463" s="258">
        <v>1</v>
      </c>
      <c r="M463" s="539"/>
      <c r="AB463" s="544"/>
    </row>
    <row r="464" spans="1:28" ht="15" hidden="1">
      <c r="A464" s="259">
        <f>A463+1</f>
        <v>441</v>
      </c>
      <c r="C464" s="259" t="s">
        <v>65</v>
      </c>
      <c r="D464" s="258" t="s">
        <v>898</v>
      </c>
      <c r="E464" s="320" t="s">
        <v>899</v>
      </c>
      <c r="F464" s="258" t="s">
        <v>56</v>
      </c>
      <c r="G464" s="22" t="s">
        <v>920</v>
      </c>
      <c r="H464" s="258">
        <v>1</v>
      </c>
      <c r="I464" s="258" t="s">
        <v>798</v>
      </c>
      <c r="J464" s="661" t="s">
        <v>921</v>
      </c>
      <c r="K464" s="539" t="s">
        <v>922</v>
      </c>
      <c r="M464" s="539" t="s">
        <v>923</v>
      </c>
      <c r="AB464" s="544"/>
    </row>
    <row r="465" spans="1:28" ht="14.25" hidden="1">
      <c r="A465" s="259">
        <f>A464+1</f>
        <v>442</v>
      </c>
      <c r="C465" s="259" t="s">
        <v>65</v>
      </c>
      <c r="D465" s="258" t="s">
        <v>898</v>
      </c>
      <c r="E465" s="320" t="s">
        <v>899</v>
      </c>
      <c r="F465" s="258" t="s">
        <v>56</v>
      </c>
      <c r="G465" s="551" t="str">
        <f>I465&amp;" "&amp;J465&amp;" "&amp;K465</f>
        <v xml:space="preserve">Pole Display VFD </v>
      </c>
      <c r="H465" s="551">
        <v>1</v>
      </c>
      <c r="I465" s="258" t="s">
        <v>125</v>
      </c>
      <c r="J465" s="258" t="s">
        <v>393</v>
      </c>
      <c r="M465" s="539" t="s">
        <v>698</v>
      </c>
      <c r="AB465" s="544"/>
    </row>
    <row r="466" spans="1:28" ht="14.25" hidden="1">
      <c r="A466" s="259">
        <f>A465+1</f>
        <v>443</v>
      </c>
      <c r="C466" s="259" t="s">
        <v>65</v>
      </c>
      <c r="D466" s="258" t="s">
        <v>898</v>
      </c>
      <c r="E466" s="320" t="s">
        <v>899</v>
      </c>
      <c r="F466" s="258" t="s">
        <v>56</v>
      </c>
      <c r="G466" s="551" t="str">
        <f>I466&amp;" "&amp;J466&amp;" "&amp;K466</f>
        <v xml:space="preserve">Network Switch Mercusys </v>
      </c>
      <c r="H466" s="551">
        <v>1</v>
      </c>
      <c r="I466" s="551" t="s">
        <v>172</v>
      </c>
      <c r="J466" s="551" t="s">
        <v>173</v>
      </c>
      <c r="K466" s="551"/>
      <c r="L466" s="258" t="s">
        <v>174</v>
      </c>
      <c r="M466" s="539" t="s">
        <v>318</v>
      </c>
      <c r="AB466" s="544"/>
    </row>
    <row r="467" spans="1:28" ht="14.25" hidden="1">
      <c r="A467" s="259">
        <f>A466+1</f>
        <v>444</v>
      </c>
      <c r="B467" s="259" t="s">
        <v>924</v>
      </c>
      <c r="C467" s="259" t="s">
        <v>65</v>
      </c>
      <c r="D467" s="258" t="s">
        <v>149</v>
      </c>
      <c r="E467" s="258" t="str">
        <f>VLOOKUP(D467,Store_Info_VN!B:P,2,0)</f>
        <v>NEW BALANCE AEON HAI PHONG</v>
      </c>
      <c r="F467" s="258" t="s">
        <v>56</v>
      </c>
      <c r="G467" s="258" t="str">
        <f>I467&amp;" "&amp;J467&amp;" "&amp;K467</f>
        <v>Desktop HP PRO MINI 400 G9</v>
      </c>
      <c r="H467" s="258">
        <v>1</v>
      </c>
      <c r="I467" s="258" t="s">
        <v>57</v>
      </c>
      <c r="J467" s="258" t="s">
        <v>58</v>
      </c>
      <c r="K467" s="258" t="s">
        <v>593</v>
      </c>
      <c r="L467" s="302"/>
      <c r="M467" s="288" t="s">
        <v>925</v>
      </c>
      <c r="N467" s="258">
        <v>16</v>
      </c>
      <c r="O467" s="258">
        <v>512</v>
      </c>
      <c r="P467" s="258" t="s">
        <v>79</v>
      </c>
      <c r="Q467" s="258" t="s">
        <v>492</v>
      </c>
      <c r="R467" s="271" t="s">
        <v>926</v>
      </c>
      <c r="S467" s="271" t="s">
        <v>927</v>
      </c>
      <c r="U467" s="268" t="s">
        <v>928</v>
      </c>
      <c r="V467" s="258" t="s">
        <v>929</v>
      </c>
      <c r="W467" s="258" t="s">
        <v>929</v>
      </c>
      <c r="Y467" s="273" t="s">
        <v>64</v>
      </c>
      <c r="Z467" s="273" t="s">
        <v>64</v>
      </c>
      <c r="AA467" s="271" t="s">
        <v>64</v>
      </c>
      <c r="AB467" s="544"/>
    </row>
    <row r="468" spans="1:28" ht="14.25" hidden="1">
      <c r="A468" s="259">
        <f>A467+1</f>
        <v>445</v>
      </c>
      <c r="C468" s="259" t="s">
        <v>65</v>
      </c>
      <c r="D468" s="258" t="s">
        <v>451</v>
      </c>
      <c r="E468" s="571" t="s">
        <v>452</v>
      </c>
      <c r="F468" s="258" t="s">
        <v>56</v>
      </c>
      <c r="G468" s="27" t="s">
        <v>930</v>
      </c>
      <c r="H468" s="258">
        <v>1</v>
      </c>
      <c r="M468" s="27" t="s">
        <v>391</v>
      </c>
      <c r="AB468" s="544"/>
    </row>
    <row r="469" spans="1:28" ht="15" hidden="1">
      <c r="A469" s="259">
        <f>A468+1</f>
        <v>446</v>
      </c>
      <c r="C469" s="259" t="s">
        <v>65</v>
      </c>
      <c r="D469" s="258" t="s">
        <v>451</v>
      </c>
      <c r="E469" s="571" t="s">
        <v>452</v>
      </c>
      <c r="F469" s="258" t="s">
        <v>56</v>
      </c>
      <c r="G469" s="551" t="str">
        <f>I469&amp;" "&amp;J469&amp;" "&amp;K469</f>
        <v>Cash Drawer Maken MK410</v>
      </c>
      <c r="H469" s="551">
        <v>1</v>
      </c>
      <c r="I469" s="551" t="s">
        <v>159</v>
      </c>
      <c r="J469" s="551" t="s">
        <v>230</v>
      </c>
      <c r="K469" s="551" t="s">
        <v>231</v>
      </c>
      <c r="M469" s="540">
        <v>20230526081</v>
      </c>
      <c r="AB469" s="544"/>
    </row>
    <row r="470" spans="1:28" ht="15" hidden="1">
      <c r="A470" s="259">
        <f>A469+1</f>
        <v>447</v>
      </c>
      <c r="C470" s="259" t="s">
        <v>65</v>
      </c>
      <c r="D470" s="258" t="s">
        <v>451</v>
      </c>
      <c r="E470" s="571" t="s">
        <v>452</v>
      </c>
      <c r="F470" s="258" t="s">
        <v>56</v>
      </c>
      <c r="G470" s="551" t="str">
        <f>I470&amp;" "&amp;J470&amp;" "&amp;K470</f>
        <v xml:space="preserve">Pole Display VFD </v>
      </c>
      <c r="H470" s="551">
        <v>1</v>
      </c>
      <c r="I470" s="258" t="s">
        <v>125</v>
      </c>
      <c r="J470" s="258" t="s">
        <v>393</v>
      </c>
      <c r="M470" s="27" t="s">
        <v>931</v>
      </c>
      <c r="AB470" s="544"/>
    </row>
    <row r="471" spans="1:28" ht="15" hidden="1">
      <c r="A471" s="259">
        <f>A470+1</f>
        <v>448</v>
      </c>
      <c r="C471" s="259" t="s">
        <v>65</v>
      </c>
      <c r="D471" s="258" t="s">
        <v>451</v>
      </c>
      <c r="E471" s="571" t="s">
        <v>452</v>
      </c>
      <c r="F471" s="258" t="s">
        <v>56</v>
      </c>
      <c r="G471" s="551" t="str">
        <f>I471&amp;" "&amp;J471&amp;" "&amp;K471</f>
        <v xml:space="preserve">Network Switch Mercusys </v>
      </c>
      <c r="H471" s="551">
        <v>1</v>
      </c>
      <c r="I471" s="551" t="s">
        <v>172</v>
      </c>
      <c r="J471" s="551" t="s">
        <v>173</v>
      </c>
      <c r="K471" s="551"/>
      <c r="L471" s="258" t="s">
        <v>174</v>
      </c>
      <c r="M471" s="27" t="s">
        <v>932</v>
      </c>
      <c r="AB471" s="544"/>
    </row>
    <row r="472" spans="1:28" ht="15" hidden="1">
      <c r="A472" s="259">
        <f>A471+1</f>
        <v>449</v>
      </c>
      <c r="C472" s="259" t="s">
        <v>65</v>
      </c>
      <c r="D472" s="258" t="s">
        <v>451</v>
      </c>
      <c r="E472" s="571" t="s">
        <v>452</v>
      </c>
      <c r="F472" s="258" t="s">
        <v>56</v>
      </c>
      <c r="G472" s="551" t="str">
        <f>I472&amp;" "&amp;J472&amp;" "&amp;K472</f>
        <v>Scanner Datalogic QW2100</v>
      </c>
      <c r="H472" s="551">
        <v>1</v>
      </c>
      <c r="I472" s="551" t="s">
        <v>96</v>
      </c>
      <c r="J472" s="258" t="s">
        <v>97</v>
      </c>
      <c r="K472" s="258" t="s">
        <v>98</v>
      </c>
      <c r="M472" s="27" t="s">
        <v>933</v>
      </c>
      <c r="AB472" s="544"/>
    </row>
    <row r="473" spans="1:28" ht="15" hidden="1">
      <c r="A473" s="259">
        <f>A472+1</f>
        <v>450</v>
      </c>
      <c r="C473" s="259" t="s">
        <v>65</v>
      </c>
      <c r="D473" s="258" t="s">
        <v>451</v>
      </c>
      <c r="E473" s="571" t="s">
        <v>452</v>
      </c>
      <c r="F473" s="258" t="s">
        <v>56</v>
      </c>
      <c r="G473" s="551" t="str">
        <f>I473&amp;" "&amp;J473&amp;" "&amp;K473</f>
        <v>Bill Printer Epson TM-82III</v>
      </c>
      <c r="H473" s="551">
        <v>1</v>
      </c>
      <c r="I473" s="258" t="s">
        <v>92</v>
      </c>
      <c r="J473" s="258" t="s">
        <v>93</v>
      </c>
      <c r="K473" s="551" t="s">
        <v>664</v>
      </c>
      <c r="M473" s="27" t="s">
        <v>934</v>
      </c>
      <c r="AB473" s="544"/>
    </row>
    <row r="474" spans="1:28" ht="14.25" hidden="1">
      <c r="A474" s="259">
        <f>A473+1</f>
        <v>451</v>
      </c>
      <c r="C474" s="259" t="s">
        <v>65</v>
      </c>
      <c r="D474" s="258" t="s">
        <v>451</v>
      </c>
      <c r="E474" s="571" t="s">
        <v>452</v>
      </c>
      <c r="F474" s="258" t="s">
        <v>56</v>
      </c>
      <c r="G474" s="27" t="s">
        <v>935</v>
      </c>
      <c r="H474" s="258">
        <v>1</v>
      </c>
      <c r="I474" s="258" t="s">
        <v>99</v>
      </c>
      <c r="J474" s="258" t="s">
        <v>58</v>
      </c>
      <c r="K474" s="551" t="s">
        <v>936</v>
      </c>
      <c r="M474" s="27" t="s">
        <v>701</v>
      </c>
      <c r="AB474" s="544"/>
    </row>
    <row r="475" spans="1:28" ht="14.25" hidden="1">
      <c r="A475" s="259">
        <f>A474+1</f>
        <v>452</v>
      </c>
      <c r="C475" s="259" t="s">
        <v>65</v>
      </c>
      <c r="D475" s="258" t="s">
        <v>451</v>
      </c>
      <c r="E475" s="571" t="s">
        <v>452</v>
      </c>
      <c r="F475" s="258" t="s">
        <v>56</v>
      </c>
      <c r="G475" s="27" t="s">
        <v>919</v>
      </c>
      <c r="H475" s="258">
        <v>1</v>
      </c>
      <c r="M475" s="539"/>
      <c r="AB475" s="544"/>
    </row>
    <row r="476" spans="1:28" ht="14.25" hidden="1">
      <c r="A476" s="259">
        <f>A475+1</f>
        <v>453</v>
      </c>
      <c r="C476" s="259" t="s">
        <v>65</v>
      </c>
      <c r="D476" s="258" t="s">
        <v>451</v>
      </c>
      <c r="E476" s="571" t="s">
        <v>452</v>
      </c>
      <c r="F476" s="258" t="s">
        <v>56</v>
      </c>
      <c r="G476" s="27" t="s">
        <v>937</v>
      </c>
      <c r="H476" s="258">
        <v>1</v>
      </c>
      <c r="I476" s="258" t="s">
        <v>938</v>
      </c>
      <c r="M476" s="539"/>
      <c r="AB476" s="544"/>
    </row>
    <row r="477" spans="1:28" ht="15" hidden="1">
      <c r="A477" s="259">
        <f>A476+1</f>
        <v>454</v>
      </c>
      <c r="C477" s="259" t="s">
        <v>65</v>
      </c>
      <c r="D477" s="258" t="s">
        <v>451</v>
      </c>
      <c r="E477" s="571" t="s">
        <v>452</v>
      </c>
      <c r="F477" s="258" t="s">
        <v>56</v>
      </c>
      <c r="G477" s="22" t="s">
        <v>920</v>
      </c>
      <c r="H477" s="258">
        <v>1</v>
      </c>
      <c r="I477" s="258" t="s">
        <v>798</v>
      </c>
      <c r="J477" s="661" t="s">
        <v>921</v>
      </c>
      <c r="K477" s="539" t="s">
        <v>922</v>
      </c>
      <c r="M477" s="539" t="s">
        <v>939</v>
      </c>
      <c r="AB477" s="544"/>
    </row>
    <row r="478" spans="1:28" ht="14.25" hidden="1">
      <c r="A478" s="259">
        <f>A477+1</f>
        <v>455</v>
      </c>
      <c r="C478" s="259" t="s">
        <v>65</v>
      </c>
      <c r="D478" s="258" t="s">
        <v>940</v>
      </c>
      <c r="E478" s="571" t="s">
        <v>941</v>
      </c>
      <c r="F478" s="258" t="s">
        <v>56</v>
      </c>
      <c r="G478" s="538" t="s">
        <v>942</v>
      </c>
      <c r="H478" s="258">
        <v>1</v>
      </c>
      <c r="I478" s="551" t="s">
        <v>116</v>
      </c>
      <c r="J478" s="258" t="s">
        <v>58</v>
      </c>
      <c r="K478" s="258" t="s">
        <v>943</v>
      </c>
      <c r="M478" s="539" t="s">
        <v>944</v>
      </c>
      <c r="AB478" s="544"/>
    </row>
    <row r="479" spans="1:28" ht="14.25" hidden="1">
      <c r="A479" s="259">
        <f>A478+1</f>
        <v>456</v>
      </c>
      <c r="C479" s="259" t="s">
        <v>65</v>
      </c>
      <c r="D479" s="258" t="s">
        <v>940</v>
      </c>
      <c r="E479" s="571" t="s">
        <v>941</v>
      </c>
      <c r="F479" s="258" t="s">
        <v>56</v>
      </c>
      <c r="G479" s="551" t="str">
        <f>I479&amp;" "&amp;J479&amp;" "&amp;K479</f>
        <v>Bill Printer Epson TM-82III</v>
      </c>
      <c r="H479" s="551">
        <v>1</v>
      </c>
      <c r="I479" s="258" t="s">
        <v>92</v>
      </c>
      <c r="J479" s="258" t="s">
        <v>93</v>
      </c>
      <c r="K479" s="551" t="s">
        <v>664</v>
      </c>
      <c r="M479" s="539" t="s">
        <v>945</v>
      </c>
      <c r="AB479" s="544"/>
    </row>
    <row r="480" spans="1:28" ht="14.25" hidden="1">
      <c r="A480" s="259">
        <f>A479+1</f>
        <v>457</v>
      </c>
      <c r="C480" s="259" t="s">
        <v>65</v>
      </c>
      <c r="D480" s="258" t="s">
        <v>940</v>
      </c>
      <c r="E480" s="571" t="s">
        <v>941</v>
      </c>
      <c r="F480" s="258" t="s">
        <v>56</v>
      </c>
      <c r="G480" s="551" t="str">
        <f>I480&amp;" "&amp;J480&amp;" "&amp;K480</f>
        <v>A4 Printer Canon LBP 2900</v>
      </c>
      <c r="H480" s="551">
        <v>1</v>
      </c>
      <c r="I480" s="258" t="s">
        <v>99</v>
      </c>
      <c r="J480" s="258" t="s">
        <v>100</v>
      </c>
      <c r="K480" s="551" t="s">
        <v>101</v>
      </c>
      <c r="M480" s="539" t="s">
        <v>102</v>
      </c>
      <c r="AB480" s="544"/>
    </row>
    <row r="481" spans="1:28" ht="14.25" hidden="1">
      <c r="A481" s="259">
        <f>A480+1</f>
        <v>458</v>
      </c>
      <c r="C481" s="259" t="s">
        <v>65</v>
      </c>
      <c r="D481" s="258" t="s">
        <v>940</v>
      </c>
      <c r="E481" s="571" t="s">
        <v>941</v>
      </c>
      <c r="F481" s="258" t="s">
        <v>56</v>
      </c>
      <c r="G481" s="551" t="str">
        <f>I481&amp;" "&amp;J481&amp;" "&amp;K481</f>
        <v xml:space="preserve">Pole Display VFD </v>
      </c>
      <c r="H481" s="551">
        <v>1</v>
      </c>
      <c r="I481" s="258" t="s">
        <v>125</v>
      </c>
      <c r="J481" s="258" t="s">
        <v>393</v>
      </c>
      <c r="M481" s="539" t="s">
        <v>690</v>
      </c>
      <c r="AB481" s="544"/>
    </row>
    <row r="482" spans="1:28" ht="28.5" hidden="1">
      <c r="A482" s="259">
        <f>A481+1</f>
        <v>459</v>
      </c>
      <c r="B482" s="259" t="s">
        <v>946</v>
      </c>
      <c r="C482" s="259" t="s">
        <v>65</v>
      </c>
      <c r="D482" s="277" t="s">
        <v>122</v>
      </c>
      <c r="E482" s="258" t="str">
        <f>VLOOKUP(D482,Store_Info_VN!B:P,2,0)</f>
        <v>ROOKIE LOTTE HA NOI DEPARTMENT</v>
      </c>
      <c r="F482" s="258" t="s">
        <v>56</v>
      </c>
      <c r="G482" s="258" t="str">
        <f>I482&amp;" "&amp;J482&amp;" "&amp;K482</f>
        <v>Desktop DELL DELL OPTILEX 3090</v>
      </c>
      <c r="H482" s="258">
        <v>1</v>
      </c>
      <c r="I482" s="258" t="s">
        <v>57</v>
      </c>
      <c r="J482" s="258" t="s">
        <v>947</v>
      </c>
      <c r="K482" s="258" t="s">
        <v>948</v>
      </c>
      <c r="M482" s="288" t="s">
        <v>949</v>
      </c>
      <c r="N482" s="259">
        <v>8</v>
      </c>
      <c r="O482" s="259">
        <v>512</v>
      </c>
      <c r="P482" s="259" t="s">
        <v>79</v>
      </c>
      <c r="Q482" s="258" t="s">
        <v>950</v>
      </c>
      <c r="U482" s="268" t="s">
        <v>951</v>
      </c>
      <c r="V482" s="258" t="s">
        <v>952</v>
      </c>
      <c r="W482" s="258" t="s">
        <v>953</v>
      </c>
      <c r="X482" s="271" t="s">
        <v>64</v>
      </c>
      <c r="Y482" s="273" t="s">
        <v>64</v>
      </c>
      <c r="Z482" s="273" t="s">
        <v>64</v>
      </c>
      <c r="AA482" s="271" t="s">
        <v>64</v>
      </c>
      <c r="AB482" s="544"/>
    </row>
    <row r="483" spans="1:28" ht="14.25" hidden="1">
      <c r="A483" s="259">
        <f>A482+1</f>
        <v>460</v>
      </c>
      <c r="C483" s="259" t="s">
        <v>65</v>
      </c>
      <c r="D483" s="258" t="s">
        <v>940</v>
      </c>
      <c r="E483" s="571" t="s">
        <v>941</v>
      </c>
      <c r="F483" s="258" t="s">
        <v>56</v>
      </c>
      <c r="G483" s="538" t="s">
        <v>954</v>
      </c>
      <c r="H483" s="258">
        <v>1</v>
      </c>
      <c r="M483" s="539"/>
      <c r="AB483" s="544"/>
    </row>
    <row r="484" spans="1:28" ht="14.25" hidden="1">
      <c r="A484" s="259">
        <f>A483+1</f>
        <v>461</v>
      </c>
      <c r="C484" s="259" t="s">
        <v>65</v>
      </c>
      <c r="D484" s="258" t="s">
        <v>940</v>
      </c>
      <c r="E484" s="571" t="s">
        <v>941</v>
      </c>
      <c r="F484" s="258" t="s">
        <v>56</v>
      </c>
      <c r="G484" s="538" t="s">
        <v>955</v>
      </c>
      <c r="H484" s="258">
        <v>1</v>
      </c>
      <c r="I484" s="258" t="s">
        <v>114</v>
      </c>
      <c r="M484" s="539"/>
      <c r="AB484" s="544"/>
    </row>
    <row r="485" spans="1:28" ht="14.25" hidden="1">
      <c r="A485" s="259">
        <f>A484+1</f>
        <v>462</v>
      </c>
      <c r="C485" s="259" t="s">
        <v>65</v>
      </c>
      <c r="D485" s="258" t="s">
        <v>940</v>
      </c>
      <c r="E485" s="571" t="s">
        <v>941</v>
      </c>
      <c r="F485" s="258" t="s">
        <v>56</v>
      </c>
      <c r="G485" s="551" t="str">
        <f>I485&amp;" "&amp;J485&amp;" "&amp;K485</f>
        <v>Cash Drawer Maken MK410</v>
      </c>
      <c r="H485" s="551">
        <v>1</v>
      </c>
      <c r="I485" s="551" t="s">
        <v>159</v>
      </c>
      <c r="J485" s="551" t="s">
        <v>230</v>
      </c>
      <c r="K485" s="551" t="s">
        <v>231</v>
      </c>
      <c r="M485" s="539" t="s">
        <v>956</v>
      </c>
      <c r="AB485" s="544"/>
    </row>
    <row r="486" spans="1:28" ht="15" hidden="1">
      <c r="A486" s="259">
        <f>A485+1</f>
        <v>463</v>
      </c>
      <c r="C486" s="259" t="s">
        <v>65</v>
      </c>
      <c r="D486" s="258" t="s">
        <v>940</v>
      </c>
      <c r="E486" s="571" t="s">
        <v>941</v>
      </c>
      <c r="F486" s="258" t="s">
        <v>56</v>
      </c>
      <c r="G486" s="538" t="s">
        <v>957</v>
      </c>
      <c r="H486" s="258">
        <v>1</v>
      </c>
      <c r="I486" s="258" t="s">
        <v>798</v>
      </c>
      <c r="J486" s="661" t="s">
        <v>921</v>
      </c>
      <c r="K486" s="539" t="s">
        <v>922</v>
      </c>
      <c r="M486" s="539"/>
      <c r="AB486" s="544"/>
    </row>
    <row r="487" spans="1:28" ht="14.25" hidden="1">
      <c r="A487" s="259">
        <f>A486+1</f>
        <v>464</v>
      </c>
      <c r="C487" s="259" t="s">
        <v>65</v>
      </c>
      <c r="D487" s="258" t="s">
        <v>940</v>
      </c>
      <c r="E487" s="571" t="s">
        <v>941</v>
      </c>
      <c r="F487" s="258" t="s">
        <v>56</v>
      </c>
      <c r="G487" s="551" t="str">
        <f>I487&amp;" "&amp;J487&amp;" "&amp;K487</f>
        <v xml:space="preserve">Network Switch Mercusys </v>
      </c>
      <c r="H487" s="551">
        <v>1</v>
      </c>
      <c r="I487" s="551" t="s">
        <v>172</v>
      </c>
      <c r="J487" s="551" t="s">
        <v>173</v>
      </c>
      <c r="K487" s="551"/>
      <c r="L487" s="258" t="s">
        <v>174</v>
      </c>
      <c r="M487" s="539" t="s">
        <v>699</v>
      </c>
      <c r="AB487" s="544"/>
    </row>
    <row r="488" spans="1:28" ht="14.25" hidden="1">
      <c r="A488" s="259">
        <f>A487+1</f>
        <v>465</v>
      </c>
      <c r="C488" s="259" t="s">
        <v>65</v>
      </c>
      <c r="D488" s="258" t="s">
        <v>940</v>
      </c>
      <c r="E488" s="571" t="s">
        <v>941</v>
      </c>
      <c r="F488" s="258" t="s">
        <v>56</v>
      </c>
      <c r="G488" s="551" t="str">
        <f>I488&amp;" "&amp;J488&amp;" "&amp;K488</f>
        <v>Scanner Datalogic QW2100</v>
      </c>
      <c r="H488" s="551">
        <v>1</v>
      </c>
      <c r="I488" s="551" t="s">
        <v>96</v>
      </c>
      <c r="J488" s="258" t="s">
        <v>97</v>
      </c>
      <c r="K488" s="258" t="s">
        <v>98</v>
      </c>
      <c r="M488" s="539" t="s">
        <v>95</v>
      </c>
      <c r="AB488" s="544"/>
    </row>
    <row r="489" spans="1:28" ht="14.25" hidden="1">
      <c r="A489" s="259">
        <f>A488+1</f>
        <v>466</v>
      </c>
      <c r="C489" s="259" t="s">
        <v>65</v>
      </c>
      <c r="D489" s="258" t="s">
        <v>940</v>
      </c>
      <c r="E489" s="571" t="s">
        <v>941</v>
      </c>
      <c r="F489" s="258" t="s">
        <v>56</v>
      </c>
      <c r="G489" s="538" t="s">
        <v>919</v>
      </c>
      <c r="H489" s="258">
        <v>1</v>
      </c>
      <c r="M489" s="271"/>
      <c r="AB489" s="544"/>
    </row>
    <row r="490" spans="1:28" ht="14.25" hidden="1">
      <c r="A490" s="259">
        <f>A489+1</f>
        <v>467</v>
      </c>
      <c r="C490" s="259" t="s">
        <v>65</v>
      </c>
      <c r="D490" s="258" t="s">
        <v>66</v>
      </c>
      <c r="E490" s="547" t="s">
        <v>67</v>
      </c>
      <c r="F490" s="258" t="s">
        <v>56</v>
      </c>
      <c r="G490" s="551" t="str">
        <f>I490&amp;" "&amp;J490&amp;" "&amp;K490</f>
        <v>Bill Printer Epson TM-82III</v>
      </c>
      <c r="H490" s="551">
        <v>1</v>
      </c>
      <c r="I490" s="258" t="s">
        <v>92</v>
      </c>
      <c r="J490" s="258" t="s">
        <v>93</v>
      </c>
      <c r="K490" s="551" t="s">
        <v>664</v>
      </c>
      <c r="M490" s="539" t="s">
        <v>958</v>
      </c>
      <c r="AB490" s="544"/>
    </row>
    <row r="491" spans="1:28" ht="14.25" hidden="1">
      <c r="A491" s="259">
        <f>A490+1</f>
        <v>468</v>
      </c>
      <c r="C491" s="259" t="s">
        <v>65</v>
      </c>
      <c r="D491" s="258" t="s">
        <v>66</v>
      </c>
      <c r="E491" s="547" t="s">
        <v>67</v>
      </c>
      <c r="F491" s="258" t="s">
        <v>56</v>
      </c>
      <c r="G491" s="551" t="str">
        <f>I491&amp;" "&amp;J491&amp;" "&amp;K491</f>
        <v>A4 Printer Canon LBP 2900</v>
      </c>
      <c r="H491" s="551">
        <v>1</v>
      </c>
      <c r="I491" s="258" t="s">
        <v>99</v>
      </c>
      <c r="J491" s="258" t="s">
        <v>100</v>
      </c>
      <c r="K491" s="551" t="s">
        <v>101</v>
      </c>
      <c r="M491" s="539" t="s">
        <v>465</v>
      </c>
      <c r="AB491" s="544"/>
    </row>
    <row r="492" spans="1:28" ht="14.25" hidden="1">
      <c r="A492" s="259">
        <f>A491+1</f>
        <v>469</v>
      </c>
      <c r="C492" s="259" t="s">
        <v>65</v>
      </c>
      <c r="D492" s="258" t="s">
        <v>66</v>
      </c>
      <c r="E492" s="547" t="s">
        <v>67</v>
      </c>
      <c r="F492" s="258" t="s">
        <v>56</v>
      </c>
      <c r="G492" s="551" t="str">
        <f>I492&amp;" "&amp;J492&amp;" "&amp;K492</f>
        <v>Cash Drawer Maken MK410</v>
      </c>
      <c r="H492" s="551">
        <v>1</v>
      </c>
      <c r="I492" s="551" t="s">
        <v>159</v>
      </c>
      <c r="J492" s="551" t="s">
        <v>230</v>
      </c>
      <c r="K492" s="551" t="s">
        <v>231</v>
      </c>
      <c r="M492" s="539" t="s">
        <v>826</v>
      </c>
      <c r="AB492" s="544"/>
    </row>
    <row r="493" spans="1:28" ht="14.25" hidden="1">
      <c r="A493" s="259">
        <f>A492+1</f>
        <v>470</v>
      </c>
      <c r="C493" s="259" t="s">
        <v>65</v>
      </c>
      <c r="D493" s="258" t="s">
        <v>66</v>
      </c>
      <c r="E493" s="547" t="s">
        <v>67</v>
      </c>
      <c r="F493" s="258" t="s">
        <v>56</v>
      </c>
      <c r="G493" s="551" t="str">
        <f>I493&amp;" "&amp;J493&amp;" "&amp;K493</f>
        <v xml:space="preserve">Pole Display VFD </v>
      </c>
      <c r="H493" s="551">
        <v>1</v>
      </c>
      <c r="I493" s="258" t="s">
        <v>125</v>
      </c>
      <c r="J493" s="258" t="s">
        <v>393</v>
      </c>
      <c r="K493" s="539"/>
      <c r="M493" s="539" t="s">
        <v>740</v>
      </c>
      <c r="AB493" s="544"/>
    </row>
    <row r="494" spans="1:28" ht="14.25" hidden="1">
      <c r="A494" s="259">
        <f>A493+1</f>
        <v>471</v>
      </c>
      <c r="C494" s="259" t="s">
        <v>65</v>
      </c>
      <c r="D494" s="258" t="s">
        <v>66</v>
      </c>
      <c r="E494" s="547" t="s">
        <v>67</v>
      </c>
      <c r="F494" s="258" t="s">
        <v>56</v>
      </c>
      <c r="G494" s="22" t="s">
        <v>959</v>
      </c>
      <c r="H494" s="258">
        <v>1</v>
      </c>
      <c r="K494" s="539"/>
      <c r="M494" s="539" t="s">
        <v>960</v>
      </c>
      <c r="AB494" s="544"/>
    </row>
    <row r="495" spans="1:28" ht="14.25">
      <c r="A495" s="259">
        <f>A494+1</f>
        <v>472</v>
      </c>
      <c r="B495" s="259" t="s">
        <v>961</v>
      </c>
      <c r="C495" s="259" t="s">
        <v>54</v>
      </c>
      <c r="D495" s="258" t="s">
        <v>211</v>
      </c>
      <c r="E495" s="258" t="str">
        <f>VLOOKUP(D495,Store_Info_VN!B:P,2,0)</f>
        <v>SMIGGLE LOTTE HA NOI DEPARTMENT</v>
      </c>
      <c r="F495" s="258" t="s">
        <v>56</v>
      </c>
      <c r="G495" s="258" t="str">
        <f>I495&amp;" "&amp;J495&amp;" "&amp;K495</f>
        <v>Desktop HP ProDesk 400 G3 DM</v>
      </c>
      <c r="H495" s="258">
        <v>1</v>
      </c>
      <c r="I495" s="258" t="s">
        <v>57</v>
      </c>
      <c r="J495" s="258" t="s">
        <v>58</v>
      </c>
      <c r="K495" s="258" t="s">
        <v>69</v>
      </c>
      <c r="M495" s="288" t="s">
        <v>962</v>
      </c>
      <c r="N495" s="259">
        <v>8</v>
      </c>
      <c r="O495" s="259">
        <v>512</v>
      </c>
      <c r="P495" s="259" t="s">
        <v>79</v>
      </c>
      <c r="Q495" s="259" t="s">
        <v>80</v>
      </c>
      <c r="U495" s="268" t="s">
        <v>963</v>
      </c>
      <c r="V495" s="258" t="s">
        <v>952</v>
      </c>
      <c r="W495" s="258" t="s">
        <v>964</v>
      </c>
      <c r="X495" s="271" t="s">
        <v>64</v>
      </c>
      <c r="Y495" s="273" t="s">
        <v>64</v>
      </c>
      <c r="Z495" s="273" t="s">
        <v>64</v>
      </c>
      <c r="AA495" s="271" t="s">
        <v>64</v>
      </c>
      <c r="AB495" s="544"/>
    </row>
    <row r="496" spans="1:28" ht="14.25" hidden="1">
      <c r="A496" s="259">
        <f>A495+1</f>
        <v>473</v>
      </c>
      <c r="C496" s="259" t="s">
        <v>65</v>
      </c>
      <c r="D496" s="258" t="s">
        <v>66</v>
      </c>
      <c r="E496" s="547" t="s">
        <v>67</v>
      </c>
      <c r="F496" s="258" t="s">
        <v>56</v>
      </c>
      <c r="G496" s="551" t="str">
        <f>I496&amp;" "&amp;J496&amp;" "&amp;K496</f>
        <v xml:space="preserve">Network Switch Mercusys </v>
      </c>
      <c r="H496" s="551">
        <v>1</v>
      </c>
      <c r="I496" s="551" t="s">
        <v>172</v>
      </c>
      <c r="J496" s="551" t="s">
        <v>173</v>
      </c>
      <c r="K496" s="551"/>
      <c r="L496" s="258" t="s">
        <v>174</v>
      </c>
      <c r="M496" s="539" t="s">
        <v>246</v>
      </c>
      <c r="AB496" s="544"/>
    </row>
    <row r="497" spans="1:28" ht="15" hidden="1">
      <c r="A497" s="259">
        <f>A496+1</f>
        <v>474</v>
      </c>
      <c r="C497" s="259" t="s">
        <v>65</v>
      </c>
      <c r="D497" s="258" t="s">
        <v>66</v>
      </c>
      <c r="E497" s="547" t="s">
        <v>67</v>
      </c>
      <c r="F497" s="258" t="s">
        <v>56</v>
      </c>
      <c r="G497" s="22" t="s">
        <v>920</v>
      </c>
      <c r="H497" s="258">
        <v>1</v>
      </c>
      <c r="J497" s="661" t="s">
        <v>921</v>
      </c>
      <c r="K497" s="539" t="s">
        <v>922</v>
      </c>
      <c r="M497" s="539" t="s">
        <v>965</v>
      </c>
      <c r="AB497" s="544"/>
    </row>
    <row r="498" spans="1:28" ht="14.25" hidden="1">
      <c r="A498" s="259">
        <f>A497+1</f>
        <v>475</v>
      </c>
      <c r="C498" s="259" t="s">
        <v>65</v>
      </c>
      <c r="D498" s="258" t="s">
        <v>66</v>
      </c>
      <c r="E498" s="547" t="s">
        <v>67</v>
      </c>
      <c r="F498" s="258" t="s">
        <v>56</v>
      </c>
      <c r="G498" s="538" t="s">
        <v>966</v>
      </c>
      <c r="H498" s="258">
        <v>1</v>
      </c>
      <c r="I498" s="258" t="s">
        <v>114</v>
      </c>
      <c r="K498" s="539"/>
      <c r="M498" s="539"/>
      <c r="AB498" s="544"/>
    </row>
    <row r="499" spans="1:28" ht="14.25" hidden="1">
      <c r="A499" s="259">
        <f>A498+1</f>
        <v>476</v>
      </c>
      <c r="C499" s="259" t="s">
        <v>65</v>
      </c>
      <c r="D499" s="258" t="s">
        <v>66</v>
      </c>
      <c r="E499" s="547" t="s">
        <v>67</v>
      </c>
      <c r="F499" s="258" t="s">
        <v>56</v>
      </c>
      <c r="G499" s="538" t="s">
        <v>967</v>
      </c>
      <c r="H499" s="258">
        <v>1</v>
      </c>
      <c r="I499" s="258" t="s">
        <v>968</v>
      </c>
      <c r="K499" s="539"/>
      <c r="M499" s="539"/>
      <c r="AB499" s="544"/>
    </row>
    <row r="500" spans="1:28" ht="14.25" hidden="1">
      <c r="A500" s="259">
        <f>A499+1</f>
        <v>477</v>
      </c>
      <c r="C500" s="259" t="s">
        <v>65</v>
      </c>
      <c r="D500" s="258" t="s">
        <v>66</v>
      </c>
      <c r="E500" s="547" t="s">
        <v>67</v>
      </c>
      <c r="F500" s="258" t="s">
        <v>56</v>
      </c>
      <c r="G500" s="551" t="str">
        <f>I500&amp;" "&amp;J500&amp;" "&amp;K500</f>
        <v>Scanner Datalogic QW2100</v>
      </c>
      <c r="H500" s="551">
        <v>1</v>
      </c>
      <c r="I500" s="551" t="s">
        <v>96</v>
      </c>
      <c r="J500" s="258" t="s">
        <v>97</v>
      </c>
      <c r="K500" s="551" t="s">
        <v>98</v>
      </c>
      <c r="M500" s="539" t="s">
        <v>777</v>
      </c>
      <c r="AB500" s="544"/>
    </row>
    <row r="501" spans="1:28" ht="14.25" hidden="1">
      <c r="A501" s="259">
        <f>A500+1</f>
        <v>478</v>
      </c>
      <c r="B501" s="259" t="s">
        <v>961</v>
      </c>
      <c r="C501" s="259" t="s">
        <v>65</v>
      </c>
      <c r="D501" s="258" t="s">
        <v>940</v>
      </c>
      <c r="E501" s="571" t="s">
        <v>941</v>
      </c>
      <c r="F501" s="258" t="s">
        <v>56</v>
      </c>
      <c r="G501" s="538" t="s">
        <v>969</v>
      </c>
      <c r="H501" s="258">
        <v>1</v>
      </c>
      <c r="I501" s="551" t="s">
        <v>57</v>
      </c>
      <c r="J501" s="258" t="s">
        <v>58</v>
      </c>
      <c r="K501" s="258" t="s">
        <v>970</v>
      </c>
      <c r="M501" s="539" t="s">
        <v>586</v>
      </c>
      <c r="U501" s="268" t="s">
        <v>122</v>
      </c>
      <c r="V501" s="258" t="s">
        <v>211</v>
      </c>
      <c r="AB501" s="544"/>
    </row>
    <row r="502" spans="1:28" ht="16.5" hidden="1">
      <c r="A502" s="259">
        <f>A501+1</f>
        <v>479</v>
      </c>
      <c r="B502" s="28" t="s">
        <v>971</v>
      </c>
      <c r="C502" s="259" t="s">
        <v>65</v>
      </c>
      <c r="D502" s="258" t="s">
        <v>72</v>
      </c>
      <c r="E502" s="542" t="s">
        <v>73</v>
      </c>
      <c r="F502" s="258" t="s">
        <v>56</v>
      </c>
      <c r="G502" s="22" t="s">
        <v>900</v>
      </c>
      <c r="H502" s="258">
        <v>1</v>
      </c>
      <c r="I502" s="258" t="str">
        <f>J502&amp;" "&amp;K502&amp;" "&amp;L502</f>
        <v>Desktop Dell Optiplex 3090</v>
      </c>
      <c r="J502" s="71" t="s">
        <v>57</v>
      </c>
      <c r="K502" s="71" t="s">
        <v>133</v>
      </c>
      <c r="L502" s="28" t="s">
        <v>901</v>
      </c>
      <c r="M502" s="539" t="s">
        <v>972</v>
      </c>
      <c r="N502" s="71">
        <v>8</v>
      </c>
      <c r="O502" s="71">
        <v>512</v>
      </c>
      <c r="P502" s="71" t="s">
        <v>79</v>
      </c>
      <c r="Q502" s="543" t="s">
        <v>950</v>
      </c>
      <c r="AB502" s="544"/>
    </row>
    <row r="503" spans="1:28" ht="28.5">
      <c r="A503" s="258">
        <f>A502+1</f>
        <v>480</v>
      </c>
      <c r="B503" s="258" t="s">
        <v>973</v>
      </c>
      <c r="C503" s="258" t="s">
        <v>54</v>
      </c>
      <c r="D503" s="277" t="s">
        <v>660</v>
      </c>
      <c r="E503" s="258" t="str">
        <f>VLOOKUP(D503,Store_Info_VN!B:P,2,0)</f>
        <v>CONVERSE SMART CITY</v>
      </c>
      <c r="F503" s="258" t="s">
        <v>56</v>
      </c>
      <c r="G503" s="258" t="str">
        <f>I503&amp;" "&amp;J503&amp;" "&amp;K503</f>
        <v>Desktop HP ProDesk 400 G3 DM</v>
      </c>
      <c r="H503" s="258">
        <v>1</v>
      </c>
      <c r="I503" s="258" t="s">
        <v>57</v>
      </c>
      <c r="J503" s="258" t="s">
        <v>58</v>
      </c>
      <c r="K503" s="258" t="s">
        <v>69</v>
      </c>
      <c r="M503" s="615" t="s">
        <v>477</v>
      </c>
      <c r="N503" s="277">
        <v>8</v>
      </c>
      <c r="O503" s="277">
        <v>512</v>
      </c>
      <c r="P503" s="258" t="s">
        <v>79</v>
      </c>
      <c r="Q503" s="258" t="s">
        <v>974</v>
      </c>
      <c r="R503" s="258"/>
      <c r="S503" s="258"/>
      <c r="W503" s="308"/>
      <c r="X503" s="277"/>
      <c r="AB503" s="544"/>
    </row>
    <row r="504" spans="1:28" ht="14.25" hidden="1">
      <c r="A504" s="259">
        <f>A503+1</f>
        <v>481</v>
      </c>
      <c r="B504" s="259" t="s">
        <v>973</v>
      </c>
      <c r="C504" s="259" t="s">
        <v>65</v>
      </c>
      <c r="D504" s="258" t="s">
        <v>898</v>
      </c>
      <c r="E504" s="320" t="s">
        <v>899</v>
      </c>
      <c r="F504" s="258" t="s">
        <v>56</v>
      </c>
      <c r="G504" s="538" t="s">
        <v>68</v>
      </c>
      <c r="H504" s="258">
        <v>1</v>
      </c>
      <c r="I504" s="258" t="s">
        <v>57</v>
      </c>
      <c r="J504" s="258" t="s">
        <v>58</v>
      </c>
      <c r="K504" s="258" t="s">
        <v>69</v>
      </c>
      <c r="M504" s="539" t="s">
        <v>477</v>
      </c>
      <c r="U504" s="36" t="s">
        <v>206</v>
      </c>
      <c r="AB504" s="544"/>
    </row>
    <row r="505" spans="1:28" ht="14.25" hidden="1">
      <c r="A505" s="259">
        <f t="shared" ref="A451:A514" si="1">A504+1</f>
        <v>482</v>
      </c>
      <c r="C505" s="259" t="s">
        <v>65</v>
      </c>
      <c r="D505" s="258" t="s">
        <v>72</v>
      </c>
      <c r="E505" s="542" t="s">
        <v>73</v>
      </c>
      <c r="F505" s="258" t="s">
        <v>56</v>
      </c>
      <c r="G505" s="538" t="s">
        <v>930</v>
      </c>
      <c r="H505" s="258">
        <v>1</v>
      </c>
      <c r="I505" s="551" t="s">
        <v>116</v>
      </c>
      <c r="J505" s="258" t="s">
        <v>58</v>
      </c>
      <c r="K505" s="258" t="s">
        <v>117</v>
      </c>
      <c r="M505" s="78" t="s">
        <v>213</v>
      </c>
      <c r="AB505" s="544"/>
    </row>
    <row r="506" spans="1:28" ht="14.25" hidden="1">
      <c r="A506" s="259">
        <f t="shared" si="1"/>
        <v>483</v>
      </c>
      <c r="C506" s="259" t="s">
        <v>65</v>
      </c>
      <c r="D506" s="258" t="s">
        <v>72</v>
      </c>
      <c r="E506" s="542" t="s">
        <v>73</v>
      </c>
      <c r="F506" s="258" t="s">
        <v>56</v>
      </c>
      <c r="G506" s="538" t="s">
        <v>930</v>
      </c>
      <c r="H506" s="258">
        <v>1</v>
      </c>
      <c r="I506" s="551" t="s">
        <v>116</v>
      </c>
      <c r="J506" s="258" t="s">
        <v>58</v>
      </c>
      <c r="K506" s="258" t="s">
        <v>117</v>
      </c>
      <c r="M506" s="78" t="s">
        <v>241</v>
      </c>
      <c r="AB506" s="544"/>
    </row>
    <row r="507" spans="1:28" ht="14.25" hidden="1">
      <c r="A507" s="259">
        <f t="shared" si="1"/>
        <v>484</v>
      </c>
      <c r="C507" s="259" t="s">
        <v>65</v>
      </c>
      <c r="D507" s="258" t="s">
        <v>72</v>
      </c>
      <c r="E507" s="542" t="s">
        <v>73</v>
      </c>
      <c r="F507" s="258" t="s">
        <v>56</v>
      </c>
      <c r="G507" s="538" t="s">
        <v>930</v>
      </c>
      <c r="H507" s="258">
        <v>1</v>
      </c>
      <c r="I507" s="551" t="s">
        <v>116</v>
      </c>
      <c r="J507" s="258" t="s">
        <v>58</v>
      </c>
      <c r="K507" s="258" t="s">
        <v>117</v>
      </c>
      <c r="M507" s="78" t="s">
        <v>975</v>
      </c>
      <c r="AB507" s="544"/>
    </row>
    <row r="508" spans="1:28" ht="14.25" hidden="1">
      <c r="A508" s="259">
        <f t="shared" si="1"/>
        <v>485</v>
      </c>
      <c r="C508" s="259" t="s">
        <v>65</v>
      </c>
      <c r="D508" s="258" t="s">
        <v>72</v>
      </c>
      <c r="E508" s="542" t="s">
        <v>73</v>
      </c>
      <c r="F508" s="258" t="s">
        <v>56</v>
      </c>
      <c r="G508" s="538" t="s">
        <v>976</v>
      </c>
      <c r="H508" s="258">
        <v>1</v>
      </c>
      <c r="I508" s="258" t="s">
        <v>275</v>
      </c>
      <c r="J508" s="18" t="s">
        <v>976</v>
      </c>
      <c r="K508" s="18" t="s">
        <v>976</v>
      </c>
      <c r="M508" s="539" t="s">
        <v>977</v>
      </c>
      <c r="AB508" s="544"/>
    </row>
    <row r="509" spans="1:28" ht="14.25" hidden="1">
      <c r="A509" s="259">
        <f t="shared" si="1"/>
        <v>486</v>
      </c>
      <c r="C509" s="259" t="s">
        <v>65</v>
      </c>
      <c r="D509" s="258" t="s">
        <v>72</v>
      </c>
      <c r="E509" s="542" t="s">
        <v>73</v>
      </c>
      <c r="F509" s="258" t="s">
        <v>56</v>
      </c>
      <c r="G509" s="551" t="str">
        <f>I509&amp;" "&amp;J509&amp;" "&amp;K509</f>
        <v>Cash Drawer Maken MK410</v>
      </c>
      <c r="H509" s="551">
        <v>1</v>
      </c>
      <c r="I509" s="551" t="s">
        <v>159</v>
      </c>
      <c r="J509" s="551" t="s">
        <v>230</v>
      </c>
      <c r="K509" s="551" t="s">
        <v>231</v>
      </c>
      <c r="M509" s="539" t="s">
        <v>978</v>
      </c>
      <c r="AB509" s="544"/>
    </row>
    <row r="510" spans="1:28" ht="14.25" hidden="1">
      <c r="A510" s="259">
        <f t="shared" si="1"/>
        <v>487</v>
      </c>
      <c r="C510" s="259" t="s">
        <v>65</v>
      </c>
      <c r="D510" s="258" t="s">
        <v>72</v>
      </c>
      <c r="E510" s="542" t="s">
        <v>73</v>
      </c>
      <c r="F510" s="258" t="s">
        <v>56</v>
      </c>
      <c r="G510" s="551" t="str">
        <f>I510&amp;" "&amp;J510&amp;" "&amp;K510</f>
        <v xml:space="preserve">Cash Drawer Antech </v>
      </c>
      <c r="H510" s="551">
        <v>1</v>
      </c>
      <c r="I510" s="551" t="s">
        <v>159</v>
      </c>
      <c r="J510" s="551" t="s">
        <v>200</v>
      </c>
      <c r="K510" s="551"/>
      <c r="M510" s="539" t="s">
        <v>245</v>
      </c>
      <c r="AB510" s="544"/>
    </row>
    <row r="511" spans="1:28" ht="15" hidden="1">
      <c r="A511" s="259">
        <f t="shared" si="1"/>
        <v>488</v>
      </c>
      <c r="C511" s="259" t="s">
        <v>65</v>
      </c>
      <c r="D511" s="258" t="s">
        <v>72</v>
      </c>
      <c r="E511" s="542" t="s">
        <v>73</v>
      </c>
      <c r="F511" s="258" t="s">
        <v>56</v>
      </c>
      <c r="G511" s="538" t="s">
        <v>979</v>
      </c>
      <c r="H511" s="258">
        <v>1</v>
      </c>
      <c r="I511" s="258" t="s">
        <v>172</v>
      </c>
      <c r="J511" s="258" t="s">
        <v>980</v>
      </c>
      <c r="K511" s="661" t="s">
        <v>981</v>
      </c>
      <c r="L511" s="258" t="s">
        <v>982</v>
      </c>
      <c r="M511" s="541" t="s">
        <v>983</v>
      </c>
      <c r="AB511" s="544"/>
    </row>
    <row r="512" spans="1:28" ht="14.25" hidden="1">
      <c r="A512" s="259">
        <f t="shared" si="1"/>
        <v>489</v>
      </c>
      <c r="C512" s="259" t="s">
        <v>65</v>
      </c>
      <c r="D512" s="258" t="s">
        <v>72</v>
      </c>
      <c r="E512" s="542" t="s">
        <v>73</v>
      </c>
      <c r="F512" s="258" t="s">
        <v>56</v>
      </c>
      <c r="G512" s="551" t="str">
        <f>I512&amp;" "&amp;J512&amp;" "&amp;K512</f>
        <v xml:space="preserve">Pole Display VFD </v>
      </c>
      <c r="H512" s="551">
        <v>1</v>
      </c>
      <c r="I512" s="258" t="s">
        <v>125</v>
      </c>
      <c r="J512" s="258" t="s">
        <v>393</v>
      </c>
      <c r="M512" s="539" t="s">
        <v>984</v>
      </c>
      <c r="AB512" s="544"/>
    </row>
    <row r="513" spans="1:28" ht="14.25" hidden="1">
      <c r="A513" s="259">
        <f t="shared" si="1"/>
        <v>490</v>
      </c>
      <c r="C513" s="259" t="s">
        <v>65</v>
      </c>
      <c r="D513" s="258" t="s">
        <v>72</v>
      </c>
      <c r="E513" s="542" t="s">
        <v>73</v>
      </c>
      <c r="F513" s="258" t="s">
        <v>56</v>
      </c>
      <c r="G513" s="22" t="s">
        <v>918</v>
      </c>
      <c r="H513" s="258">
        <v>1</v>
      </c>
      <c r="M513" s="539"/>
      <c r="AB513" s="544"/>
    </row>
    <row r="514" spans="1:28" ht="14.25" hidden="1">
      <c r="A514" s="259">
        <f t="shared" si="1"/>
        <v>491</v>
      </c>
      <c r="C514" s="259" t="s">
        <v>65</v>
      </c>
      <c r="D514" s="258" t="s">
        <v>72</v>
      </c>
      <c r="E514" s="542" t="s">
        <v>73</v>
      </c>
      <c r="F514" s="258" t="s">
        <v>56</v>
      </c>
      <c r="G514" s="551" t="str">
        <f>I514&amp;" "&amp;J514&amp;" "&amp;K514</f>
        <v>Scanner Datalogic QW2100</v>
      </c>
      <c r="H514" s="551">
        <v>1</v>
      </c>
      <c r="I514" s="551" t="s">
        <v>96</v>
      </c>
      <c r="J514" s="258" t="s">
        <v>97</v>
      </c>
      <c r="K514" s="258" t="s">
        <v>98</v>
      </c>
      <c r="M514" s="78" t="s">
        <v>697</v>
      </c>
      <c r="AB514" s="544"/>
    </row>
    <row r="515" spans="1:28" ht="14.25" hidden="1">
      <c r="A515" s="259">
        <f t="shared" ref="A515:A568" si="2">A514+1</f>
        <v>492</v>
      </c>
      <c r="C515" s="259" t="s">
        <v>65</v>
      </c>
      <c r="D515" s="258" t="s">
        <v>72</v>
      </c>
      <c r="E515" s="542" t="s">
        <v>73</v>
      </c>
      <c r="F515" s="258" t="s">
        <v>56</v>
      </c>
      <c r="G515" s="551" t="str">
        <f>I515&amp;" "&amp;J515&amp;" "&amp;K515</f>
        <v>Scanner Datalogic QW2100</v>
      </c>
      <c r="H515" s="551">
        <v>1</v>
      </c>
      <c r="I515" s="551" t="s">
        <v>96</v>
      </c>
      <c r="J515" s="258" t="s">
        <v>97</v>
      </c>
      <c r="K515" s="258" t="s">
        <v>98</v>
      </c>
      <c r="M515" s="539" t="s">
        <v>229</v>
      </c>
      <c r="AB515" s="544"/>
    </row>
    <row r="516" spans="1:28" ht="14.25" hidden="1">
      <c r="A516" s="259">
        <f t="shared" si="2"/>
        <v>493</v>
      </c>
      <c r="C516" s="259" t="s">
        <v>65</v>
      </c>
      <c r="D516" s="258" t="s">
        <v>72</v>
      </c>
      <c r="E516" s="542" t="s">
        <v>73</v>
      </c>
      <c r="F516" s="258" t="s">
        <v>56</v>
      </c>
      <c r="G516" s="551" t="str">
        <f>I516&amp;" "&amp;J516&amp;" "&amp;K516</f>
        <v>Bill Printer Epson TM-82III</v>
      </c>
      <c r="H516" s="551">
        <v>1</v>
      </c>
      <c r="I516" s="258" t="s">
        <v>92</v>
      </c>
      <c r="J516" s="258" t="s">
        <v>93</v>
      </c>
      <c r="K516" s="551" t="s">
        <v>664</v>
      </c>
      <c r="M516" s="539" t="s">
        <v>781</v>
      </c>
      <c r="AB516" s="544"/>
    </row>
    <row r="517" spans="1:28" ht="14.25" hidden="1">
      <c r="A517" s="259">
        <f t="shared" si="2"/>
        <v>494</v>
      </c>
      <c r="C517" s="259" t="s">
        <v>65</v>
      </c>
      <c r="D517" s="258" t="s">
        <v>72</v>
      </c>
      <c r="E517" s="542" t="s">
        <v>73</v>
      </c>
      <c r="F517" s="258" t="s">
        <v>56</v>
      </c>
      <c r="G517" s="551" t="str">
        <f>I517&amp;" "&amp;J517&amp;" "&amp;K517</f>
        <v>Bill Printer Epson TM-82III</v>
      </c>
      <c r="H517" s="551">
        <v>1</v>
      </c>
      <c r="I517" s="258" t="s">
        <v>92</v>
      </c>
      <c r="J517" s="258" t="s">
        <v>93</v>
      </c>
      <c r="K517" s="551" t="s">
        <v>664</v>
      </c>
      <c r="M517" s="539" t="s">
        <v>705</v>
      </c>
      <c r="AB517" s="544"/>
    </row>
    <row r="518" spans="1:28" ht="14.25" hidden="1">
      <c r="A518" s="259">
        <f t="shared" si="2"/>
        <v>495</v>
      </c>
      <c r="C518" s="259" t="s">
        <v>65</v>
      </c>
      <c r="D518" s="258" t="s">
        <v>72</v>
      </c>
      <c r="E518" s="542" t="s">
        <v>73</v>
      </c>
      <c r="F518" s="258" t="s">
        <v>56</v>
      </c>
      <c r="G518" s="551" t="str">
        <f>I518&amp;" "&amp;J518&amp;" "&amp;K518</f>
        <v>A4 Printer Canon LBP 2900</v>
      </c>
      <c r="H518" s="551">
        <v>1</v>
      </c>
      <c r="I518" s="258" t="s">
        <v>99</v>
      </c>
      <c r="J518" s="258" t="s">
        <v>100</v>
      </c>
      <c r="K518" s="551" t="s">
        <v>101</v>
      </c>
      <c r="M518" s="539" t="s">
        <v>985</v>
      </c>
      <c r="AB518" s="544"/>
    </row>
    <row r="519" spans="1:28" ht="14.25" hidden="1">
      <c r="A519" s="259">
        <f t="shared" si="2"/>
        <v>496</v>
      </c>
      <c r="C519" s="259" t="s">
        <v>65</v>
      </c>
      <c r="D519" s="258" t="s">
        <v>72</v>
      </c>
      <c r="E519" s="542" t="s">
        <v>73</v>
      </c>
      <c r="F519" s="258" t="s">
        <v>56</v>
      </c>
      <c r="G519" s="14" t="s">
        <v>986</v>
      </c>
      <c r="H519" s="258">
        <v>1</v>
      </c>
      <c r="M519" s="539"/>
      <c r="AB519" s="544"/>
    </row>
    <row r="520" spans="1:28" ht="14.25" hidden="1">
      <c r="A520" s="259">
        <f t="shared" si="2"/>
        <v>497</v>
      </c>
      <c r="C520" s="259" t="s">
        <v>65</v>
      </c>
      <c r="D520" s="258" t="s">
        <v>72</v>
      </c>
      <c r="E520" s="542" t="s">
        <v>73</v>
      </c>
      <c r="F520" s="258" t="s">
        <v>56</v>
      </c>
      <c r="G520" s="538" t="s">
        <v>919</v>
      </c>
      <c r="H520" s="258">
        <v>1</v>
      </c>
      <c r="M520" s="539" t="s">
        <v>987</v>
      </c>
      <c r="AB520" s="544"/>
    </row>
    <row r="521" spans="1:28" ht="14.25" hidden="1">
      <c r="A521" s="259">
        <f t="shared" si="2"/>
        <v>498</v>
      </c>
      <c r="C521" s="259" t="s">
        <v>65</v>
      </c>
      <c r="D521" s="258" t="s">
        <v>72</v>
      </c>
      <c r="E521" s="542" t="s">
        <v>73</v>
      </c>
      <c r="F521" s="258" t="s">
        <v>56</v>
      </c>
      <c r="G521" s="538" t="s">
        <v>919</v>
      </c>
      <c r="H521" s="258">
        <v>1</v>
      </c>
      <c r="M521" s="539" t="s">
        <v>987</v>
      </c>
      <c r="AB521" s="544"/>
    </row>
    <row r="522" spans="1:28" ht="15" hidden="1">
      <c r="A522" s="259">
        <f t="shared" si="2"/>
        <v>499</v>
      </c>
      <c r="C522" s="259" t="s">
        <v>65</v>
      </c>
      <c r="D522" s="258" t="s">
        <v>72</v>
      </c>
      <c r="E522" s="542" t="s">
        <v>73</v>
      </c>
      <c r="F522" s="258" t="s">
        <v>56</v>
      </c>
      <c r="G522" s="22" t="s">
        <v>920</v>
      </c>
      <c r="H522" s="258">
        <v>1</v>
      </c>
      <c r="I522" s="258" t="s">
        <v>798</v>
      </c>
      <c r="J522" s="661" t="s">
        <v>921</v>
      </c>
      <c r="K522" s="539" t="s">
        <v>922</v>
      </c>
      <c r="M522" s="539" t="s">
        <v>988</v>
      </c>
      <c r="AB522" s="544"/>
    </row>
    <row r="523" spans="1:28" ht="14.25" hidden="1">
      <c r="A523" s="290">
        <f t="shared" si="2"/>
        <v>500</v>
      </c>
      <c r="B523" s="545"/>
      <c r="C523" s="293"/>
      <c r="D523" s="261"/>
      <c r="E523" s="261"/>
      <c r="F523" s="293"/>
      <c r="G523" s="261"/>
      <c r="H523" s="261"/>
      <c r="I523" s="261"/>
      <c r="J523" s="261"/>
      <c r="K523" s="261"/>
      <c r="L523" s="261"/>
      <c r="M523" s="546"/>
      <c r="N523" s="261"/>
      <c r="O523" s="261"/>
      <c r="P523" s="261"/>
      <c r="Q523" s="261"/>
      <c r="R523" s="293"/>
      <c r="S523" s="293"/>
      <c r="T523" s="666"/>
      <c r="U523" s="291"/>
      <c r="V523" s="261"/>
      <c r="W523" s="261"/>
      <c r="X523" s="293"/>
      <c r="Y523" s="293"/>
      <c r="Z523" s="293"/>
      <c r="AA523" s="293"/>
    </row>
    <row r="524" spans="1:28" ht="14.25" hidden="1">
      <c r="A524" s="259">
        <f t="shared" si="2"/>
        <v>501</v>
      </c>
    </row>
    <row r="525" spans="1:28" ht="14.25" hidden="1">
      <c r="A525" s="259">
        <f t="shared" si="2"/>
        <v>502</v>
      </c>
    </row>
    <row r="526" spans="1:28" ht="14.25" hidden="1">
      <c r="A526" s="259">
        <f t="shared" si="2"/>
        <v>503</v>
      </c>
    </row>
    <row r="527" spans="1:28" ht="14.25" hidden="1">
      <c r="A527" s="259">
        <f t="shared" si="2"/>
        <v>504</v>
      </c>
    </row>
    <row r="528" spans="1:28" ht="14.25" hidden="1">
      <c r="A528" s="259">
        <f t="shared" si="2"/>
        <v>505</v>
      </c>
    </row>
    <row r="529" spans="1:1" ht="14.25" hidden="1">
      <c r="A529" s="259">
        <f t="shared" si="2"/>
        <v>506</v>
      </c>
    </row>
    <row r="530" spans="1:1" ht="14.25" hidden="1">
      <c r="A530" s="259">
        <f t="shared" si="2"/>
        <v>507</v>
      </c>
    </row>
    <row r="531" spans="1:1" ht="14.25" hidden="1">
      <c r="A531" s="259">
        <f t="shared" si="2"/>
        <v>508</v>
      </c>
    </row>
    <row r="532" spans="1:1" ht="14.25" hidden="1">
      <c r="A532" s="259">
        <f t="shared" si="2"/>
        <v>509</v>
      </c>
    </row>
    <row r="533" spans="1:1" ht="14.25" hidden="1">
      <c r="A533" s="259">
        <f t="shared" si="2"/>
        <v>510</v>
      </c>
    </row>
    <row r="534" spans="1:1" ht="14.25" hidden="1">
      <c r="A534" s="259">
        <f t="shared" si="2"/>
        <v>511</v>
      </c>
    </row>
    <row r="535" spans="1:1" ht="14.25" hidden="1">
      <c r="A535" s="259">
        <f t="shared" si="2"/>
        <v>512</v>
      </c>
    </row>
    <row r="536" spans="1:1" ht="14.25" hidden="1">
      <c r="A536" s="259">
        <f t="shared" si="2"/>
        <v>513</v>
      </c>
    </row>
    <row r="537" spans="1:1" ht="14.25" hidden="1">
      <c r="A537" s="259">
        <f t="shared" si="2"/>
        <v>514</v>
      </c>
    </row>
    <row r="538" spans="1:1" ht="14.25" hidden="1">
      <c r="A538" s="259">
        <f t="shared" si="2"/>
        <v>515</v>
      </c>
    </row>
    <row r="539" spans="1:1" ht="14.25" hidden="1">
      <c r="A539" s="259">
        <f t="shared" si="2"/>
        <v>516</v>
      </c>
    </row>
    <row r="540" spans="1:1" ht="14.25" hidden="1">
      <c r="A540" s="259">
        <f t="shared" si="2"/>
        <v>517</v>
      </c>
    </row>
    <row r="541" spans="1:1" ht="14.25" hidden="1">
      <c r="A541" s="259">
        <f t="shared" si="2"/>
        <v>518</v>
      </c>
    </row>
    <row r="542" spans="1:1" ht="14.25" hidden="1">
      <c r="A542" s="259">
        <f t="shared" si="2"/>
        <v>519</v>
      </c>
    </row>
    <row r="543" spans="1:1" ht="14.25" hidden="1">
      <c r="A543" s="259">
        <f t="shared" si="2"/>
        <v>520</v>
      </c>
    </row>
    <row r="544" spans="1:1" ht="14.25" hidden="1">
      <c r="A544" s="259">
        <f t="shared" si="2"/>
        <v>521</v>
      </c>
    </row>
    <row r="545" spans="1:1" ht="14.25" hidden="1">
      <c r="A545" s="259">
        <f t="shared" si="2"/>
        <v>522</v>
      </c>
    </row>
    <row r="546" spans="1:1" ht="14.25" hidden="1">
      <c r="A546" s="259">
        <f t="shared" si="2"/>
        <v>523</v>
      </c>
    </row>
    <row r="547" spans="1:1" ht="14.25" hidden="1">
      <c r="A547" s="259">
        <f t="shared" si="2"/>
        <v>524</v>
      </c>
    </row>
    <row r="548" spans="1:1" ht="14.25" hidden="1">
      <c r="A548" s="259">
        <f t="shared" si="2"/>
        <v>525</v>
      </c>
    </row>
    <row r="549" spans="1:1" ht="14.25" hidden="1">
      <c r="A549" s="259">
        <f t="shared" si="2"/>
        <v>526</v>
      </c>
    </row>
    <row r="550" spans="1:1" ht="14.25" hidden="1">
      <c r="A550" s="259">
        <f t="shared" si="2"/>
        <v>527</v>
      </c>
    </row>
    <row r="551" spans="1:1" ht="14.25" hidden="1">
      <c r="A551" s="259">
        <f t="shared" si="2"/>
        <v>528</v>
      </c>
    </row>
    <row r="552" spans="1:1" ht="14.25" hidden="1">
      <c r="A552" s="259">
        <f t="shared" si="2"/>
        <v>529</v>
      </c>
    </row>
    <row r="553" spans="1:1" ht="14.25" hidden="1">
      <c r="A553" s="259">
        <f t="shared" si="2"/>
        <v>530</v>
      </c>
    </row>
    <row r="554" spans="1:1" ht="14.25" hidden="1">
      <c r="A554" s="259">
        <f t="shared" si="2"/>
        <v>531</v>
      </c>
    </row>
    <row r="555" spans="1:1" ht="14.25" hidden="1">
      <c r="A555" s="259">
        <f t="shared" si="2"/>
        <v>532</v>
      </c>
    </row>
    <row r="556" spans="1:1" ht="14.25" hidden="1">
      <c r="A556" s="259">
        <f t="shared" si="2"/>
        <v>533</v>
      </c>
    </row>
    <row r="557" spans="1:1" ht="14.25" hidden="1">
      <c r="A557" s="259">
        <f t="shared" si="2"/>
        <v>534</v>
      </c>
    </row>
    <row r="558" spans="1:1" ht="14.25" hidden="1">
      <c r="A558" s="259">
        <f t="shared" si="2"/>
        <v>535</v>
      </c>
    </row>
    <row r="559" spans="1:1" ht="14.25" hidden="1">
      <c r="A559" s="259">
        <f t="shared" si="2"/>
        <v>536</v>
      </c>
    </row>
    <row r="560" spans="1:1" ht="14.25" hidden="1">
      <c r="A560" s="259">
        <f t="shared" si="2"/>
        <v>537</v>
      </c>
    </row>
    <row r="561" spans="1:23" ht="14.25" hidden="1">
      <c r="A561" s="259">
        <f t="shared" si="2"/>
        <v>538</v>
      </c>
    </row>
    <row r="562" spans="1:23" ht="14.25" hidden="1">
      <c r="A562" s="259">
        <f t="shared" si="2"/>
        <v>539</v>
      </c>
    </row>
    <row r="563" spans="1:23" ht="14.25" hidden="1">
      <c r="A563" s="259">
        <f t="shared" si="2"/>
        <v>540</v>
      </c>
    </row>
    <row r="564" spans="1:23" ht="14.25" hidden="1">
      <c r="A564" s="259">
        <f t="shared" si="2"/>
        <v>541</v>
      </c>
    </row>
    <row r="565" spans="1:23" ht="14.25" hidden="1">
      <c r="A565" s="259">
        <f t="shared" si="2"/>
        <v>542</v>
      </c>
    </row>
    <row r="566" spans="1:23" ht="14.25" hidden="1">
      <c r="A566" s="259">
        <f t="shared" si="2"/>
        <v>543</v>
      </c>
    </row>
    <row r="567" spans="1:23" ht="14.25" hidden="1">
      <c r="A567" s="259">
        <f t="shared" si="2"/>
        <v>544</v>
      </c>
    </row>
    <row r="568" spans="1:23" s="284" customFormat="1" ht="14.25" hidden="1">
      <c r="A568" s="281">
        <f t="shared" si="2"/>
        <v>545</v>
      </c>
      <c r="B568" s="280"/>
      <c r="D568" s="279"/>
      <c r="E568" s="279"/>
      <c r="G568" s="279"/>
      <c r="H568" s="279"/>
      <c r="I568" s="279"/>
      <c r="J568" s="279"/>
      <c r="K568" s="279"/>
      <c r="L568" s="279"/>
      <c r="M568" s="629"/>
      <c r="N568" s="279"/>
      <c r="O568" s="279"/>
      <c r="P568" s="279"/>
      <c r="Q568" s="279"/>
      <c r="T568" s="285"/>
      <c r="U568" s="286"/>
      <c r="V568" s="279"/>
      <c r="W568" s="279"/>
    </row>
    <row r="608" ht="14.25"/>
    <row r="609" ht="14.25"/>
    <row r="610" ht="14.25"/>
    <row r="611" ht="14.25"/>
    <row r="612" ht="14.25"/>
  </sheetData>
  <autoFilter ref="A1:AA568" xr:uid="{C9EB82D6-13E6-4F48-A19F-FC5065F99335}">
    <filterColumn colId="1">
      <filters>
        <filter val="22VN00110001"/>
        <filter val="22VN00110002"/>
        <filter val="22VN00110003"/>
        <filter val="22VN00110004"/>
        <filter val="22VN00110005"/>
        <filter val="22VN00110008"/>
        <filter val="22VN00110010"/>
        <filter val="22VN00110012"/>
        <filter val="22VN00110014"/>
        <filter val="22VN00110015"/>
        <filter val="22VN00110016"/>
        <filter val="22VN00110017"/>
        <filter val="22VN00110019"/>
        <filter val="22VN00110021"/>
        <filter val="22VN00110025"/>
        <filter val="22VN00110027"/>
        <filter val="22VN00110028"/>
        <filter val="22VN00110030"/>
        <filter val="22VN00110031"/>
        <filter val="22VN00110032"/>
        <filter val="22VN00110033"/>
        <filter val="22VN00110034"/>
        <filter val="22VN00110036"/>
        <filter val="22VN00110037"/>
        <filter val="22VN00110038"/>
        <filter val="22VN00110039"/>
        <filter val="22VN00110040"/>
        <filter val="22VN00110042"/>
        <filter val="22VN00110048"/>
        <filter val="22VN00110049"/>
        <filter val="22VN00110050"/>
        <filter val="22VN00110051"/>
        <filter val="22VN00110053"/>
        <filter val="22VN00110054"/>
        <filter val="22VN00110055"/>
        <filter val="22VN00110056"/>
        <filter val="22VN00110057"/>
        <filter val="22VN00110058"/>
        <filter val="22VN00110059"/>
        <filter val="22VN00110060"/>
        <filter val="22VN00110061"/>
        <filter val="22VN00110062"/>
        <filter val="22VN00110063"/>
        <filter val="22VN00110064"/>
        <filter val="22VN00110065"/>
        <filter val="22VN00110066"/>
        <filter val="22VN00110067"/>
        <filter val="22VN00110068"/>
        <filter val="22VN00110069"/>
        <filter val="22VN00110070"/>
        <filter val="22VN00110071"/>
        <filter val="22VN00110072"/>
        <filter val="22VN00110073"/>
        <filter val="22VN00110074"/>
        <filter val="22VN00110076"/>
        <filter val="Template"/>
      </filters>
    </filterColumn>
    <filterColumn colId="2">
      <filters>
        <filter val="Available"/>
      </filters>
    </filterColumn>
    <filterColumn colId="6">
      <filters>
        <filter val="(NonBlanks)"/>
        <filter val="Desktop DELL DELL OPTILEX 3090"/>
        <filter val="Desktop Dell Hp Prodesk 400 G7"/>
        <filter val="Desktop Dell OptiPlex 3090"/>
        <filter val="Desktop HP  PRO MINI 400 G9"/>
        <filter val="Desktop HP  Prodesk 400G3 DM"/>
        <filter val="Desktop HP 280 G3 MT"/>
        <filter val="Desktop HP Elite Mini 600 G9"/>
        <filter val="Desktop HP HP 280 G3 MT"/>
        <filter val="Desktop HP HP Prodesk 400 G3"/>
        <filter val="Desktop HP HP ProDesk 400 G3 DM"/>
        <filter val="Desktop HP Hp Prodesk 400 G3 DM i5 7500T"/>
        <filter val="Desktop HP HP ProDesk 400 G3 MT"/>
        <filter val="Desktop HP PRO MINI 400 G9"/>
        <filter val="Desktop HP PRO MINI 400G6"/>
        <filter val="Desktop HP ProDesk 400 G3 DM"/>
        <filter val="Desktop HP PRODESK 400 G3 MINI"/>
        <filter val="Desktop HP PRODESK 400 G3 MINI -DM"/>
        <filter val="Desktop HP ProDesk 400 G4 DM"/>
        <filter val="Desktop iNTEL PC DELUX"/>
        <filter val="D-Link DES-1016D"/>
        <filter val="HP ProDesk 400 G3 DM"/>
        <filter val="HP ProDesk 400 G6 DM"/>
        <filter val="MiniPC HP Prodesk 400 G3"/>
      </filters>
    </filterColumn>
    <sortState xmlns:xlrd2="http://schemas.microsoft.com/office/spreadsheetml/2017/richdata2" ref="A2:AA568">
      <sortCondition ref="B1:B568"/>
    </sortState>
  </autoFilter>
  <phoneticPr fontId="3" type="noConversion"/>
  <dataValidations count="6">
    <dataValidation type="list" allowBlank="1" showInputMessage="1" showErrorMessage="1" sqref="C113:C228 C101:C105 C2:C23 C230:C522 C25:C92" xr:uid="{561F3353-89BD-4077-8730-274095CF8F41}">
      <formula1>"In Use,Available,Reserved,Maintenance,Retired,Disposed,Lost,On Loan,Spare"</formula1>
    </dataValidation>
    <dataValidation type="list" allowBlank="1" showInputMessage="1" showErrorMessage="1" sqref="F26:F228 F2:F23 F230:F522" xr:uid="{87B7F372-8176-4B44-941C-A98EB8F7413D}">
      <formula1>"Store,Store Bazaar,Office Bazaar"</formula1>
    </dataValidation>
    <dataValidation type="list" allowBlank="1" showInputMessage="1" showErrorMessage="1" sqref="I26:I361 I363:I433 I523:I1048576 I436:I446 I2:I23 I503:I521 I449:I463 I465:I476 I478:I485 I487:I500" xr:uid="{46C624B9-5923-4148-9DCD-2FD0762F0AB6}">
      <formula1>"MiniPC,Laptop,Desktop,A4 Printer,Bill Printer,O2O Printer,Tablet,Scanner,Mouse &amp; Keyboard,Mouse,Keyboard,Monitor,Cash Drawer,Pole Display,Network Switch,USB,USB to LAN,USB Hub,Sim 4G,Thermal Paper,Other"</formula1>
    </dataValidation>
    <dataValidation type="list" allowBlank="1" showInputMessage="1" showErrorMessage="1" sqref="I1" xr:uid="{A18EE2DE-9096-40C8-8723-561E73BB8997}">
      <formula1>"MiniPC,Ups,Laptop,Desktop,A4 Printer,Bill Printer,O2O Printer,Tablet,Scanner,Mouse &amp; Keyboard,Mouse,Keyboard,Monitor,Cash Drawer,Pole Display,Network Switch,USB,USB to LAN,USB Hub,Sim 4G,Thermal Paper,Other"</formula1>
    </dataValidation>
    <dataValidation type="list" allowBlank="1" showInputMessage="1" showErrorMessage="1" sqref="I362 I486 I464 I477 I522" xr:uid="{CEFD0CAC-FE0D-4C9E-A370-CEF4D928DB3E}">
      <formula1>"MiniPC,Firewall,Laptop,Desktop,A4 Printer,Bill Printer,O2O Printer,Tablet,Scanner,Mouse &amp; Keyboard,Mouse,Keyboard,Monitor,Cash Drawer,Pole Display,Network Switch,USB,USB to LAN,USB Hub,Sim 4G,Thermal Paper,Other"</formula1>
    </dataValidation>
    <dataValidation type="list" allowBlank="1" showInputMessage="1" showErrorMessage="1" sqref="I434:I435 J501:J502 J447:J448" xr:uid="{DBC5F00F-2893-4718-8685-F2A1B1F74B36}">
      <formula1>"Laptop,Desktop,Printer"</formula1>
    </dataValidation>
  </dataValidation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7A9BD-157D-4407-B1A5-F80A7D4EF36E}">
  <dimension ref="A1:AT111"/>
  <sheetViews>
    <sheetView showGridLines="0" tabSelected="1" topLeftCell="B1" workbookViewId="0">
      <pane xSplit="8" ySplit="1" topLeftCell="L102" activePane="bottomRight" state="frozen"/>
      <selection pane="bottomRight" activeCell="I108" sqref="I108"/>
      <selection pane="bottomLeft" activeCell="A2" sqref="A2"/>
      <selection pane="topRight" activeCell="G1" sqref="G1"/>
    </sheetView>
  </sheetViews>
  <sheetFormatPr defaultColWidth="9" defaultRowHeight="15" customHeight="1"/>
  <cols>
    <col min="1" max="1" width="8" style="66" customWidth="1"/>
    <col min="2" max="2" width="19" style="75" customWidth="1"/>
    <col min="3" max="3" width="13.625" style="66" customWidth="1"/>
    <col min="4" max="4" width="28.25" style="66" customWidth="1"/>
    <col min="5" max="5" width="16.625" style="66" customWidth="1"/>
    <col min="6" max="6" width="21.625" style="66" customWidth="1"/>
    <col min="7" max="7" width="22.25" style="67" bestFit="1" customWidth="1"/>
    <col min="8" max="8" width="12.625" style="66" customWidth="1"/>
    <col min="9" max="9" width="22" style="67" customWidth="1"/>
    <col min="10" max="10" width="12" style="67" customWidth="1"/>
    <col min="11" max="11" width="8.625" style="67" customWidth="1"/>
    <col min="12" max="12" width="9.5" style="67" customWidth="1"/>
    <col min="13" max="13" width="14.375" style="67" customWidth="1"/>
    <col min="14" max="15" width="13.375" style="67" customWidth="1"/>
    <col min="16" max="16" width="32.875" style="66" customWidth="1"/>
    <col min="17" max="17" width="29" style="67" customWidth="1"/>
    <col min="18" max="18" width="16.125" style="66" customWidth="1"/>
    <col min="19" max="19" width="32.25" style="66" customWidth="1"/>
    <col min="20" max="20" width="36.375" style="66" customWidth="1"/>
    <col min="21" max="21" width="36.5" style="66" customWidth="1"/>
    <col min="22" max="22" width="36.625" style="80" customWidth="1"/>
    <col min="23" max="23" width="27.5" style="190" customWidth="1"/>
    <col min="24" max="24" width="27.5" style="66" customWidth="1"/>
    <col min="25" max="26" width="13.625" style="66" customWidth="1"/>
    <col min="27" max="27" width="9.25" style="66"/>
    <col min="28" max="28" width="13.875" style="66" customWidth="1"/>
    <col min="29" max="29" width="9.25" style="66"/>
    <col min="30" max="30" width="15.5" style="66" customWidth="1"/>
    <col min="31" max="16384" width="9" style="66"/>
  </cols>
  <sheetData>
    <row r="1" spans="1:46" s="67" customFormat="1" ht="39.75" customHeight="1">
      <c r="A1" s="719" t="s">
        <v>0</v>
      </c>
      <c r="B1" s="690" t="s">
        <v>27</v>
      </c>
      <c r="C1" s="719" t="s">
        <v>28</v>
      </c>
      <c r="D1" s="719" t="s">
        <v>29</v>
      </c>
      <c r="E1" s="719" t="s">
        <v>30</v>
      </c>
      <c r="F1" s="719" t="s">
        <v>47</v>
      </c>
      <c r="G1" s="719" t="s">
        <v>989</v>
      </c>
      <c r="H1" s="736" t="s">
        <v>31</v>
      </c>
      <c r="I1" s="719" t="s">
        <v>990</v>
      </c>
      <c r="J1" s="719" t="s">
        <v>33</v>
      </c>
      <c r="K1" s="719" t="s">
        <v>34</v>
      </c>
      <c r="L1" s="719" t="s">
        <v>35</v>
      </c>
      <c r="M1" s="719" t="s">
        <v>37</v>
      </c>
      <c r="N1" s="719" t="s">
        <v>38</v>
      </c>
      <c r="O1" s="719" t="s">
        <v>39</v>
      </c>
      <c r="P1" s="719" t="s">
        <v>40</v>
      </c>
      <c r="Q1" s="719" t="s">
        <v>41</v>
      </c>
      <c r="R1" s="719" t="s">
        <v>42</v>
      </c>
      <c r="S1" s="719" t="s">
        <v>43</v>
      </c>
      <c r="T1" s="719" t="s">
        <v>44</v>
      </c>
      <c r="U1" s="117"/>
      <c r="V1" s="124" t="s">
        <v>45</v>
      </c>
      <c r="W1" s="124" t="s">
        <v>991</v>
      </c>
      <c r="X1" s="117" t="s">
        <v>46</v>
      </c>
      <c r="Y1" s="123" t="s">
        <v>48</v>
      </c>
      <c r="Z1" s="399" t="s">
        <v>992</v>
      </c>
      <c r="AA1" s="123" t="s">
        <v>49</v>
      </c>
      <c r="AB1" s="184" t="s">
        <v>50</v>
      </c>
      <c r="AC1" s="123" t="s">
        <v>993</v>
      </c>
    </row>
    <row r="2" spans="1:46" s="75" customFormat="1" ht="45.75" customHeight="1">
      <c r="A2" s="719">
        <v>1</v>
      </c>
      <c r="B2" s="690" t="s">
        <v>994</v>
      </c>
      <c r="C2" s="719" t="s">
        <v>65</v>
      </c>
      <c r="D2" s="737" t="str">
        <f>VLOOKUP(B2,VN_Emails!B:H,4,0)</f>
        <v>Tiet Nha Phung</v>
      </c>
      <c r="E2" s="737" t="str">
        <f>VLOOKUP(B2,VN_Emails!B:H,7,0)</f>
        <v>Brand Manager (Converse)</v>
      </c>
      <c r="F2" s="738" t="s">
        <v>995</v>
      </c>
      <c r="G2" s="739" t="str">
        <f>SUBSTITUTE(VLOOKUP(B2,VN_Emails!B:H,2,0),"@mapactive.vn","")</f>
        <v>phung.tietnha</v>
      </c>
      <c r="H2" s="740" t="s">
        <v>996</v>
      </c>
      <c r="I2" s="719" t="str">
        <f>J2&amp;" "&amp;K2&amp;" "&amp;L2</f>
        <v>Laptop HP Latitude 7420</v>
      </c>
      <c r="J2" s="719" t="s">
        <v>86</v>
      </c>
      <c r="K2" s="719" t="s">
        <v>58</v>
      </c>
      <c r="L2" s="719" t="s">
        <v>997</v>
      </c>
      <c r="M2" s="719" t="s">
        <v>998</v>
      </c>
      <c r="N2" s="719">
        <v>16</v>
      </c>
      <c r="O2" s="719">
        <v>512</v>
      </c>
      <c r="P2" s="719" t="s">
        <v>79</v>
      </c>
      <c r="Q2" s="719" t="s">
        <v>999</v>
      </c>
      <c r="R2" s="719"/>
      <c r="S2" s="719"/>
      <c r="T2" s="719"/>
      <c r="U2" s="71"/>
      <c r="V2" s="77"/>
      <c r="W2" s="185"/>
      <c r="X2" s="120" t="s">
        <v>1000</v>
      </c>
      <c r="Y2" s="14" t="s">
        <v>64</v>
      </c>
      <c r="Z2" s="14" t="s">
        <v>64</v>
      </c>
      <c r="AA2" s="14" t="s">
        <v>64</v>
      </c>
      <c r="AB2" s="181" t="s">
        <v>64</v>
      </c>
      <c r="AC2" s="74" t="s">
        <v>1001</v>
      </c>
    </row>
    <row r="3" spans="1:46" s="75" customFormat="1" ht="30">
      <c r="A3" s="719">
        <f>A2+1</f>
        <v>2</v>
      </c>
      <c r="B3" s="690" t="s">
        <v>1002</v>
      </c>
      <c r="C3" s="719" t="s">
        <v>65</v>
      </c>
      <c r="D3" s="737" t="str">
        <f>VLOOKUP(B3,VN_Emails!B:H,4,0)</f>
        <v>Doan Thien Ho An</v>
      </c>
      <c r="E3" s="737" t="str">
        <f>VLOOKUP(B3,VN_Emails!B:H,7,0)</f>
        <v>Digital Marketing Manager</v>
      </c>
      <c r="F3" s="738" t="s">
        <v>1003</v>
      </c>
      <c r="G3" s="739" t="str">
        <f>SUBSTITUTE(VLOOKUP(B3,VN_Emails!B:H,2,0),"@mapactive.vn","")</f>
        <v>Doan.An</v>
      </c>
      <c r="H3" s="740" t="s">
        <v>996</v>
      </c>
      <c r="I3" s="719" t="str">
        <f>J3&amp;" "&amp;K3&amp;" "&amp;L3</f>
        <v>Laptop Dell Latitude 7420</v>
      </c>
      <c r="J3" s="719" t="s">
        <v>86</v>
      </c>
      <c r="K3" s="719" t="s">
        <v>133</v>
      </c>
      <c r="L3" s="719" t="s">
        <v>997</v>
      </c>
      <c r="M3" s="719" t="s">
        <v>1004</v>
      </c>
      <c r="N3" s="719">
        <v>16</v>
      </c>
      <c r="O3" s="719">
        <v>512</v>
      </c>
      <c r="P3" s="719" t="s">
        <v>79</v>
      </c>
      <c r="Q3" s="719" t="s">
        <v>999</v>
      </c>
      <c r="R3" s="719"/>
      <c r="S3" s="719"/>
      <c r="T3" s="719"/>
      <c r="U3" s="71"/>
      <c r="V3" s="77" t="s">
        <v>1005</v>
      </c>
      <c r="W3" s="185"/>
      <c r="X3" s="120" t="s">
        <v>1006</v>
      </c>
      <c r="Y3" s="71" t="s">
        <v>1007</v>
      </c>
      <c r="Z3" s="14" t="s">
        <v>64</v>
      </c>
      <c r="AA3" s="14" t="s">
        <v>64</v>
      </c>
      <c r="AB3" s="181" t="s">
        <v>64</v>
      </c>
      <c r="AC3" s="74"/>
    </row>
    <row r="4" spans="1:46" ht="54" customHeight="1">
      <c r="A4" s="719">
        <f>A3+1</f>
        <v>3</v>
      </c>
      <c r="B4" s="690" t="s">
        <v>1008</v>
      </c>
      <c r="C4" s="719" t="s">
        <v>54</v>
      </c>
      <c r="D4" s="737" t="e">
        <f>VLOOKUP(B4,VN_Emails!B:H,4,0)</f>
        <v>#N/A</v>
      </c>
      <c r="E4" s="737" t="e">
        <f>VLOOKUP(B4,VN_Emails!B:H,7,0)</f>
        <v>#N/A</v>
      </c>
      <c r="F4" s="738" t="s">
        <v>1009</v>
      </c>
      <c r="G4" s="740" t="e">
        <v>#N/A</v>
      </c>
      <c r="H4" s="740" t="s">
        <v>996</v>
      </c>
      <c r="I4" s="719" t="str">
        <f>J4&amp;" "&amp;K4&amp;" "&amp;L4</f>
        <v>Laptop Dell Latitude 5420</v>
      </c>
      <c r="J4" s="719" t="s">
        <v>86</v>
      </c>
      <c r="K4" s="719" t="s">
        <v>133</v>
      </c>
      <c r="L4" s="719" t="s">
        <v>1010</v>
      </c>
      <c r="M4" s="719" t="s">
        <v>1011</v>
      </c>
      <c r="N4" s="719">
        <v>16</v>
      </c>
      <c r="O4" s="719">
        <v>512</v>
      </c>
      <c r="P4" s="719" t="s">
        <v>79</v>
      </c>
      <c r="Q4" s="719" t="s">
        <v>876</v>
      </c>
      <c r="R4" s="719"/>
      <c r="S4" s="719"/>
      <c r="T4" s="719" t="s">
        <v>1012</v>
      </c>
      <c r="U4" s="28"/>
      <c r="V4" s="78" t="s">
        <v>1013</v>
      </c>
      <c r="W4" s="191" t="s">
        <v>1014</v>
      </c>
      <c r="X4" s="14" t="s">
        <v>1015</v>
      </c>
      <c r="Y4" s="14" t="s">
        <v>64</v>
      </c>
      <c r="Z4" s="14" t="s">
        <v>64</v>
      </c>
      <c r="AA4" s="14" t="s">
        <v>64</v>
      </c>
      <c r="AB4" s="181" t="s">
        <v>64</v>
      </c>
      <c r="AC4" s="68"/>
    </row>
    <row r="5" spans="1:46" ht="30">
      <c r="A5" s="690">
        <f>A4+1</f>
        <v>4</v>
      </c>
      <c r="B5" s="690" t="s">
        <v>1016</v>
      </c>
      <c r="C5" s="690" t="s">
        <v>65</v>
      </c>
      <c r="D5" s="737" t="str">
        <f>VLOOKUP(B5,VN_Emails!B:H,4,0)</f>
        <v>Nguyen Thi Thuy Mong</v>
      </c>
      <c r="E5" s="737" t="str">
        <f>VLOOKUP(B5,VN_Emails!B:H,7,0)</f>
        <v>Senior Brand Marketing Manager</v>
      </c>
      <c r="F5" s="738" t="s">
        <v>1017</v>
      </c>
      <c r="G5" s="740" t="str">
        <f>SUBSTITUTE(VLOOKUP(B5,VN_Emails!B:H,2,0),"@mapactive.vn","")</f>
        <v>mong.nguyenthithuy</v>
      </c>
      <c r="H5" s="740" t="s">
        <v>996</v>
      </c>
      <c r="I5" s="690" t="str">
        <f>J5&amp;" "&amp;K5&amp;" "&amp;L5</f>
        <v>Laptop Dell Latitude 5430</v>
      </c>
      <c r="J5" s="690" t="s">
        <v>86</v>
      </c>
      <c r="K5" s="690" t="s">
        <v>133</v>
      </c>
      <c r="L5" s="690" t="s">
        <v>1018</v>
      </c>
      <c r="M5" s="719" t="s">
        <v>1019</v>
      </c>
      <c r="N5" s="719">
        <v>8</v>
      </c>
      <c r="O5" s="690">
        <v>512</v>
      </c>
      <c r="P5" s="690" t="s">
        <v>79</v>
      </c>
      <c r="Q5" s="690" t="s">
        <v>89</v>
      </c>
      <c r="R5" s="719"/>
      <c r="S5" s="719"/>
      <c r="T5" s="719"/>
      <c r="U5" s="28"/>
      <c r="V5" s="78" t="s">
        <v>1020</v>
      </c>
      <c r="W5" s="186"/>
      <c r="X5" s="14" t="s">
        <v>1021</v>
      </c>
      <c r="Y5" s="14" t="s">
        <v>64</v>
      </c>
      <c r="Z5" s="14" t="s">
        <v>64</v>
      </c>
      <c r="AA5" s="14" t="s">
        <v>64</v>
      </c>
      <c r="AB5" s="181" t="s">
        <v>64</v>
      </c>
      <c r="AC5" s="68"/>
    </row>
    <row r="6" spans="1:46" ht="30">
      <c r="A6" s="690">
        <f>A5+1</f>
        <v>5</v>
      </c>
      <c r="B6" s="690" t="s">
        <v>1022</v>
      </c>
      <c r="C6" s="690" t="s">
        <v>65</v>
      </c>
      <c r="D6" s="737" t="str">
        <f>VLOOKUP(B6,VN_Emails!B:H,4,0)</f>
        <v>Le Hong Bao Chau</v>
      </c>
      <c r="E6" s="737" t="str">
        <f>VLOOKUP(B6,VN_Emails!B:H,7,0)</f>
        <v>Marketing Admin</v>
      </c>
      <c r="F6" s="738" t="s">
        <v>1023</v>
      </c>
      <c r="G6" s="740" t="str">
        <f>SUBSTITUTE(VLOOKUP(B6,VN_Emails!B:H,2,0),"@mapactive.vn","")</f>
        <v>chau.lehongbao</v>
      </c>
      <c r="H6" s="740" t="s">
        <v>996</v>
      </c>
      <c r="I6" s="690" t="str">
        <f>J6&amp;" "&amp;K6&amp;" "&amp;L6</f>
        <v>Laptop Dell Latitude 3520</v>
      </c>
      <c r="J6" s="690" t="s">
        <v>86</v>
      </c>
      <c r="K6" s="690" t="s">
        <v>133</v>
      </c>
      <c r="L6" s="690" t="s">
        <v>131</v>
      </c>
      <c r="M6" s="719" t="s">
        <v>1024</v>
      </c>
      <c r="N6" s="719">
        <v>8</v>
      </c>
      <c r="O6" s="719">
        <v>256</v>
      </c>
      <c r="P6" s="690" t="s">
        <v>79</v>
      </c>
      <c r="Q6" s="690" t="s">
        <v>876</v>
      </c>
      <c r="R6" s="719"/>
      <c r="S6" s="719"/>
      <c r="T6" s="719"/>
      <c r="U6" s="28"/>
      <c r="V6" s="78" t="s">
        <v>1025</v>
      </c>
      <c r="W6" s="186"/>
      <c r="X6" s="338" t="s">
        <v>1023</v>
      </c>
      <c r="Y6" s="14" t="s">
        <v>64</v>
      </c>
      <c r="Z6" s="14" t="s">
        <v>64</v>
      </c>
      <c r="AA6" s="14" t="s">
        <v>64</v>
      </c>
      <c r="AB6" s="181" t="s">
        <v>64</v>
      </c>
      <c r="AC6" s="68"/>
    </row>
    <row r="7" spans="1:46" s="75" customFormat="1" ht="30">
      <c r="A7" s="719">
        <f>A6+1</f>
        <v>6</v>
      </c>
      <c r="B7" s="690" t="s">
        <v>1026</v>
      </c>
      <c r="C7" s="719" t="s">
        <v>65</v>
      </c>
      <c r="D7" s="737" t="e">
        <f>VLOOKUP(B7,VN_Emails!B:H,4,0)</f>
        <v>#N/A</v>
      </c>
      <c r="E7" s="737" t="e">
        <f>VLOOKUP(B7,VN_Emails!B:H,7,0)</f>
        <v>#N/A</v>
      </c>
      <c r="F7" s="742" t="s">
        <v>1027</v>
      </c>
      <c r="G7" s="739" t="e">
        <f>SUBSTITUTE(VLOOKUP(B7,VN_Emails!B:H,2,0),"@mapactive.vn","")</f>
        <v>#N/A</v>
      </c>
      <c r="H7" s="740" t="s">
        <v>996</v>
      </c>
      <c r="I7" s="719" t="str">
        <f>J7&amp;" "&amp;K7&amp;" "&amp;L7</f>
        <v>Laptop Dell Latitude 3420</v>
      </c>
      <c r="J7" s="719" t="s">
        <v>86</v>
      </c>
      <c r="K7" s="719" t="s">
        <v>133</v>
      </c>
      <c r="L7" s="719" t="s">
        <v>1028</v>
      </c>
      <c r="M7" s="719" t="s">
        <v>1029</v>
      </c>
      <c r="N7" s="719">
        <v>16</v>
      </c>
      <c r="O7" s="719">
        <v>512</v>
      </c>
      <c r="P7" s="719" t="s">
        <v>79</v>
      </c>
      <c r="Q7" s="719" t="s">
        <v>876</v>
      </c>
      <c r="R7" s="719"/>
      <c r="S7" s="719"/>
      <c r="T7" s="719"/>
      <c r="U7" s="71"/>
      <c r="V7" s="77"/>
      <c r="W7" s="185"/>
      <c r="X7" s="120" t="s">
        <v>1030</v>
      </c>
      <c r="Y7" s="14" t="s">
        <v>64</v>
      </c>
      <c r="Z7" s="14" t="s">
        <v>64</v>
      </c>
      <c r="AA7" s="14" t="s">
        <v>64</v>
      </c>
      <c r="AB7" s="181" t="s">
        <v>64</v>
      </c>
      <c r="AC7" s="74"/>
    </row>
    <row r="8" spans="1:46" ht="30">
      <c r="A8" s="690">
        <f>A7+1</f>
        <v>7</v>
      </c>
      <c r="B8" s="690" t="s">
        <v>1031</v>
      </c>
      <c r="C8" s="690" t="s">
        <v>54</v>
      </c>
      <c r="D8" s="737" t="e">
        <f>VLOOKUP(B8,VN_Emails!B:H,4,0)</f>
        <v>#N/A</v>
      </c>
      <c r="E8" s="737" t="e">
        <f>VLOOKUP(B8,VN_Emails!B:H,7,0)</f>
        <v>#N/A</v>
      </c>
      <c r="F8" s="743" t="s">
        <v>1032</v>
      </c>
      <c r="G8" s="740" t="e">
        <f>SUBSTITUTE(VLOOKUP(B8,VN_Emails!B:H,2,0),"@mapactive.vn","")</f>
        <v>#N/A</v>
      </c>
      <c r="H8" s="740" t="s">
        <v>996</v>
      </c>
      <c r="I8" s="690" t="str">
        <f>J8&amp;" "&amp;K8&amp;" "&amp;L8</f>
        <v>Laptop Dell Latitude 3520</v>
      </c>
      <c r="J8" s="690" t="s">
        <v>86</v>
      </c>
      <c r="K8" s="690" t="s">
        <v>133</v>
      </c>
      <c r="L8" s="690" t="s">
        <v>131</v>
      </c>
      <c r="M8" s="719" t="s">
        <v>1033</v>
      </c>
      <c r="N8" s="719">
        <v>8</v>
      </c>
      <c r="O8" s="690">
        <v>512</v>
      </c>
      <c r="P8" s="690" t="s">
        <v>79</v>
      </c>
      <c r="Q8" s="690" t="s">
        <v>1034</v>
      </c>
      <c r="R8" s="744"/>
      <c r="S8" s="744"/>
      <c r="T8" s="744"/>
      <c r="U8" s="72"/>
      <c r="V8" s="77"/>
      <c r="W8" s="779" t="s">
        <v>1014</v>
      </c>
      <c r="X8" s="14" t="s">
        <v>1035</v>
      </c>
      <c r="Y8" s="14" t="s">
        <v>64</v>
      </c>
      <c r="Z8" s="14" t="s">
        <v>64</v>
      </c>
      <c r="AA8" s="14" t="s">
        <v>64</v>
      </c>
      <c r="AB8" s="181" t="s">
        <v>64</v>
      </c>
      <c r="AC8" s="74"/>
      <c r="AD8" s="75"/>
      <c r="AE8" s="75"/>
      <c r="AF8" s="75"/>
      <c r="AG8" s="75"/>
      <c r="AH8" s="75"/>
      <c r="AI8" s="75"/>
      <c r="AJ8" s="75"/>
      <c r="AK8" s="75"/>
      <c r="AL8" s="75"/>
      <c r="AM8" s="75"/>
      <c r="AN8" s="75"/>
      <c r="AO8" s="75"/>
      <c r="AP8" s="75"/>
      <c r="AQ8" s="75"/>
      <c r="AR8" s="75"/>
      <c r="AS8" s="75"/>
      <c r="AT8" s="75"/>
    </row>
    <row r="9" spans="1:46" ht="30">
      <c r="A9" s="719">
        <f>A8+1</f>
        <v>8</v>
      </c>
      <c r="B9" s="690" t="s">
        <v>1036</v>
      </c>
      <c r="C9" s="719" t="s">
        <v>65</v>
      </c>
      <c r="D9" s="737" t="str">
        <f>VLOOKUP(B9,VN_Emails!B:H,4,0)</f>
        <v>Le Cam Linh</v>
      </c>
      <c r="E9" s="737" t="str">
        <f>VLOOKUP(B9,VN_Emails!B:H,7,0)</f>
        <v>Shipping Supervisor</v>
      </c>
      <c r="F9" s="738" t="s">
        <v>1037</v>
      </c>
      <c r="G9" s="739" t="str">
        <f>SUBSTITUTE(VLOOKUP(B9,VN_Emails!B:H,2,0),"@mapactive.vn","")</f>
        <v>linh.lecam</v>
      </c>
      <c r="H9" s="740" t="s">
        <v>996</v>
      </c>
      <c r="I9" s="719" t="str">
        <f>J9&amp;" "&amp;K9&amp;" "&amp;L9</f>
        <v>Laptop Dell Latitude 5430</v>
      </c>
      <c r="J9" s="719" t="s">
        <v>86</v>
      </c>
      <c r="K9" s="719" t="s">
        <v>133</v>
      </c>
      <c r="L9" s="719" t="s">
        <v>1018</v>
      </c>
      <c r="M9" s="719" t="s">
        <v>1038</v>
      </c>
      <c r="N9" s="719">
        <v>20</v>
      </c>
      <c r="O9" s="719">
        <v>512</v>
      </c>
      <c r="P9" s="719" t="s">
        <v>79</v>
      </c>
      <c r="Q9" s="719" t="s">
        <v>89</v>
      </c>
      <c r="R9" s="719"/>
      <c r="S9" s="719"/>
      <c r="T9" s="719"/>
      <c r="U9" s="28"/>
      <c r="V9" s="77"/>
      <c r="W9" s="185"/>
      <c r="X9" s="14" t="s">
        <v>1039</v>
      </c>
      <c r="Y9" s="14" t="s">
        <v>64</v>
      </c>
      <c r="Z9" s="14"/>
      <c r="AA9" s="14" t="s">
        <v>64</v>
      </c>
      <c r="AB9" s="181" t="s">
        <v>64</v>
      </c>
      <c r="AC9" s="74"/>
      <c r="AD9" s="75"/>
      <c r="AE9" s="75"/>
      <c r="AF9" s="75"/>
      <c r="AG9" s="75"/>
      <c r="AH9" s="75"/>
      <c r="AI9" s="75"/>
      <c r="AJ9" s="75"/>
      <c r="AK9" s="75"/>
      <c r="AL9" s="75"/>
      <c r="AM9" s="75"/>
      <c r="AN9" s="75"/>
      <c r="AO9" s="75"/>
      <c r="AP9" s="75"/>
      <c r="AQ9" s="75"/>
      <c r="AR9" s="75"/>
      <c r="AS9" s="75"/>
      <c r="AT9" s="75"/>
    </row>
    <row r="10" spans="1:46" ht="23.25" customHeight="1">
      <c r="A10" s="690">
        <f>A9+1</f>
        <v>9</v>
      </c>
      <c r="B10" s="690" t="s">
        <v>1040</v>
      </c>
      <c r="C10" s="690" t="s">
        <v>54</v>
      </c>
      <c r="D10" s="737" t="e">
        <f>VLOOKUP(B10,VN_Emails!B:H,4,0)</f>
        <v>#N/A</v>
      </c>
      <c r="E10" s="737" t="e">
        <f>VLOOKUP(B10,VN_Emails!B:H,7,0)</f>
        <v>#N/A</v>
      </c>
      <c r="F10" s="738" t="s">
        <v>1041</v>
      </c>
      <c r="G10" s="740" t="e">
        <f>SUBSTITUTE(VLOOKUP(B10,VN_Emails!B:H,2,0),"@mapactive.vn","")</f>
        <v>#N/A</v>
      </c>
      <c r="H10" s="740" t="s">
        <v>996</v>
      </c>
      <c r="I10" s="690" t="str">
        <f>J10&amp;" "&amp;K10&amp;" "&amp;L10</f>
        <v>Laptop Dell Latitude 3520</v>
      </c>
      <c r="J10" s="690" t="s">
        <v>86</v>
      </c>
      <c r="K10" s="690" t="s">
        <v>133</v>
      </c>
      <c r="L10" s="690" t="s">
        <v>131</v>
      </c>
      <c r="M10" s="719" t="s">
        <v>1042</v>
      </c>
      <c r="N10" s="719">
        <v>8</v>
      </c>
      <c r="O10" s="719">
        <v>256</v>
      </c>
      <c r="P10" s="690" t="s">
        <v>79</v>
      </c>
      <c r="Q10" s="690" t="s">
        <v>135</v>
      </c>
      <c r="R10" s="719"/>
      <c r="S10" s="719"/>
      <c r="T10" s="719"/>
      <c r="U10" s="28"/>
      <c r="V10" s="77" t="s">
        <v>1043</v>
      </c>
      <c r="W10" s="185"/>
      <c r="X10" s="14" t="s">
        <v>1044</v>
      </c>
      <c r="Y10" s="14" t="s">
        <v>64</v>
      </c>
      <c r="Z10" s="14" t="s">
        <v>64</v>
      </c>
      <c r="AA10" s="14" t="s">
        <v>64</v>
      </c>
      <c r="AB10" s="181" t="s">
        <v>64</v>
      </c>
      <c r="AC10" s="74"/>
      <c r="AD10" s="75"/>
      <c r="AE10" s="75"/>
      <c r="AF10" s="75"/>
      <c r="AG10" s="75"/>
      <c r="AH10" s="75"/>
      <c r="AI10" s="75"/>
      <c r="AJ10" s="75"/>
      <c r="AK10" s="75"/>
      <c r="AL10" s="75"/>
      <c r="AM10" s="75"/>
      <c r="AN10" s="75"/>
      <c r="AO10" s="75"/>
      <c r="AP10" s="75"/>
      <c r="AQ10" s="75"/>
      <c r="AR10" s="75"/>
      <c r="AS10" s="75"/>
      <c r="AT10" s="75"/>
    </row>
    <row r="11" spans="1:46" ht="60.75" customHeight="1">
      <c r="A11" s="690">
        <f>A10+1</f>
        <v>10</v>
      </c>
      <c r="B11" s="690" t="s">
        <v>1045</v>
      </c>
      <c r="C11" s="690" t="s">
        <v>54</v>
      </c>
      <c r="D11" s="737" t="e">
        <f>VLOOKUP(B11,VN_Emails!B:H,4,0)</f>
        <v>#N/A</v>
      </c>
      <c r="E11" s="737" t="e">
        <f>VLOOKUP(B11,VN_Emails!B:H,7,0)</f>
        <v>#N/A</v>
      </c>
      <c r="F11" s="738" t="s">
        <v>1046</v>
      </c>
      <c r="G11" s="740" t="e">
        <f>SUBSTITUTE(VLOOKUP(B11,VN_Emails!B:H,2,0),"@mapactive.vn","")</f>
        <v>#N/A</v>
      </c>
      <c r="H11" s="740" t="s">
        <v>996</v>
      </c>
      <c r="I11" s="690" t="str">
        <f>J11&amp;" "&amp;K11&amp;" "&amp;L11</f>
        <v>Laptop Dell Latitude 5430</v>
      </c>
      <c r="J11" s="690" t="s">
        <v>86</v>
      </c>
      <c r="K11" s="690" t="s">
        <v>133</v>
      </c>
      <c r="L11" s="690" t="s">
        <v>1018</v>
      </c>
      <c r="M11" s="719" t="s">
        <v>1047</v>
      </c>
      <c r="N11" s="719">
        <v>16</v>
      </c>
      <c r="O11" s="690">
        <v>512</v>
      </c>
      <c r="P11" s="690" t="s">
        <v>79</v>
      </c>
      <c r="Q11" s="690" t="s">
        <v>89</v>
      </c>
      <c r="R11" s="719"/>
      <c r="S11" s="719"/>
      <c r="T11" s="719"/>
      <c r="U11" s="28"/>
      <c r="V11" s="77" t="s">
        <v>1048</v>
      </c>
      <c r="W11" s="185"/>
      <c r="X11" s="14" t="s">
        <v>1049</v>
      </c>
      <c r="Y11" s="14" t="s">
        <v>64</v>
      </c>
      <c r="Z11" s="14" t="s">
        <v>64</v>
      </c>
      <c r="AA11" s="14" t="s">
        <v>64</v>
      </c>
      <c r="AB11" s="181" t="s">
        <v>64</v>
      </c>
      <c r="AC11" s="74"/>
      <c r="AD11" s="75"/>
      <c r="AE11" s="75"/>
      <c r="AF11" s="75"/>
      <c r="AG11" s="75"/>
      <c r="AH11" s="75"/>
      <c r="AI11" s="75"/>
      <c r="AJ11" s="75"/>
      <c r="AK11" s="75"/>
      <c r="AL11" s="75"/>
      <c r="AM11" s="75"/>
      <c r="AN11" s="75"/>
      <c r="AO11" s="75"/>
      <c r="AP11" s="75"/>
      <c r="AQ11" s="75"/>
      <c r="AR11" s="75"/>
      <c r="AS11" s="75"/>
      <c r="AT11" s="75"/>
    </row>
    <row r="12" spans="1:46" ht="69" customHeight="1">
      <c r="A12" s="690">
        <f>A11+1</f>
        <v>11</v>
      </c>
      <c r="B12" s="690" t="s">
        <v>1050</v>
      </c>
      <c r="C12" s="690" t="s">
        <v>54</v>
      </c>
      <c r="D12" s="737" t="e">
        <f>VLOOKUP(B12,VN_Emails!B:H,4,0)</f>
        <v>#N/A</v>
      </c>
      <c r="E12" s="737" t="e">
        <f>VLOOKUP(B12,VN_Emails!B:H,7,0)</f>
        <v>#N/A</v>
      </c>
      <c r="F12" s="18"/>
      <c r="G12" s="740" t="e">
        <f>SUBSTITUTE(VLOOKUP(B12,VN_Emails!B:H,2,0),"@mapactive.vn","")</f>
        <v>#N/A</v>
      </c>
      <c r="H12" s="740" t="s">
        <v>996</v>
      </c>
      <c r="I12" s="690" t="str">
        <f>J12&amp;" "&amp;K12&amp;" "&amp;L12</f>
        <v>Laptop Dell Latitude 3520</v>
      </c>
      <c r="J12" s="690" t="s">
        <v>86</v>
      </c>
      <c r="K12" s="690" t="s">
        <v>133</v>
      </c>
      <c r="L12" s="690" t="s">
        <v>131</v>
      </c>
      <c r="M12" s="719" t="s">
        <v>1051</v>
      </c>
      <c r="N12" s="719">
        <v>8</v>
      </c>
      <c r="O12" s="719">
        <v>256</v>
      </c>
      <c r="P12" s="690" t="s">
        <v>79</v>
      </c>
      <c r="Q12" s="690" t="s">
        <v>135</v>
      </c>
      <c r="R12" s="719"/>
      <c r="S12" s="719"/>
      <c r="T12" s="719" t="s">
        <v>1052</v>
      </c>
      <c r="U12" s="28"/>
      <c r="V12" s="77"/>
      <c r="W12" s="185"/>
      <c r="X12" s="14" t="s">
        <v>1053</v>
      </c>
      <c r="Y12" s="14" t="s">
        <v>64</v>
      </c>
      <c r="Z12" s="14" t="s">
        <v>64</v>
      </c>
      <c r="AA12" s="14" t="s">
        <v>64</v>
      </c>
      <c r="AB12" s="181" t="s">
        <v>64</v>
      </c>
      <c r="AC12" s="74"/>
      <c r="AD12" s="75"/>
      <c r="AE12" s="75"/>
      <c r="AF12" s="75"/>
      <c r="AG12" s="75"/>
      <c r="AH12" s="75"/>
      <c r="AI12" s="75"/>
      <c r="AJ12" s="75"/>
      <c r="AK12" s="75"/>
      <c r="AL12" s="75"/>
      <c r="AM12" s="75"/>
      <c r="AN12" s="75"/>
      <c r="AO12" s="75"/>
      <c r="AP12" s="75"/>
      <c r="AQ12" s="75"/>
      <c r="AR12" s="75"/>
      <c r="AS12" s="75"/>
      <c r="AT12" s="75"/>
    </row>
    <row r="13" spans="1:46" ht="59.25" customHeight="1">
      <c r="A13" s="690">
        <f>A12+1</f>
        <v>12</v>
      </c>
      <c r="B13" s="690" t="s">
        <v>1054</v>
      </c>
      <c r="C13" s="690" t="s">
        <v>65</v>
      </c>
      <c r="D13" s="737" t="str">
        <f>VLOOKUP(B13,VN_Emails!B:H,4,0)</f>
        <v>Tran Thi Yen Nhi</v>
      </c>
      <c r="E13" s="737" t="str">
        <f>VLOOKUP(B13,VN_Emails!B:H,7,0)</f>
        <v>Payroll &amp; Em. Servieces Executive</v>
      </c>
      <c r="F13" s="738" t="s">
        <v>1055</v>
      </c>
      <c r="G13" s="740" t="str">
        <f>SUBSTITUTE(VLOOKUP(B13,VN_Emails!B:H,2,0),"@mapactive.vn","")</f>
        <v>nhi.tranthiyen</v>
      </c>
      <c r="H13" s="740" t="s">
        <v>996</v>
      </c>
      <c r="I13" s="690" t="str">
        <f>J13&amp;" "&amp;K13&amp;" "&amp;L13</f>
        <v>Laptop HP Pavilion 15-eg0xxx</v>
      </c>
      <c r="J13" s="690" t="s">
        <v>86</v>
      </c>
      <c r="K13" s="690" t="s">
        <v>58</v>
      </c>
      <c r="L13" s="690" t="s">
        <v>1056</v>
      </c>
      <c r="M13" s="719" t="s">
        <v>1057</v>
      </c>
      <c r="N13" s="719">
        <v>8</v>
      </c>
      <c r="O13" s="690">
        <v>512</v>
      </c>
      <c r="P13" s="690" t="s">
        <v>79</v>
      </c>
      <c r="Q13" s="690" t="s">
        <v>1058</v>
      </c>
      <c r="R13" s="719"/>
      <c r="S13" s="719"/>
      <c r="T13" s="719"/>
      <c r="U13" s="28"/>
      <c r="V13" s="77"/>
      <c r="W13" s="185" t="s">
        <v>1014</v>
      </c>
      <c r="X13" s="14" t="s">
        <v>1059</v>
      </c>
      <c r="Y13" s="14" t="s">
        <v>64</v>
      </c>
      <c r="Z13" s="14" t="s">
        <v>64</v>
      </c>
      <c r="AA13" s="14" t="s">
        <v>64</v>
      </c>
      <c r="AB13" s="181" t="s">
        <v>64</v>
      </c>
      <c r="AC13" s="74"/>
      <c r="AD13" s="75"/>
      <c r="AE13" s="75"/>
      <c r="AF13" s="75"/>
      <c r="AG13" s="75"/>
      <c r="AH13" s="75"/>
      <c r="AI13" s="75"/>
      <c r="AJ13" s="75"/>
      <c r="AK13" s="75"/>
      <c r="AL13" s="75"/>
      <c r="AM13" s="75"/>
      <c r="AN13" s="75"/>
      <c r="AO13" s="75"/>
      <c r="AP13" s="75"/>
      <c r="AQ13" s="75"/>
      <c r="AR13" s="75"/>
      <c r="AS13" s="75"/>
      <c r="AT13" s="75"/>
    </row>
    <row r="14" spans="1:46" ht="30">
      <c r="A14" s="690">
        <f>A13+1</f>
        <v>13</v>
      </c>
      <c r="B14" s="690" t="s">
        <v>1060</v>
      </c>
      <c r="C14" s="690" t="s">
        <v>65</v>
      </c>
      <c r="D14" s="737" t="str">
        <f>VLOOKUP(B14,VN_Emails!B:H,4,0)</f>
        <v>Ni Ksormahhko</v>
      </c>
      <c r="E14" s="737" t="str">
        <f>VLOOKUP(B14,VN_Emails!B:H,7,0)</f>
        <v>Procurement Executive</v>
      </c>
      <c r="F14" s="738" t="s">
        <v>1061</v>
      </c>
      <c r="G14" s="740" t="str">
        <f>SUBSTITUTE(VLOOKUP(B14,VN_Emails!B:H,2,0),"@mapactive.vn","")</f>
        <v>ni.ksormahhko</v>
      </c>
      <c r="H14" s="740" t="s">
        <v>996</v>
      </c>
      <c r="I14" s="690" t="str">
        <f>J14&amp;" "&amp;K14&amp;" "&amp;L14</f>
        <v>Laptop Dell Latitude 3520</v>
      </c>
      <c r="J14" s="690" t="s">
        <v>86</v>
      </c>
      <c r="K14" s="690" t="s">
        <v>133</v>
      </c>
      <c r="L14" s="690" t="s">
        <v>131</v>
      </c>
      <c r="M14" s="745" t="s">
        <v>1062</v>
      </c>
      <c r="N14" s="719">
        <v>8</v>
      </c>
      <c r="O14" s="719">
        <v>256</v>
      </c>
      <c r="P14" s="690" t="s">
        <v>79</v>
      </c>
      <c r="Q14" s="690" t="s">
        <v>1063</v>
      </c>
      <c r="R14" s="737"/>
      <c r="S14" s="737"/>
      <c r="T14" s="719"/>
      <c r="U14" s="28"/>
      <c r="V14" s="77"/>
      <c r="W14" s="185"/>
      <c r="X14" s="14" t="s">
        <v>1064</v>
      </c>
      <c r="Y14" s="14" t="s">
        <v>64</v>
      </c>
      <c r="Z14" s="14" t="s">
        <v>64</v>
      </c>
      <c r="AA14" s="14" t="s">
        <v>64</v>
      </c>
      <c r="AB14" s="181" t="s">
        <v>64</v>
      </c>
      <c r="AC14" s="74"/>
      <c r="AD14" s="75"/>
      <c r="AE14" s="75"/>
      <c r="AF14" s="75"/>
      <c r="AG14" s="75"/>
      <c r="AH14" s="75"/>
      <c r="AI14" s="75"/>
      <c r="AJ14" s="75"/>
      <c r="AK14" s="75"/>
      <c r="AL14" s="75"/>
      <c r="AM14" s="75"/>
      <c r="AN14" s="75"/>
      <c r="AO14" s="75"/>
      <c r="AP14" s="75"/>
      <c r="AQ14" s="75"/>
      <c r="AR14" s="75"/>
      <c r="AS14" s="75"/>
      <c r="AT14" s="75"/>
    </row>
    <row r="15" spans="1:46" ht="30">
      <c r="A15" s="719">
        <f>A14+1</f>
        <v>14</v>
      </c>
      <c r="B15" s="690" t="s">
        <v>1065</v>
      </c>
      <c r="C15" s="719" t="s">
        <v>65</v>
      </c>
      <c r="D15" s="737" t="str">
        <f>VLOOKUP(B15,VN_Emails!B:H,4,0)</f>
        <v>Huynh Tuan Nhan</v>
      </c>
      <c r="E15" s="737" t="str">
        <f>VLOOKUP(B15,VN_Emails!B:H,7,0)</f>
        <v>SCM Manager</v>
      </c>
      <c r="F15" s="738" t="s">
        <v>1066</v>
      </c>
      <c r="G15" s="740" t="str">
        <f>SUBSTITUTE(VLOOKUP(B15,VN_Emails!B:H,2,0),"@mapactive.vn","")</f>
        <v>nhan.huynhtuan</v>
      </c>
      <c r="H15" s="740" t="s">
        <v>996</v>
      </c>
      <c r="I15" s="719" t="str">
        <f>J15&amp;" "&amp;K15&amp;" "&amp;L15</f>
        <v>Laptop Dell Latitude 5430</v>
      </c>
      <c r="J15" s="719" t="s">
        <v>86</v>
      </c>
      <c r="K15" s="719" t="s">
        <v>133</v>
      </c>
      <c r="L15" s="719" t="s">
        <v>1018</v>
      </c>
      <c r="M15" s="719" t="s">
        <v>1067</v>
      </c>
      <c r="N15" s="719">
        <v>16</v>
      </c>
      <c r="O15" s="719">
        <v>512</v>
      </c>
      <c r="P15" s="719" t="s">
        <v>79</v>
      </c>
      <c r="Q15" s="719" t="s">
        <v>89</v>
      </c>
      <c r="R15" s="719"/>
      <c r="S15" s="719"/>
      <c r="T15" s="719"/>
      <c r="U15" s="28"/>
      <c r="V15" s="77"/>
      <c r="W15" s="185"/>
      <c r="X15" s="14" t="s">
        <v>1068</v>
      </c>
      <c r="Y15" s="14" t="s">
        <v>64</v>
      </c>
      <c r="Z15" s="14" t="s">
        <v>64</v>
      </c>
      <c r="AA15" s="14" t="s">
        <v>64</v>
      </c>
      <c r="AB15" s="181" t="s">
        <v>64</v>
      </c>
      <c r="AC15" s="74"/>
      <c r="AD15" s="75"/>
      <c r="AE15" s="75"/>
      <c r="AF15" s="75"/>
      <c r="AG15" s="75"/>
      <c r="AH15" s="75"/>
      <c r="AI15" s="75"/>
      <c r="AJ15" s="75"/>
      <c r="AK15" s="75"/>
      <c r="AL15" s="75"/>
      <c r="AM15" s="75"/>
      <c r="AN15" s="75"/>
      <c r="AO15" s="75"/>
      <c r="AP15" s="75"/>
      <c r="AQ15" s="75"/>
      <c r="AR15" s="75"/>
      <c r="AS15" s="75"/>
      <c r="AT15" s="75"/>
    </row>
    <row r="16" spans="1:46" ht="30">
      <c r="A16" s="690">
        <f>A15+1</f>
        <v>15</v>
      </c>
      <c r="B16" s="690" t="s">
        <v>1069</v>
      </c>
      <c r="C16" s="690" t="s">
        <v>54</v>
      </c>
      <c r="D16" s="737" t="e">
        <f>VLOOKUP(B16,VN_Emails!B:H,4,0)</f>
        <v>#N/A</v>
      </c>
      <c r="E16" s="737" t="e">
        <f>VLOOKUP(B16,VN_Emails!B:H,7,0)</f>
        <v>#N/A</v>
      </c>
      <c r="F16" s="738" t="s">
        <v>1070</v>
      </c>
      <c r="G16" s="740" t="e">
        <f>SUBSTITUTE(VLOOKUP(B16,VN_Emails!B:H,2,0),"@mapactive.vn","")</f>
        <v>#N/A</v>
      </c>
      <c r="H16" s="740" t="s">
        <v>996</v>
      </c>
      <c r="I16" s="690" t="str">
        <f>J16&amp;" "&amp;K16&amp;" "&amp;L16</f>
        <v>Laptop Dell Latitude 3520</v>
      </c>
      <c r="J16" s="690" t="s">
        <v>86</v>
      </c>
      <c r="K16" s="690" t="s">
        <v>133</v>
      </c>
      <c r="L16" s="690" t="s">
        <v>131</v>
      </c>
      <c r="M16" s="719" t="s">
        <v>1071</v>
      </c>
      <c r="N16" s="719">
        <v>12</v>
      </c>
      <c r="O16" s="719">
        <v>512</v>
      </c>
      <c r="P16" s="690" t="s">
        <v>79</v>
      </c>
      <c r="Q16" s="690" t="s">
        <v>135</v>
      </c>
      <c r="R16" s="719"/>
      <c r="S16" s="719"/>
      <c r="T16" s="719" t="s">
        <v>1072</v>
      </c>
      <c r="U16" s="28"/>
      <c r="V16" s="77"/>
      <c r="W16" s="185"/>
      <c r="X16" s="14" t="s">
        <v>1073</v>
      </c>
      <c r="Y16" s="14" t="s">
        <v>64</v>
      </c>
      <c r="Z16" s="14" t="s">
        <v>64</v>
      </c>
      <c r="AA16" s="14" t="s">
        <v>64</v>
      </c>
      <c r="AB16" s="181" t="s">
        <v>64</v>
      </c>
      <c r="AC16" s="74"/>
      <c r="AD16" s="75"/>
      <c r="AE16" s="75"/>
      <c r="AF16" s="75"/>
      <c r="AG16" s="75"/>
      <c r="AH16" s="75"/>
      <c r="AI16" s="75"/>
      <c r="AJ16" s="75"/>
      <c r="AK16" s="75"/>
      <c r="AL16" s="75"/>
      <c r="AM16" s="75"/>
      <c r="AN16" s="75"/>
      <c r="AO16" s="75"/>
      <c r="AP16" s="75"/>
      <c r="AQ16" s="75"/>
      <c r="AR16" s="75"/>
      <c r="AS16" s="75"/>
      <c r="AT16" s="75"/>
    </row>
    <row r="17" spans="1:46" ht="30">
      <c r="A17" s="719">
        <f>A16+1</f>
        <v>16</v>
      </c>
      <c r="B17" s="690" t="s">
        <v>1074</v>
      </c>
      <c r="C17" s="719" t="s">
        <v>54</v>
      </c>
      <c r="D17" s="737" t="e">
        <f>VLOOKUP(B17,VN_Emails!B:H,4,0)</f>
        <v>#N/A</v>
      </c>
      <c r="E17" s="737" t="e">
        <f>VLOOKUP(B17,VN_Emails!B:H,7,0)</f>
        <v>#N/A</v>
      </c>
      <c r="F17" s="738" t="s">
        <v>1075</v>
      </c>
      <c r="G17" s="740" t="e">
        <f>SUBSTITUTE(VLOOKUP(B17,VN_Emails!B:H,2,0),"@mapactive.vn","")</f>
        <v>#N/A</v>
      </c>
      <c r="H17" s="740" t="s">
        <v>996</v>
      </c>
      <c r="I17" s="719" t="str">
        <f>J17&amp;" "&amp;K17&amp;" "&amp;L17</f>
        <v>Laptop Dell Latitude 3520</v>
      </c>
      <c r="J17" s="719" t="s">
        <v>86</v>
      </c>
      <c r="K17" s="719" t="s">
        <v>133</v>
      </c>
      <c r="L17" s="719" t="s">
        <v>131</v>
      </c>
      <c r="M17" s="719" t="s">
        <v>1076</v>
      </c>
      <c r="N17" s="719">
        <v>16</v>
      </c>
      <c r="O17" s="719">
        <v>256</v>
      </c>
      <c r="P17" s="719" t="s">
        <v>79</v>
      </c>
      <c r="Q17" s="719" t="s">
        <v>135</v>
      </c>
      <c r="R17" s="719"/>
      <c r="S17" s="719"/>
      <c r="T17" s="719"/>
      <c r="U17" s="28"/>
      <c r="V17" s="77"/>
      <c r="W17" s="185"/>
      <c r="X17" s="14" t="s">
        <v>1077</v>
      </c>
      <c r="Y17" s="14" t="s">
        <v>64</v>
      </c>
      <c r="Z17" s="14" t="s">
        <v>64</v>
      </c>
      <c r="AA17" s="14" t="s">
        <v>64</v>
      </c>
      <c r="AB17" s="181" t="s">
        <v>64</v>
      </c>
      <c r="AC17" s="74"/>
      <c r="AD17" s="75"/>
      <c r="AE17" s="75"/>
      <c r="AF17" s="75"/>
      <c r="AG17" s="75"/>
      <c r="AH17" s="75"/>
      <c r="AI17" s="75"/>
      <c r="AJ17" s="75"/>
      <c r="AK17" s="75"/>
      <c r="AL17" s="75"/>
      <c r="AM17" s="75"/>
      <c r="AN17" s="75"/>
      <c r="AO17" s="75"/>
      <c r="AP17" s="75"/>
      <c r="AQ17" s="75"/>
      <c r="AR17" s="75"/>
      <c r="AS17" s="75"/>
      <c r="AT17" s="75"/>
    </row>
    <row r="18" spans="1:46" ht="45.75">
      <c r="A18" s="690">
        <f>A17+1</f>
        <v>17</v>
      </c>
      <c r="B18" s="690" t="s">
        <v>1078</v>
      </c>
      <c r="C18" s="690" t="s">
        <v>65</v>
      </c>
      <c r="D18" s="737" t="str">
        <f>VLOOKUP(B18,VN_Emails!B:H,4,0)</f>
        <v>Dang Thanh Nam</v>
      </c>
      <c r="E18" s="737" t="str">
        <f>VLOOKUP(B18,VN_Emails!B:H,7,0)</f>
        <v>Warehouse and Distribution Supervisor</v>
      </c>
      <c r="F18" s="738" t="s">
        <v>1079</v>
      </c>
      <c r="G18" s="740" t="str">
        <f>SUBSTITUTE(VLOOKUP(B18,VN_Emails!B:H,2,0),"@mapactive.vn","")</f>
        <v>nam.dangthanh</v>
      </c>
      <c r="H18" s="740" t="s">
        <v>996</v>
      </c>
      <c r="I18" s="690" t="str">
        <f>J18&amp;" "&amp;K18&amp;" "&amp;L18</f>
        <v>Laptop Dell Latitude 3520</v>
      </c>
      <c r="J18" s="690" t="s">
        <v>86</v>
      </c>
      <c r="K18" s="690" t="s">
        <v>133</v>
      </c>
      <c r="L18" s="690" t="s">
        <v>131</v>
      </c>
      <c r="M18" s="719" t="s">
        <v>1080</v>
      </c>
      <c r="N18" s="719">
        <v>8</v>
      </c>
      <c r="O18" s="719">
        <v>256</v>
      </c>
      <c r="P18" s="690" t="s">
        <v>79</v>
      </c>
      <c r="Q18" s="690" t="s">
        <v>135</v>
      </c>
      <c r="R18" s="719"/>
      <c r="S18" s="719"/>
      <c r="T18" s="719"/>
      <c r="U18" s="28"/>
      <c r="V18" s="77"/>
      <c r="W18" s="185"/>
      <c r="X18" s="14" t="s">
        <v>1081</v>
      </c>
      <c r="Y18" s="14" t="s">
        <v>64</v>
      </c>
      <c r="Z18" s="14" t="s">
        <v>64</v>
      </c>
      <c r="AA18" s="14" t="s">
        <v>64</v>
      </c>
      <c r="AB18" s="181" t="s">
        <v>64</v>
      </c>
      <c r="AC18" s="74"/>
      <c r="AD18" s="75"/>
      <c r="AE18" s="75"/>
      <c r="AF18" s="75"/>
      <c r="AG18" s="75"/>
      <c r="AH18" s="75"/>
      <c r="AI18" s="75"/>
      <c r="AJ18" s="75"/>
      <c r="AK18" s="75"/>
      <c r="AL18" s="75"/>
      <c r="AM18" s="75"/>
      <c r="AN18" s="75"/>
      <c r="AO18" s="75"/>
      <c r="AP18" s="75"/>
      <c r="AQ18" s="75"/>
      <c r="AR18" s="75"/>
      <c r="AS18" s="75"/>
      <c r="AT18" s="75"/>
    </row>
    <row r="19" spans="1:46" ht="30">
      <c r="A19" s="690">
        <f>A18+1</f>
        <v>18</v>
      </c>
      <c r="B19" s="690" t="s">
        <v>1082</v>
      </c>
      <c r="C19" s="690" t="s">
        <v>54</v>
      </c>
      <c r="D19" s="741"/>
      <c r="E19" s="737" t="e">
        <f>VLOOKUP(B19,VN_Emails!B:H,7,0)</f>
        <v>#N/A</v>
      </c>
      <c r="F19" s="738" t="s">
        <v>1083</v>
      </c>
      <c r="G19" s="740" t="e">
        <f>SUBSTITUTE(VLOOKUP(B19,VN_Emails!B:H,2,0),"@mapactive.vn","")</f>
        <v>#N/A</v>
      </c>
      <c r="H19" s="740" t="s">
        <v>996</v>
      </c>
      <c r="I19" s="690" t="str">
        <f>J19&amp;" "&amp;K19&amp;" "&amp;L19</f>
        <v>Laptop Dell Latitude 3520</v>
      </c>
      <c r="J19" s="690" t="s">
        <v>86</v>
      </c>
      <c r="K19" s="690" t="s">
        <v>133</v>
      </c>
      <c r="L19" s="690" t="s">
        <v>131</v>
      </c>
      <c r="M19" s="719" t="s">
        <v>1084</v>
      </c>
      <c r="N19" s="719">
        <v>8</v>
      </c>
      <c r="O19" s="719">
        <v>256</v>
      </c>
      <c r="P19" s="690" t="s">
        <v>79</v>
      </c>
      <c r="Q19" s="690" t="s">
        <v>135</v>
      </c>
      <c r="R19" s="719"/>
      <c r="S19" s="719"/>
      <c r="T19" s="719"/>
      <c r="U19" s="28"/>
      <c r="V19" s="77"/>
      <c r="W19" s="185"/>
      <c r="X19" s="14" t="s">
        <v>1085</v>
      </c>
      <c r="Y19" s="14" t="s">
        <v>64</v>
      </c>
      <c r="Z19" s="14" t="s">
        <v>64</v>
      </c>
      <c r="AA19" s="14" t="s">
        <v>64</v>
      </c>
      <c r="AB19" s="181" t="s">
        <v>64</v>
      </c>
      <c r="AC19" s="74"/>
      <c r="AD19" s="75"/>
      <c r="AE19" s="75"/>
      <c r="AF19" s="75"/>
      <c r="AG19" s="75"/>
      <c r="AH19" s="75"/>
      <c r="AI19" s="75"/>
      <c r="AJ19" s="75"/>
      <c r="AK19" s="75"/>
      <c r="AL19" s="75"/>
      <c r="AM19" s="75"/>
      <c r="AN19" s="75"/>
      <c r="AO19" s="75"/>
      <c r="AP19" s="75"/>
      <c r="AQ19" s="75"/>
      <c r="AR19" s="75"/>
      <c r="AS19" s="75"/>
      <c r="AT19" s="75"/>
    </row>
    <row r="20" spans="1:46" ht="30">
      <c r="A20" s="719">
        <f>A19+1</f>
        <v>19</v>
      </c>
      <c r="B20" s="690" t="s">
        <v>1086</v>
      </c>
      <c r="C20" s="719" t="s">
        <v>65</v>
      </c>
      <c r="D20" s="737" t="s">
        <v>1087</v>
      </c>
      <c r="E20" s="737" t="str">
        <f>VLOOKUP(B20,VN_Emails!B:H,7,0)</f>
        <v>COE Manager</v>
      </c>
      <c r="F20" s="738" t="s">
        <v>1088</v>
      </c>
      <c r="G20" s="740" t="str">
        <f>SUBSTITUTE(VLOOKUP(B20,VN_Emails!B:H,2,0),"@mapactive.vn","")</f>
        <v>them.quanthanh</v>
      </c>
      <c r="H20" s="740" t="s">
        <v>996</v>
      </c>
      <c r="I20" s="719" t="str">
        <f>J20&amp;" "&amp;K20&amp;" "&amp;L20</f>
        <v>Laptop Dell Latitude 5430</v>
      </c>
      <c r="J20" s="719" t="s">
        <v>86</v>
      </c>
      <c r="K20" s="719" t="s">
        <v>133</v>
      </c>
      <c r="L20" s="719" t="s">
        <v>1018</v>
      </c>
      <c r="M20" s="719" t="s">
        <v>1089</v>
      </c>
      <c r="N20" s="719">
        <v>16</v>
      </c>
      <c r="O20" s="719">
        <v>512</v>
      </c>
      <c r="P20" s="719" t="s">
        <v>79</v>
      </c>
      <c r="Q20" s="719" t="s">
        <v>89</v>
      </c>
      <c r="R20" s="719"/>
      <c r="S20" s="719"/>
      <c r="T20" s="719"/>
      <c r="U20" s="28"/>
      <c r="V20" s="77"/>
      <c r="W20" s="185"/>
      <c r="X20" s="14" t="s">
        <v>1090</v>
      </c>
      <c r="Y20" s="14" t="s">
        <v>64</v>
      </c>
      <c r="Z20" s="14" t="s">
        <v>64</v>
      </c>
      <c r="AA20" s="14" t="s">
        <v>64</v>
      </c>
      <c r="AB20" s="181" t="s">
        <v>64</v>
      </c>
      <c r="AC20" s="74"/>
      <c r="AD20" s="75"/>
      <c r="AE20" s="75"/>
      <c r="AF20" s="75"/>
      <c r="AG20" s="75"/>
      <c r="AH20" s="75"/>
      <c r="AI20" s="75"/>
      <c r="AJ20" s="75"/>
      <c r="AK20" s="75"/>
      <c r="AL20" s="75"/>
      <c r="AM20" s="75"/>
      <c r="AN20" s="75"/>
      <c r="AO20" s="75"/>
      <c r="AP20" s="75"/>
      <c r="AQ20" s="75"/>
      <c r="AR20" s="75"/>
      <c r="AS20" s="75"/>
      <c r="AT20" s="75"/>
    </row>
    <row r="21" spans="1:46" ht="30">
      <c r="A21" s="690">
        <f>A20+1</f>
        <v>20</v>
      </c>
      <c r="B21" s="690" t="s">
        <v>1091</v>
      </c>
      <c r="C21" s="690" t="s">
        <v>65</v>
      </c>
      <c r="D21" s="741" t="str">
        <f>VLOOKUP(B21,VN_Emails!B:H,4,0)</f>
        <v>Nguyen Ngoc Xuan Duyen</v>
      </c>
      <c r="E21" s="737" t="str">
        <f>VLOOKUP(B21,VN_Emails!B:H,7,0)</f>
        <v>COE Officer</v>
      </c>
      <c r="F21" s="738" t="s">
        <v>1092</v>
      </c>
      <c r="G21" s="740" t="str">
        <f>SUBSTITUTE(VLOOKUP(B21,VN_Emails!B:H,2,0),"@mapactive.vn","")</f>
        <v>duyen.nguyenngocxuan</v>
      </c>
      <c r="H21" s="740" t="s">
        <v>996</v>
      </c>
      <c r="I21" s="690" t="str">
        <f>J21&amp;" "&amp;K21&amp;" "&amp;L21</f>
        <v>Laptop Dell Latitude 3520</v>
      </c>
      <c r="J21" s="690" t="s">
        <v>86</v>
      </c>
      <c r="K21" s="690" t="s">
        <v>133</v>
      </c>
      <c r="L21" s="690" t="s">
        <v>131</v>
      </c>
      <c r="M21" s="719" t="s">
        <v>1093</v>
      </c>
      <c r="N21" s="719">
        <v>8</v>
      </c>
      <c r="O21" s="719">
        <v>256</v>
      </c>
      <c r="P21" s="690" t="s">
        <v>79</v>
      </c>
      <c r="Q21" s="690" t="s">
        <v>135</v>
      </c>
      <c r="R21" s="719"/>
      <c r="S21" s="719"/>
      <c r="T21" s="719"/>
      <c r="U21" s="28"/>
      <c r="V21" s="77"/>
      <c r="W21" s="185"/>
      <c r="X21" s="14" t="s">
        <v>1094</v>
      </c>
      <c r="Y21" s="14" t="s">
        <v>64</v>
      </c>
      <c r="Z21" s="14" t="s">
        <v>64</v>
      </c>
      <c r="AA21" s="14" t="s">
        <v>64</v>
      </c>
      <c r="AB21" s="181" t="s">
        <v>64</v>
      </c>
      <c r="AC21" s="74"/>
      <c r="AD21" s="75"/>
      <c r="AE21" s="75"/>
      <c r="AF21" s="75"/>
      <c r="AG21" s="75"/>
      <c r="AH21" s="75"/>
      <c r="AI21" s="75"/>
      <c r="AJ21" s="75"/>
      <c r="AK21" s="75"/>
      <c r="AL21" s="75"/>
      <c r="AM21" s="75"/>
      <c r="AN21" s="75"/>
      <c r="AO21" s="75"/>
      <c r="AP21" s="75"/>
      <c r="AQ21" s="75"/>
      <c r="AR21" s="75"/>
      <c r="AS21" s="75"/>
      <c r="AT21" s="75"/>
    </row>
    <row r="22" spans="1:46" ht="57.75">
      <c r="A22" s="690">
        <f>A21+1</f>
        <v>21</v>
      </c>
      <c r="B22" s="690" t="s">
        <v>1095</v>
      </c>
      <c r="C22" s="690" t="s">
        <v>65</v>
      </c>
      <c r="D22" s="741" t="str">
        <f>VLOOKUP(B22,VN_Emails!B:H,4,0)</f>
        <v>Nguyen Quyet Thang</v>
      </c>
      <c r="E22" s="737" t="str">
        <f>VLOOKUP(B22,VN_Emails!B:H,7,0)</f>
        <v>COE Officer</v>
      </c>
      <c r="F22" s="738" t="s">
        <v>1096</v>
      </c>
      <c r="G22" s="740" t="str">
        <f>SUBSTITUTE(VLOOKUP(B22,VN_Emails!B:H,2,0),"@mapactive.vn","")</f>
        <v>thang.nguyenquyet</v>
      </c>
      <c r="H22" s="740" t="s">
        <v>996</v>
      </c>
      <c r="I22" s="690" t="str">
        <f>J22&amp;" "&amp;K22&amp;" "&amp;L22</f>
        <v>Laptop Dell Latitude 3520</v>
      </c>
      <c r="J22" s="690" t="s">
        <v>86</v>
      </c>
      <c r="K22" s="690" t="s">
        <v>133</v>
      </c>
      <c r="L22" s="690" t="s">
        <v>131</v>
      </c>
      <c r="M22" s="719" t="s">
        <v>1097</v>
      </c>
      <c r="N22" s="719">
        <v>8</v>
      </c>
      <c r="O22" s="719">
        <v>256</v>
      </c>
      <c r="P22" s="690" t="s">
        <v>79</v>
      </c>
      <c r="Q22" s="690" t="s">
        <v>135</v>
      </c>
      <c r="R22" s="719"/>
      <c r="S22" s="719"/>
      <c r="T22" s="719"/>
      <c r="U22" s="28"/>
      <c r="V22" s="77" t="s">
        <v>1098</v>
      </c>
      <c r="W22" s="185"/>
      <c r="X22" s="14" t="s">
        <v>1099</v>
      </c>
      <c r="Y22" s="14" t="s">
        <v>64</v>
      </c>
      <c r="Z22" s="14" t="s">
        <v>64</v>
      </c>
      <c r="AA22" s="14" t="s">
        <v>64</v>
      </c>
      <c r="AB22" s="181" t="s">
        <v>64</v>
      </c>
      <c r="AC22" s="74"/>
      <c r="AD22" s="75"/>
      <c r="AE22" s="75"/>
      <c r="AF22" s="75"/>
      <c r="AG22" s="75"/>
      <c r="AH22" s="75"/>
      <c r="AI22" s="75"/>
      <c r="AJ22" s="75"/>
      <c r="AK22" s="75"/>
      <c r="AL22" s="75"/>
      <c r="AM22" s="75"/>
      <c r="AN22" s="75"/>
      <c r="AO22" s="75"/>
      <c r="AP22" s="75"/>
      <c r="AQ22" s="75"/>
      <c r="AR22" s="75"/>
      <c r="AS22" s="75"/>
      <c r="AT22" s="75"/>
    </row>
    <row r="23" spans="1:46" ht="72">
      <c r="A23" s="690">
        <f>A22+1</f>
        <v>22</v>
      </c>
      <c r="B23" s="690" t="s">
        <v>1100</v>
      </c>
      <c r="C23" s="690" t="s">
        <v>65</v>
      </c>
      <c r="D23" s="741" t="str">
        <f>VLOOKUP(B23,VN_Emails!B:H,4,0)</f>
        <v>Nguyen Bao Du</v>
      </c>
      <c r="E23" s="737" t="str">
        <f>VLOOKUP(B23,VN_Emails!B:H,7,0)</f>
        <v>HR Internship</v>
      </c>
      <c r="F23" s="738" t="s">
        <v>1101</v>
      </c>
      <c r="G23" s="740" t="str">
        <f>SUBSTITUTE(VLOOKUP(B23,VN_Emails!B:H,2,0),"@mapactive.vn","")</f>
        <v>du.nguyenbao</v>
      </c>
      <c r="H23" s="740" t="s">
        <v>996</v>
      </c>
      <c r="I23" s="690" t="str">
        <f>J23&amp;" "&amp;K23&amp;" "&amp;L23</f>
        <v>Laptop Dell Latitude 3520</v>
      </c>
      <c r="J23" s="690" t="s">
        <v>86</v>
      </c>
      <c r="K23" s="690" t="s">
        <v>133</v>
      </c>
      <c r="L23" s="690" t="s">
        <v>131</v>
      </c>
      <c r="M23" s="719" t="s">
        <v>1102</v>
      </c>
      <c r="N23" s="719">
        <v>8</v>
      </c>
      <c r="O23" s="719">
        <v>256</v>
      </c>
      <c r="P23" s="690" t="s">
        <v>79</v>
      </c>
      <c r="Q23" s="690" t="s">
        <v>876</v>
      </c>
      <c r="R23" s="719"/>
      <c r="S23" s="719"/>
      <c r="T23" s="746" t="s">
        <v>1103</v>
      </c>
      <c r="U23" s="321"/>
      <c r="V23" s="77" t="s">
        <v>1104</v>
      </c>
      <c r="W23" s="185" t="s">
        <v>1105</v>
      </c>
      <c r="X23" s="14" t="s">
        <v>1106</v>
      </c>
      <c r="Y23" s="14" t="s">
        <v>64</v>
      </c>
      <c r="Z23" s="14" t="s">
        <v>64</v>
      </c>
      <c r="AA23" s="14" t="s">
        <v>64</v>
      </c>
      <c r="AB23" s="181" t="s">
        <v>64</v>
      </c>
      <c r="AC23" s="14" t="s">
        <v>64</v>
      </c>
      <c r="AD23" s="75"/>
      <c r="AE23" s="75"/>
      <c r="AF23" s="75"/>
      <c r="AG23" s="75"/>
      <c r="AH23" s="75"/>
      <c r="AI23" s="75"/>
      <c r="AJ23" s="75"/>
      <c r="AK23" s="75"/>
      <c r="AL23" s="75"/>
      <c r="AM23" s="75"/>
      <c r="AN23" s="75"/>
      <c r="AO23" s="75"/>
      <c r="AP23" s="75"/>
      <c r="AQ23" s="75"/>
      <c r="AR23" s="75"/>
      <c r="AS23" s="75"/>
      <c r="AT23" s="75"/>
    </row>
    <row r="24" spans="1:46" ht="30">
      <c r="A24" s="690">
        <f>A23+1</f>
        <v>23</v>
      </c>
      <c r="B24" s="690" t="s">
        <v>1107</v>
      </c>
      <c r="C24" s="690" t="s">
        <v>54</v>
      </c>
      <c r="D24" s="741" t="e">
        <f>VLOOKUP(B24,VN_Emails!B:H,4,0)</f>
        <v>#N/A</v>
      </c>
      <c r="E24" s="737" t="e">
        <f>VLOOKUP(B24,VN_Emails!B:H,7,0)</f>
        <v>#N/A</v>
      </c>
      <c r="F24" s="738" t="s">
        <v>1108</v>
      </c>
      <c r="G24" s="740" t="e">
        <f>SUBSTITUTE(VLOOKUP(B24,VN_Emails!B:H,2,0),"@mapactive.vn","")</f>
        <v>#N/A</v>
      </c>
      <c r="H24" s="740" t="s">
        <v>996</v>
      </c>
      <c r="I24" s="690" t="str">
        <f>J24&amp;" "&amp;K24&amp;" "&amp;L24</f>
        <v>Laptop Dell Latitude 3520</v>
      </c>
      <c r="J24" s="690" t="s">
        <v>86</v>
      </c>
      <c r="K24" s="690" t="s">
        <v>133</v>
      </c>
      <c r="L24" s="690" t="s">
        <v>131</v>
      </c>
      <c r="M24" s="719" t="s">
        <v>1109</v>
      </c>
      <c r="N24" s="719">
        <v>8</v>
      </c>
      <c r="O24" s="719">
        <v>256</v>
      </c>
      <c r="P24" s="690" t="s">
        <v>79</v>
      </c>
      <c r="Q24" s="690" t="s">
        <v>135</v>
      </c>
      <c r="R24" s="719"/>
      <c r="S24" s="719"/>
      <c r="T24" s="719"/>
      <c r="U24" s="28"/>
      <c r="V24" s="77"/>
      <c r="W24" s="185"/>
      <c r="X24" s="14" t="s">
        <v>1110</v>
      </c>
      <c r="Y24" s="14" t="s">
        <v>64</v>
      </c>
      <c r="Z24" s="14" t="s">
        <v>64</v>
      </c>
      <c r="AA24" s="14" t="s">
        <v>64</v>
      </c>
      <c r="AB24" s="181" t="s">
        <v>64</v>
      </c>
      <c r="AC24" s="74"/>
      <c r="AD24" s="75"/>
      <c r="AE24" s="75"/>
      <c r="AF24" s="75"/>
      <c r="AG24" s="75"/>
      <c r="AH24" s="75"/>
      <c r="AI24" s="75"/>
      <c r="AJ24" s="75"/>
      <c r="AK24" s="75"/>
      <c r="AL24" s="75"/>
      <c r="AM24" s="75"/>
      <c r="AN24" s="75"/>
      <c r="AO24" s="75"/>
      <c r="AP24" s="75"/>
      <c r="AQ24" s="75"/>
      <c r="AR24" s="75"/>
      <c r="AS24" s="75"/>
      <c r="AT24" s="75"/>
    </row>
    <row r="25" spans="1:46" ht="45.75">
      <c r="A25" s="719">
        <f>A24+1</f>
        <v>24</v>
      </c>
      <c r="B25" s="690" t="s">
        <v>1111</v>
      </c>
      <c r="C25" s="719" t="s">
        <v>65</v>
      </c>
      <c r="D25" s="737" t="str">
        <f>VLOOKUP(B25,VN_Emails!B:H,4,0)</f>
        <v>Luong Huu Quan</v>
      </c>
      <c r="E25" s="737" t="str">
        <f>VLOOKUP(B25,VN_Emails!B:H,7,0)</f>
        <v>IT Infrastructure &amp; Operations Supervisor</v>
      </c>
      <c r="F25" s="738" t="s">
        <v>1112</v>
      </c>
      <c r="G25" s="740" t="str">
        <f>SUBSTITUTE(VLOOKUP(B25,VN_Emails!B:H,2,0),"@mapactive.vn","")</f>
        <v>quan.luonghuu</v>
      </c>
      <c r="H25" s="740" t="s">
        <v>996</v>
      </c>
      <c r="I25" s="719" t="str">
        <f>J25&amp;" "&amp;K25&amp;" "&amp;L25</f>
        <v>Laptop Dell Latitude 5430</v>
      </c>
      <c r="J25" s="719" t="s">
        <v>86</v>
      </c>
      <c r="K25" s="719" t="s">
        <v>133</v>
      </c>
      <c r="L25" s="719" t="s">
        <v>1018</v>
      </c>
      <c r="M25" s="719" t="s">
        <v>1113</v>
      </c>
      <c r="N25" s="719">
        <v>16</v>
      </c>
      <c r="O25" s="719">
        <v>512</v>
      </c>
      <c r="P25" s="719" t="s">
        <v>79</v>
      </c>
      <c r="Q25" s="719" t="s">
        <v>89</v>
      </c>
      <c r="R25" s="719"/>
      <c r="S25" s="719"/>
      <c r="T25" s="719"/>
      <c r="U25" s="28"/>
      <c r="V25" s="77"/>
      <c r="W25" s="185"/>
      <c r="X25" s="14" t="s">
        <v>1114</v>
      </c>
      <c r="Y25" s="14" t="s">
        <v>64</v>
      </c>
      <c r="Z25" s="14" t="s">
        <v>64</v>
      </c>
      <c r="AA25" s="14" t="s">
        <v>64</v>
      </c>
      <c r="AB25" s="181" t="s">
        <v>64</v>
      </c>
      <c r="AC25" s="74"/>
      <c r="AD25" s="75"/>
      <c r="AE25" s="75"/>
      <c r="AF25" s="75"/>
      <c r="AG25" s="75"/>
      <c r="AH25" s="75"/>
      <c r="AI25" s="75"/>
      <c r="AJ25" s="75"/>
      <c r="AK25" s="75"/>
      <c r="AL25" s="75"/>
      <c r="AM25" s="75"/>
      <c r="AN25" s="75"/>
      <c r="AO25" s="75"/>
      <c r="AP25" s="75"/>
      <c r="AQ25" s="75"/>
      <c r="AR25" s="75"/>
      <c r="AS25" s="75"/>
      <c r="AT25" s="75"/>
    </row>
    <row r="26" spans="1:46" s="75" customFormat="1" ht="114.75" customHeight="1">
      <c r="A26" s="719">
        <f>A25+1</f>
        <v>25</v>
      </c>
      <c r="B26" s="690" t="s">
        <v>1115</v>
      </c>
      <c r="C26" s="719" t="s">
        <v>54</v>
      </c>
      <c r="D26" s="737" t="s">
        <v>147</v>
      </c>
      <c r="E26" s="737" t="e">
        <f>VLOOKUP(B26,VN_Emails!B:H,7,0)</f>
        <v>#N/A</v>
      </c>
      <c r="F26" s="738" t="s">
        <v>1116</v>
      </c>
      <c r="G26" s="740" t="e">
        <f>SUBSTITUTE(VLOOKUP(B26,VN_Emails!B:H,2,0),"@mapactive.vn","")</f>
        <v>#N/A</v>
      </c>
      <c r="H26" s="740" t="s">
        <v>996</v>
      </c>
      <c r="I26" s="719" t="str">
        <f>J26&amp;" "&amp;K26&amp;" "&amp;L26</f>
        <v>Laptop HP ProBook 440 G4</v>
      </c>
      <c r="J26" s="719" t="s">
        <v>86</v>
      </c>
      <c r="K26" s="719" t="s">
        <v>58</v>
      </c>
      <c r="L26" s="719" t="s">
        <v>1117</v>
      </c>
      <c r="M26" s="719" t="s">
        <v>1118</v>
      </c>
      <c r="N26" s="719">
        <v>16</v>
      </c>
      <c r="O26" s="719">
        <v>256</v>
      </c>
      <c r="P26" s="719" t="s">
        <v>79</v>
      </c>
      <c r="Q26" s="719" t="s">
        <v>1119</v>
      </c>
      <c r="R26" s="719"/>
      <c r="S26" s="719"/>
      <c r="T26" s="719" t="s">
        <v>1120</v>
      </c>
      <c r="U26" s="71"/>
      <c r="V26" s="77" t="s">
        <v>1121</v>
      </c>
      <c r="W26" s="185"/>
      <c r="X26" s="120" t="s">
        <v>1122</v>
      </c>
      <c r="Y26" s="14" t="s">
        <v>64</v>
      </c>
      <c r="Z26" s="14" t="s">
        <v>64</v>
      </c>
      <c r="AA26" s="14" t="s">
        <v>64</v>
      </c>
      <c r="AB26" s="181" t="s">
        <v>64</v>
      </c>
      <c r="AC26" s="14" t="s">
        <v>64</v>
      </c>
    </row>
    <row r="27" spans="1:46" ht="30">
      <c r="A27" s="690">
        <f>A26+1</f>
        <v>26</v>
      </c>
      <c r="B27" s="690" t="s">
        <v>1123</v>
      </c>
      <c r="C27" s="690" t="s">
        <v>65</v>
      </c>
      <c r="D27" s="741" t="str">
        <f>VLOOKUP(B27,VN_Emails!B:H,4,0)</f>
        <v>Huynh My Danh</v>
      </c>
      <c r="E27" s="737" t="str">
        <f>VLOOKUP(B27,VN_Emails!B:H,7,0)</f>
        <v>FP&amp;A Supervisor</v>
      </c>
      <c r="F27" s="738" t="s">
        <v>1124</v>
      </c>
      <c r="G27" s="740" t="str">
        <f>SUBSTITUTE(VLOOKUP(B27,VN_Emails!B:H,2,0),"@mapactive.vn","")</f>
        <v>danh.huynhmy</v>
      </c>
      <c r="H27" s="740" t="s">
        <v>996</v>
      </c>
      <c r="I27" s="690" t="str">
        <f>J27&amp;" "&amp;K27&amp;" "&amp;L27</f>
        <v>Laptop Dell Latitude 5420</v>
      </c>
      <c r="J27" s="690" t="s">
        <v>86</v>
      </c>
      <c r="K27" s="690" t="s">
        <v>133</v>
      </c>
      <c r="L27" s="690" t="s">
        <v>1010</v>
      </c>
      <c r="M27" s="719" t="s">
        <v>1125</v>
      </c>
      <c r="N27" s="719">
        <v>8</v>
      </c>
      <c r="O27" s="690">
        <v>512</v>
      </c>
      <c r="P27" s="690" t="s">
        <v>79</v>
      </c>
      <c r="Q27" s="690" t="s">
        <v>876</v>
      </c>
      <c r="R27" s="719"/>
      <c r="S27" s="719"/>
      <c r="T27" s="719"/>
      <c r="U27" s="28"/>
      <c r="V27" s="77"/>
      <c r="W27" s="185"/>
      <c r="X27" s="14" t="s">
        <v>1126</v>
      </c>
      <c r="Y27" s="14" t="s">
        <v>64</v>
      </c>
      <c r="Z27" s="14" t="s">
        <v>64</v>
      </c>
      <c r="AA27" s="14" t="s">
        <v>64</v>
      </c>
      <c r="AB27" s="181" t="s">
        <v>64</v>
      </c>
      <c r="AC27" s="74"/>
      <c r="AD27" s="75"/>
      <c r="AE27" s="75"/>
      <c r="AF27" s="75"/>
      <c r="AG27" s="75"/>
      <c r="AH27" s="75"/>
      <c r="AI27" s="75"/>
      <c r="AJ27" s="75"/>
      <c r="AK27" s="75"/>
      <c r="AL27" s="75"/>
      <c r="AM27" s="75"/>
      <c r="AN27" s="75"/>
      <c r="AO27" s="75"/>
      <c r="AP27" s="75"/>
      <c r="AQ27" s="75"/>
      <c r="AR27" s="75"/>
      <c r="AS27" s="75"/>
      <c r="AT27" s="75"/>
    </row>
    <row r="28" spans="1:46" ht="45.75">
      <c r="A28" s="690">
        <f>A27+1</f>
        <v>27</v>
      </c>
      <c r="B28" s="690" t="s">
        <v>1127</v>
      </c>
      <c r="C28" s="690" t="s">
        <v>65</v>
      </c>
      <c r="D28" s="741" t="str">
        <f>VLOOKUP(B28,VN_Emails!B:H,4,0)</f>
        <v>Nghiem Thi Hong Van</v>
      </c>
      <c r="E28" s="737" t="str">
        <f>VLOOKUP(B28,VN_Emails!B:H,7,0)</f>
        <v>Senior Merchandise</v>
      </c>
      <c r="F28" s="738" t="s">
        <v>1128</v>
      </c>
      <c r="G28" s="740" t="str">
        <f>SUBSTITUTE(VLOOKUP(B28,VN_Emails!B:H,2,0),"@mapactive.vn","")</f>
        <v>van.nghiemthihong</v>
      </c>
      <c r="H28" s="740" t="s">
        <v>996</v>
      </c>
      <c r="I28" s="690" t="str">
        <f>J28&amp;" "&amp;K28&amp;" "&amp;L28</f>
        <v>Laptop Dell Latitude 3520</v>
      </c>
      <c r="J28" s="690" t="s">
        <v>86</v>
      </c>
      <c r="K28" s="690" t="s">
        <v>133</v>
      </c>
      <c r="L28" s="690" t="s">
        <v>131</v>
      </c>
      <c r="M28" s="719" t="s">
        <v>1129</v>
      </c>
      <c r="N28" s="719">
        <v>12</v>
      </c>
      <c r="O28" s="719">
        <v>256</v>
      </c>
      <c r="P28" s="690" t="s">
        <v>79</v>
      </c>
      <c r="Q28" s="690" t="s">
        <v>135</v>
      </c>
      <c r="R28" s="719"/>
      <c r="S28" s="719"/>
      <c r="T28" s="747" t="s">
        <v>1130</v>
      </c>
      <c r="U28" s="81"/>
      <c r="V28" s="28" t="s">
        <v>1131</v>
      </c>
      <c r="W28" s="28"/>
      <c r="X28" s="14" t="s">
        <v>1132</v>
      </c>
      <c r="Y28" s="14" t="s">
        <v>64</v>
      </c>
      <c r="Z28" s="14" t="s">
        <v>64</v>
      </c>
      <c r="AA28" s="14" t="s">
        <v>64</v>
      </c>
      <c r="AB28" s="181" t="s">
        <v>64</v>
      </c>
      <c r="AC28" s="74"/>
      <c r="AD28" s="75"/>
      <c r="AE28" s="75"/>
      <c r="AF28" s="75"/>
      <c r="AG28" s="75"/>
      <c r="AH28" s="75"/>
      <c r="AI28" s="75"/>
      <c r="AJ28" s="75"/>
      <c r="AK28" s="75"/>
      <c r="AL28" s="75"/>
      <c r="AM28" s="75"/>
      <c r="AN28" s="75"/>
      <c r="AO28" s="75"/>
      <c r="AP28" s="75"/>
      <c r="AQ28" s="75"/>
      <c r="AR28" s="75"/>
      <c r="AS28" s="75"/>
      <c r="AT28" s="75"/>
    </row>
    <row r="29" spans="1:46" ht="80.25" customHeight="1">
      <c r="A29" s="690">
        <f>A28+1</f>
        <v>28</v>
      </c>
      <c r="B29" s="690" t="s">
        <v>1133</v>
      </c>
      <c r="C29" s="690" t="s">
        <v>65</v>
      </c>
      <c r="D29" s="741" t="s">
        <v>1134</v>
      </c>
      <c r="E29" s="737" t="e">
        <f>VLOOKUP(B29,VN_Emails!B:H,7,0)</f>
        <v>#N/A</v>
      </c>
      <c r="F29" s="741" t="s">
        <v>1134</v>
      </c>
      <c r="G29" s="740" t="e">
        <f>SUBSTITUTE(VLOOKUP(B29,VN_Emails!B:H,2,0),"@mapactive.vn","")</f>
        <v>#N/A</v>
      </c>
      <c r="H29" s="740" t="s">
        <v>996</v>
      </c>
      <c r="I29" s="690" t="str">
        <f>J29&amp;" "&amp;K29&amp;" "&amp;L29</f>
        <v>Laptop Dell Latitude 3520</v>
      </c>
      <c r="J29" s="690" t="s">
        <v>86</v>
      </c>
      <c r="K29" s="690" t="s">
        <v>133</v>
      </c>
      <c r="L29" s="690" t="s">
        <v>131</v>
      </c>
      <c r="M29" s="719" t="s">
        <v>1135</v>
      </c>
      <c r="N29" s="719">
        <v>8</v>
      </c>
      <c r="O29" s="719">
        <v>256</v>
      </c>
      <c r="P29" s="690" t="s">
        <v>79</v>
      </c>
      <c r="Q29" s="690" t="s">
        <v>135</v>
      </c>
      <c r="R29" s="719"/>
      <c r="S29" s="719"/>
      <c r="T29" s="719" t="s">
        <v>1136</v>
      </c>
      <c r="U29" s="28"/>
      <c r="V29" s="77" t="s">
        <v>1137</v>
      </c>
      <c r="W29" s="185"/>
      <c r="X29" s="14" t="s">
        <v>1138</v>
      </c>
      <c r="Y29" s="14" t="s">
        <v>64</v>
      </c>
      <c r="Z29" s="14" t="s">
        <v>64</v>
      </c>
      <c r="AA29" s="14" t="s">
        <v>64</v>
      </c>
      <c r="AB29" s="181" t="s">
        <v>64</v>
      </c>
      <c r="AC29" s="74"/>
      <c r="AD29" s="75"/>
      <c r="AE29" s="75"/>
      <c r="AF29" s="75"/>
      <c r="AG29" s="75"/>
      <c r="AH29" s="75"/>
      <c r="AI29" s="75"/>
      <c r="AJ29" s="75"/>
      <c r="AK29" s="75"/>
      <c r="AL29" s="75"/>
      <c r="AM29" s="75"/>
      <c r="AN29" s="75"/>
      <c r="AO29" s="75"/>
      <c r="AP29" s="75"/>
      <c r="AQ29" s="75"/>
      <c r="AR29" s="75"/>
      <c r="AS29" s="75"/>
      <c r="AT29" s="75"/>
    </row>
    <row r="30" spans="1:46" s="75" customFormat="1" ht="93.75" customHeight="1">
      <c r="A30" s="690">
        <f>A29+1</f>
        <v>29</v>
      </c>
      <c r="B30" s="690" t="s">
        <v>1139</v>
      </c>
      <c r="C30" s="690" t="s">
        <v>54</v>
      </c>
      <c r="D30" s="741"/>
      <c r="E30" s="737" t="e">
        <f>VLOOKUP(B30,VN_Emails!B:H,7,0)</f>
        <v>#N/A</v>
      </c>
      <c r="F30" s="738" t="s">
        <v>1140</v>
      </c>
      <c r="G30" s="740" t="e">
        <f>SUBSTITUTE(VLOOKUP(B30,VN_Emails!B:H,2,0),"@mapactive.vn","")</f>
        <v>#N/A</v>
      </c>
      <c r="H30" s="740" t="s">
        <v>996</v>
      </c>
      <c r="I30" s="690" t="str">
        <f>J30&amp;" "&amp;K30&amp;" "&amp;L30</f>
        <v>Laptop Lenovo Thinkpad X280</v>
      </c>
      <c r="J30" s="690" t="s">
        <v>86</v>
      </c>
      <c r="K30" s="690" t="s">
        <v>279</v>
      </c>
      <c r="L30" s="690" t="s">
        <v>1141</v>
      </c>
      <c r="M30" s="690" t="s">
        <v>1142</v>
      </c>
      <c r="N30" s="690">
        <v>8</v>
      </c>
      <c r="O30" s="719">
        <v>256</v>
      </c>
      <c r="P30" s="690" t="s">
        <v>79</v>
      </c>
      <c r="Q30" s="690" t="s">
        <v>350</v>
      </c>
      <c r="R30" s="690"/>
      <c r="S30" s="690"/>
      <c r="T30" s="748" t="s">
        <v>1143</v>
      </c>
      <c r="U30" s="192"/>
      <c r="V30" s="160" t="s">
        <v>1144</v>
      </c>
      <c r="W30" s="71"/>
      <c r="X30" s="120" t="s">
        <v>1145</v>
      </c>
      <c r="Y30" s="14" t="s">
        <v>64</v>
      </c>
      <c r="Z30" s="14" t="s">
        <v>64</v>
      </c>
      <c r="AA30" s="14" t="s">
        <v>64</v>
      </c>
      <c r="AB30" s="181" t="s">
        <v>64</v>
      </c>
      <c r="AC30" s="74" t="s">
        <v>64</v>
      </c>
    </row>
    <row r="31" spans="1:46" ht="102.75" customHeight="1">
      <c r="A31" s="690">
        <f>A30+1</f>
        <v>30</v>
      </c>
      <c r="B31" s="690" t="s">
        <v>1146</v>
      </c>
      <c r="C31" s="690" t="s">
        <v>54</v>
      </c>
      <c r="D31" s="741" t="e">
        <f>VLOOKUP(B31,VN_Emails!B:H,4,0)</f>
        <v>#N/A</v>
      </c>
      <c r="E31" s="737" t="e">
        <f>VLOOKUP(B31,VN_Emails!B:H,7,0)</f>
        <v>#N/A</v>
      </c>
      <c r="F31" s="738" t="s">
        <v>1147</v>
      </c>
      <c r="G31" s="740" t="e">
        <f>SUBSTITUTE(VLOOKUP(B31,VN_Emails!B:H,2,0),"@mapactive.vn","")</f>
        <v>#N/A</v>
      </c>
      <c r="H31" s="740" t="s">
        <v>996</v>
      </c>
      <c r="I31" s="690" t="str">
        <f>J31&amp;" "&amp;K31&amp;" "&amp;L31</f>
        <v>Laptop Dell Latitude 5420</v>
      </c>
      <c r="J31" s="690" t="s">
        <v>86</v>
      </c>
      <c r="K31" s="690" t="s">
        <v>133</v>
      </c>
      <c r="L31" s="690" t="s">
        <v>1010</v>
      </c>
      <c r="M31" s="719" t="s">
        <v>1148</v>
      </c>
      <c r="N31" s="719">
        <v>8</v>
      </c>
      <c r="O31" s="690">
        <v>512</v>
      </c>
      <c r="P31" s="690" t="s">
        <v>1149</v>
      </c>
      <c r="Q31" s="690" t="s">
        <v>876</v>
      </c>
      <c r="R31" s="719"/>
      <c r="S31" s="719"/>
      <c r="T31" s="749"/>
      <c r="U31" s="121"/>
      <c r="V31" s="161"/>
      <c r="W31" s="187"/>
      <c r="X31" s="14" t="s">
        <v>1150</v>
      </c>
      <c r="Y31" s="14" t="s">
        <v>64</v>
      </c>
      <c r="Z31" s="14" t="s">
        <v>64</v>
      </c>
      <c r="AA31" s="14" t="s">
        <v>64</v>
      </c>
      <c r="AB31" s="181" t="s">
        <v>64</v>
      </c>
      <c r="AC31" s="74"/>
      <c r="AD31" s="75"/>
      <c r="AE31" s="75"/>
      <c r="AF31" s="75"/>
      <c r="AG31" s="75"/>
      <c r="AH31" s="75"/>
      <c r="AI31" s="75"/>
      <c r="AJ31" s="75"/>
      <c r="AK31" s="75"/>
      <c r="AL31" s="75"/>
      <c r="AM31" s="75"/>
      <c r="AN31" s="75"/>
      <c r="AO31" s="75"/>
      <c r="AP31" s="75"/>
      <c r="AQ31" s="75"/>
      <c r="AR31" s="75"/>
      <c r="AS31" s="75"/>
      <c r="AT31" s="75"/>
    </row>
    <row r="32" spans="1:46" ht="123" customHeight="1">
      <c r="A32" s="690">
        <f>A31+1</f>
        <v>31</v>
      </c>
      <c r="B32" s="690" t="s">
        <v>1151</v>
      </c>
      <c r="C32" s="690" t="s">
        <v>65</v>
      </c>
      <c r="D32" s="741" t="str">
        <f>VLOOKUP(B32,VN_Emails!B:H,4,0)</f>
        <v>Vu Xuan Uyen</v>
      </c>
      <c r="E32" s="737" t="str">
        <f>VLOOKUP(B32,VN_Emails!B:H,7,0)</f>
        <v>Marketing officer</v>
      </c>
      <c r="F32" s="738" t="s">
        <v>1152</v>
      </c>
      <c r="G32" s="740" t="str">
        <f>SUBSTITUTE(VLOOKUP(B32,VN_Emails!B:H,2,0),"@mapactive.vn","")</f>
        <v>uyen.vuxuan</v>
      </c>
      <c r="H32" s="740" t="s">
        <v>996</v>
      </c>
      <c r="I32" s="690" t="str">
        <f>J32&amp;" "&amp;K32&amp;" "&amp;L32</f>
        <v>Laptop Dell Latitude 3420</v>
      </c>
      <c r="J32" s="690" t="s">
        <v>86</v>
      </c>
      <c r="K32" s="690" t="s">
        <v>133</v>
      </c>
      <c r="L32" s="690" t="s">
        <v>1028</v>
      </c>
      <c r="M32" s="719" t="s">
        <v>1153</v>
      </c>
      <c r="N32" s="719">
        <v>8</v>
      </c>
      <c r="O32" s="719">
        <v>640</v>
      </c>
      <c r="P32" s="719" t="s">
        <v>1154</v>
      </c>
      <c r="Q32" s="690" t="s">
        <v>876</v>
      </c>
      <c r="R32" s="719"/>
      <c r="S32" s="719"/>
      <c r="T32" s="719" t="s">
        <v>1155</v>
      </c>
      <c r="U32" s="28"/>
      <c r="V32" s="77"/>
      <c r="W32" s="185" t="s">
        <v>1014</v>
      </c>
      <c r="X32" s="14" t="s">
        <v>1156</v>
      </c>
      <c r="Y32" s="14" t="s">
        <v>64</v>
      </c>
      <c r="Z32" s="14" t="s">
        <v>64</v>
      </c>
      <c r="AA32" s="14" t="s">
        <v>64</v>
      </c>
      <c r="AB32" s="181" t="s">
        <v>64</v>
      </c>
      <c r="AC32" s="74"/>
      <c r="AD32" s="75"/>
      <c r="AE32" s="75"/>
      <c r="AF32" s="75"/>
      <c r="AG32" s="75"/>
      <c r="AH32" s="75"/>
      <c r="AI32" s="75"/>
      <c r="AJ32" s="75"/>
      <c r="AK32" s="75"/>
      <c r="AL32" s="75"/>
      <c r="AM32" s="75"/>
      <c r="AN32" s="75"/>
      <c r="AO32" s="75"/>
      <c r="AP32" s="75"/>
      <c r="AQ32" s="75"/>
      <c r="AR32" s="75"/>
      <c r="AS32" s="75"/>
      <c r="AT32" s="75"/>
    </row>
    <row r="33" spans="1:46" ht="136.5" customHeight="1">
      <c r="A33" s="690">
        <f>A32+1</f>
        <v>32</v>
      </c>
      <c r="B33" s="690" t="s">
        <v>1157</v>
      </c>
      <c r="C33" s="690" t="s">
        <v>54</v>
      </c>
      <c r="D33" s="741" t="e">
        <f>VLOOKUP(B33,VN_Emails!B:H,4,0)</f>
        <v>#N/A</v>
      </c>
      <c r="E33" s="737" t="e">
        <f>VLOOKUP(B33,VN_Emails!B:H,7,0)</f>
        <v>#N/A</v>
      </c>
      <c r="F33" s="738" t="s">
        <v>1158</v>
      </c>
      <c r="G33" s="740" t="e">
        <f>SUBSTITUTE(VLOOKUP(B33,VN_Emails!B:H,2,0),"@mapactive.vn","")</f>
        <v>#N/A</v>
      </c>
      <c r="H33" s="740" t="s">
        <v>996</v>
      </c>
      <c r="I33" s="690" t="str">
        <f>J33&amp;" "&amp;K33&amp;" "&amp;L33</f>
        <v>Laptop Dell Latitude 3520</v>
      </c>
      <c r="J33" s="690" t="s">
        <v>86</v>
      </c>
      <c r="K33" s="690" t="s">
        <v>133</v>
      </c>
      <c r="L33" s="690" t="s">
        <v>131</v>
      </c>
      <c r="M33" s="719" t="s">
        <v>1159</v>
      </c>
      <c r="N33" s="719">
        <v>8</v>
      </c>
      <c r="O33" s="719">
        <v>256</v>
      </c>
      <c r="P33" s="690" t="s">
        <v>79</v>
      </c>
      <c r="Q33" s="690" t="s">
        <v>135</v>
      </c>
      <c r="R33" s="719"/>
      <c r="S33" s="719"/>
      <c r="T33" s="719"/>
      <c r="U33" s="28"/>
      <c r="V33" s="77"/>
      <c r="W33" s="185"/>
      <c r="X33" s="14" t="s">
        <v>1160</v>
      </c>
      <c r="Y33" s="14" t="s">
        <v>64</v>
      </c>
      <c r="Z33" s="14" t="s">
        <v>64</v>
      </c>
      <c r="AA33" s="14" t="s">
        <v>64</v>
      </c>
      <c r="AB33" s="181" t="s">
        <v>64</v>
      </c>
      <c r="AC33" s="74"/>
      <c r="AD33" s="75"/>
      <c r="AE33" s="75"/>
      <c r="AF33" s="75"/>
      <c r="AG33" s="75"/>
      <c r="AH33" s="75"/>
      <c r="AI33" s="75"/>
      <c r="AJ33" s="75"/>
      <c r="AK33" s="75"/>
      <c r="AL33" s="75"/>
      <c r="AM33" s="75"/>
      <c r="AN33" s="75"/>
      <c r="AO33" s="75"/>
      <c r="AP33" s="75"/>
      <c r="AQ33" s="75"/>
      <c r="AR33" s="75"/>
      <c r="AS33" s="75"/>
      <c r="AT33" s="75"/>
    </row>
    <row r="34" spans="1:46" ht="105.75" customHeight="1">
      <c r="A34" s="690">
        <f>A33+1</f>
        <v>33</v>
      </c>
      <c r="B34" s="690" t="s">
        <v>1161</v>
      </c>
      <c r="C34" s="690" t="s">
        <v>65</v>
      </c>
      <c r="D34" s="741" t="str">
        <f>VLOOKUP(B34,VN_Emails!B:H,4,0)</f>
        <v>Tran A giang</v>
      </c>
      <c r="E34" s="737" t="str">
        <f>VLOOKUP(B34,VN_Emails!B:H,7,0)</f>
        <v xml:space="preserve">Intern </v>
      </c>
      <c r="F34" s="738" t="s">
        <v>1162</v>
      </c>
      <c r="G34" s="740" t="str">
        <f>SUBSTITUTE(VLOOKUP(B34,VN_Emails!B:H,2,0),"@mapactive.vn","")</f>
        <v>giang.trana</v>
      </c>
      <c r="H34" s="740" t="s">
        <v>996</v>
      </c>
      <c r="I34" s="690" t="str">
        <f>J34&amp;" "&amp;K34&amp;" "&amp;L34</f>
        <v>Laptop Dell Latitude 3520</v>
      </c>
      <c r="J34" s="690" t="s">
        <v>86</v>
      </c>
      <c r="K34" s="690" t="s">
        <v>133</v>
      </c>
      <c r="L34" s="690" t="s">
        <v>131</v>
      </c>
      <c r="M34" s="719" t="s">
        <v>1163</v>
      </c>
      <c r="N34" s="719">
        <v>8</v>
      </c>
      <c r="O34" s="719">
        <v>256</v>
      </c>
      <c r="P34" s="690" t="s">
        <v>79</v>
      </c>
      <c r="Q34" s="690" t="s">
        <v>876</v>
      </c>
      <c r="R34" s="719"/>
      <c r="S34" s="719"/>
      <c r="T34" s="719"/>
      <c r="U34" s="28"/>
      <c r="V34" s="77"/>
      <c r="W34" s="185"/>
      <c r="X34" s="14" t="s">
        <v>1164</v>
      </c>
      <c r="Y34" s="14" t="s">
        <v>64</v>
      </c>
      <c r="Z34" s="14" t="s">
        <v>64</v>
      </c>
      <c r="AA34" s="14" t="s">
        <v>64</v>
      </c>
      <c r="AB34" s="181" t="s">
        <v>64</v>
      </c>
      <c r="AC34" s="74"/>
      <c r="AD34" s="75"/>
      <c r="AE34" s="75"/>
      <c r="AF34" s="75"/>
      <c r="AG34" s="75"/>
      <c r="AH34" s="75"/>
      <c r="AI34" s="75"/>
      <c r="AJ34" s="75"/>
      <c r="AK34" s="75"/>
      <c r="AL34" s="75"/>
      <c r="AM34" s="75"/>
      <c r="AN34" s="75"/>
      <c r="AO34" s="75"/>
      <c r="AP34" s="75"/>
      <c r="AQ34" s="75"/>
      <c r="AR34" s="75"/>
      <c r="AS34" s="75"/>
      <c r="AT34" s="75"/>
    </row>
    <row r="35" spans="1:46" ht="93.75" customHeight="1">
      <c r="A35" s="690">
        <f>A34+1</f>
        <v>34</v>
      </c>
      <c r="B35" s="690" t="s">
        <v>1165</v>
      </c>
      <c r="C35" s="690" t="s">
        <v>65</v>
      </c>
      <c r="D35" s="741" t="str">
        <f>VLOOKUP(B35,VN_Emails!B:H,4,0)</f>
        <v>Dang Thi Thanh Tam</v>
      </c>
      <c r="E35" s="737" t="str">
        <f>VLOOKUP(B35,VN_Emails!B:H,7,0)</f>
        <v>Brand Manager (NB, Crocs)</v>
      </c>
      <c r="F35" s="738" t="s">
        <v>1166</v>
      </c>
      <c r="G35" s="740" t="str">
        <f>SUBSTITUTE(VLOOKUP(B35,VN_Emails!B:H,2,0),"@mapactive.vn","")</f>
        <v>tam.dangthithanh</v>
      </c>
      <c r="H35" s="740" t="s">
        <v>996</v>
      </c>
      <c r="I35" s="690" t="str">
        <f>J35&amp;" "&amp;K35&amp;" "&amp;L35</f>
        <v>Laptop Dell Latitude 5420</v>
      </c>
      <c r="J35" s="690" t="s">
        <v>86</v>
      </c>
      <c r="K35" s="690" t="s">
        <v>133</v>
      </c>
      <c r="L35" s="690" t="s">
        <v>1010</v>
      </c>
      <c r="M35" s="719" t="s">
        <v>1167</v>
      </c>
      <c r="N35" s="719">
        <v>12</v>
      </c>
      <c r="O35" s="690">
        <v>512</v>
      </c>
      <c r="P35" s="690" t="s">
        <v>79</v>
      </c>
      <c r="Q35" s="690" t="s">
        <v>876</v>
      </c>
      <c r="R35" s="719"/>
      <c r="S35" s="719"/>
      <c r="T35" s="719"/>
      <c r="U35" s="28"/>
      <c r="V35" s="77"/>
      <c r="W35" s="185"/>
      <c r="X35" s="14" t="s">
        <v>1168</v>
      </c>
      <c r="Y35" s="14" t="s">
        <v>64</v>
      </c>
      <c r="Z35" s="14" t="s">
        <v>64</v>
      </c>
      <c r="AA35" s="14" t="s">
        <v>64</v>
      </c>
      <c r="AB35" s="181" t="s">
        <v>64</v>
      </c>
      <c r="AC35" s="74"/>
      <c r="AD35" s="75"/>
      <c r="AE35" s="75"/>
      <c r="AF35" s="75"/>
      <c r="AG35" s="75"/>
      <c r="AH35" s="75"/>
      <c r="AI35" s="75"/>
      <c r="AJ35" s="75"/>
      <c r="AK35" s="75"/>
      <c r="AL35" s="75"/>
      <c r="AM35" s="75"/>
      <c r="AN35" s="75"/>
      <c r="AO35" s="75"/>
      <c r="AP35" s="75"/>
      <c r="AQ35" s="75"/>
      <c r="AR35" s="75"/>
      <c r="AS35" s="75"/>
      <c r="AT35" s="75"/>
    </row>
    <row r="36" spans="1:46" ht="102.75" customHeight="1">
      <c r="A36" s="690">
        <f>A35+1</f>
        <v>35</v>
      </c>
      <c r="B36" s="690" t="s">
        <v>1169</v>
      </c>
      <c r="C36" s="690" t="s">
        <v>1170</v>
      </c>
      <c r="D36" s="741" t="s">
        <v>1171</v>
      </c>
      <c r="E36" s="737" t="e">
        <f>VLOOKUP(B36,VN_Emails!B:H,7,0)</f>
        <v>#N/A</v>
      </c>
      <c r="F36" s="738" t="s">
        <v>1172</v>
      </c>
      <c r="G36" s="740" t="e">
        <f>SUBSTITUTE(VLOOKUP(B36,VN_Emails!B:H,2,0),"@mapactive.vn","")</f>
        <v>#N/A</v>
      </c>
      <c r="H36" s="740" t="s">
        <v>996</v>
      </c>
      <c r="I36" s="690" t="str">
        <f>J36&amp;" "&amp;K36&amp;" "&amp;L36</f>
        <v>Laptop Lenovo Ideapad 5-15ITL05(82FG00M5VN)</v>
      </c>
      <c r="J36" s="690" t="s">
        <v>86</v>
      </c>
      <c r="K36" s="690" t="s">
        <v>279</v>
      </c>
      <c r="L36" s="690" t="s">
        <v>1173</v>
      </c>
      <c r="M36" s="719" t="s">
        <v>1174</v>
      </c>
      <c r="N36" s="719">
        <v>8</v>
      </c>
      <c r="O36" s="690">
        <v>512</v>
      </c>
      <c r="P36" s="690" t="s">
        <v>79</v>
      </c>
      <c r="Q36" s="690" t="s">
        <v>1058</v>
      </c>
      <c r="R36" s="719"/>
      <c r="S36" s="719"/>
      <c r="T36" s="750" t="s">
        <v>1175</v>
      </c>
      <c r="U36" s="77"/>
      <c r="V36" s="77" t="s">
        <v>1176</v>
      </c>
      <c r="W36" s="185"/>
      <c r="X36" s="14" t="s">
        <v>1177</v>
      </c>
      <c r="Y36" s="14" t="s">
        <v>64</v>
      </c>
      <c r="Z36" s="14" t="s">
        <v>64</v>
      </c>
      <c r="AA36" s="14" t="s">
        <v>64</v>
      </c>
      <c r="AB36" s="181" t="s">
        <v>64</v>
      </c>
      <c r="AC36" s="74"/>
      <c r="AD36" s="75"/>
      <c r="AE36" s="75"/>
      <c r="AF36" s="75"/>
      <c r="AG36" s="75"/>
      <c r="AH36" s="75"/>
      <c r="AI36" s="75"/>
      <c r="AJ36" s="75"/>
      <c r="AK36" s="75"/>
      <c r="AL36" s="75"/>
      <c r="AM36" s="75"/>
      <c r="AN36" s="75"/>
      <c r="AO36" s="75"/>
      <c r="AP36" s="75"/>
      <c r="AQ36" s="75"/>
      <c r="AR36" s="75"/>
      <c r="AS36" s="75"/>
      <c r="AT36" s="75"/>
    </row>
    <row r="37" spans="1:46" ht="49.5" customHeight="1">
      <c r="A37" s="719">
        <f>A36+1</f>
        <v>36</v>
      </c>
      <c r="B37" s="719" t="s">
        <v>1178</v>
      </c>
      <c r="C37" s="719" t="s">
        <v>65</v>
      </c>
      <c r="D37" s="737" t="str">
        <f>VLOOKUP(B37,VN_Emails!B:H,4,0)</f>
        <v>Nguyen Phuoc Thanh</v>
      </c>
      <c r="E37" s="737" t="str">
        <f>VLOOKUP(B37,VN_Emails!B:H,7,0)</f>
        <v>Merchandiser</v>
      </c>
      <c r="F37" s="738" t="s">
        <v>1179</v>
      </c>
      <c r="G37" s="739" t="str">
        <f>SUBSTITUTE(VLOOKUP(B37,VN_Emails!B:H,2,0),"@mapactive.vn","")</f>
        <v>thanh.nguyenphuoc</v>
      </c>
      <c r="H37" s="739" t="s">
        <v>996</v>
      </c>
      <c r="I37" s="719" t="str">
        <f>J37&amp;" "&amp;K37&amp;" "&amp;L37</f>
        <v>Laptop Dell Latitude 3520</v>
      </c>
      <c r="J37" s="719" t="s">
        <v>86</v>
      </c>
      <c r="K37" s="719" t="s">
        <v>133</v>
      </c>
      <c r="L37" s="719" t="s">
        <v>131</v>
      </c>
      <c r="M37" s="719" t="s">
        <v>1180</v>
      </c>
      <c r="N37" s="719">
        <v>12</v>
      </c>
      <c r="O37" s="719">
        <v>512</v>
      </c>
      <c r="P37" s="719" t="s">
        <v>79</v>
      </c>
      <c r="Q37" s="719" t="s">
        <v>876</v>
      </c>
      <c r="R37" s="719"/>
      <c r="S37" s="719"/>
      <c r="T37" s="719"/>
      <c r="U37" s="28"/>
      <c r="V37" s="78"/>
      <c r="W37" s="186"/>
      <c r="X37" s="14" t="s">
        <v>1181</v>
      </c>
      <c r="Y37" s="14" t="s">
        <v>64</v>
      </c>
      <c r="Z37" s="14" t="s">
        <v>64</v>
      </c>
      <c r="AA37" s="14" t="s">
        <v>64</v>
      </c>
      <c r="AB37" s="181" t="s">
        <v>64</v>
      </c>
      <c r="AC37" s="68"/>
    </row>
    <row r="38" spans="1:46" ht="75" customHeight="1">
      <c r="A38" s="719">
        <f>A37+1</f>
        <v>37</v>
      </c>
      <c r="B38" s="690" t="s">
        <v>1182</v>
      </c>
      <c r="C38" s="719" t="s">
        <v>65</v>
      </c>
      <c r="D38" s="741" t="str">
        <f>VLOOKUP(B38,VN_Emails!B:H,4,0)</f>
        <v>Ngo Thi Bich Tram</v>
      </c>
      <c r="E38" s="737" t="str">
        <f>VLOOKUP(B38,VN_Emails!B:H,7,0)</f>
        <v>Shipping Officer</v>
      </c>
      <c r="F38" s="738" t="s">
        <v>1183</v>
      </c>
      <c r="G38" s="740" t="str">
        <f>SUBSTITUTE(VLOOKUP(B38,VN_Emails!B:H,2,0),"@mapactive.vn","")</f>
        <v>tram.ngothibich</v>
      </c>
      <c r="H38" s="740" t="s">
        <v>996</v>
      </c>
      <c r="I38" s="719" t="str">
        <f>J38&amp;" "&amp;K38&amp;" "&amp;L38</f>
        <v>Laptop Dell Latitude 5430</v>
      </c>
      <c r="J38" s="719" t="s">
        <v>86</v>
      </c>
      <c r="K38" s="719" t="s">
        <v>133</v>
      </c>
      <c r="L38" s="719" t="s">
        <v>1018</v>
      </c>
      <c r="M38" s="719" t="s">
        <v>1184</v>
      </c>
      <c r="N38" s="719">
        <v>16</v>
      </c>
      <c r="O38" s="719">
        <v>512</v>
      </c>
      <c r="P38" s="719" t="s">
        <v>79</v>
      </c>
      <c r="Q38" s="719" t="s">
        <v>89</v>
      </c>
      <c r="R38" s="719"/>
      <c r="S38" s="719"/>
      <c r="T38" s="719"/>
      <c r="U38" s="28"/>
      <c r="V38" s="77" t="s">
        <v>1185</v>
      </c>
      <c r="W38" s="185"/>
      <c r="X38" s="14" t="s">
        <v>1186</v>
      </c>
      <c r="Y38" s="14" t="s">
        <v>64</v>
      </c>
      <c r="Z38" s="14" t="s">
        <v>64</v>
      </c>
      <c r="AA38" s="14" t="s">
        <v>64</v>
      </c>
      <c r="AB38" s="181" t="s">
        <v>64</v>
      </c>
      <c r="AC38" s="74"/>
      <c r="AD38" s="75"/>
      <c r="AE38" s="75"/>
      <c r="AF38" s="75"/>
      <c r="AG38" s="75"/>
      <c r="AH38" s="75"/>
      <c r="AI38" s="75"/>
      <c r="AJ38" s="75"/>
      <c r="AK38" s="75"/>
      <c r="AL38" s="75"/>
      <c r="AM38" s="75"/>
      <c r="AN38" s="75"/>
      <c r="AO38" s="75"/>
      <c r="AP38" s="75"/>
      <c r="AQ38" s="75"/>
      <c r="AR38" s="75"/>
      <c r="AS38" s="75"/>
      <c r="AT38" s="75"/>
    </row>
    <row r="39" spans="1:46" customFormat="1" ht="42.75" customHeight="1">
      <c r="A39" s="690" t="s">
        <v>1187</v>
      </c>
      <c r="B39" s="690" t="s">
        <v>1188</v>
      </c>
      <c r="C39" s="690" t="s">
        <v>65</v>
      </c>
      <c r="D39" s="741" t="str">
        <f>VLOOKUP(B39,VN_Emails!B:H,4,0)</f>
        <v>Le Ngoc Bich Tram</v>
      </c>
      <c r="E39" s="737" t="str">
        <f>VLOOKUP(B39,VN_Emails!B:H,7,0)</f>
        <v>Marketing Supervisor (Foot Locker)</v>
      </c>
      <c r="F39" s="738" t="s">
        <v>1189</v>
      </c>
      <c r="G39" s="740" t="str">
        <f>SUBSTITUTE(VLOOKUP(B39,VN_Emails!B:H,2,0),"@mapactive.vn","")</f>
        <v>tram.lengocbich</v>
      </c>
      <c r="H39" s="740" t="s">
        <v>996</v>
      </c>
      <c r="I39" s="690" t="str">
        <f>J39&amp;" "&amp;K39&amp;" "&amp;L39</f>
        <v>Laptop Dell Latitude 3520</v>
      </c>
      <c r="J39" s="690" t="s">
        <v>86</v>
      </c>
      <c r="K39" s="690" t="s">
        <v>133</v>
      </c>
      <c r="L39" s="690" t="s">
        <v>131</v>
      </c>
      <c r="M39" s="719" t="s">
        <v>1190</v>
      </c>
      <c r="N39" s="719">
        <v>20</v>
      </c>
      <c r="O39" s="719" t="s">
        <v>1191</v>
      </c>
      <c r="P39" s="690" t="s">
        <v>79</v>
      </c>
      <c r="Q39" s="690" t="s">
        <v>876</v>
      </c>
      <c r="R39" s="719"/>
      <c r="S39" s="719"/>
      <c r="T39" s="719"/>
      <c r="U39" s="28"/>
      <c r="V39" s="77" t="s">
        <v>1192</v>
      </c>
      <c r="W39" s="185"/>
      <c r="X39" s="14" t="s">
        <v>1193</v>
      </c>
      <c r="Y39" s="14" t="s">
        <v>64</v>
      </c>
      <c r="Z39" s="14" t="s">
        <v>64</v>
      </c>
      <c r="AA39" s="14" t="s">
        <v>64</v>
      </c>
      <c r="AB39" s="181" t="s">
        <v>64</v>
      </c>
      <c r="AC39" s="74"/>
      <c r="AD39" s="75"/>
      <c r="AE39" s="75"/>
      <c r="AF39" s="75"/>
      <c r="AG39" s="75"/>
      <c r="AH39" s="75"/>
      <c r="AI39" s="75"/>
      <c r="AJ39" s="75"/>
      <c r="AK39" s="75"/>
      <c r="AL39" s="75"/>
      <c r="AM39" s="75"/>
      <c r="AN39" s="75"/>
      <c r="AO39" s="75"/>
      <c r="AP39" s="75"/>
      <c r="AQ39" s="75"/>
      <c r="AR39" s="75"/>
      <c r="AS39" s="75"/>
      <c r="AT39" s="75"/>
    </row>
    <row r="40" spans="1:46" ht="43.5">
      <c r="A40" s="719">
        <f>Asset_Store!A435+1</f>
        <v>413</v>
      </c>
      <c r="B40" s="690" t="s">
        <v>1194</v>
      </c>
      <c r="C40" s="719" t="s">
        <v>65</v>
      </c>
      <c r="D40" s="737" t="str">
        <f>VLOOKUP(B40,VN_Emails!B:H,4,0)</f>
        <v xml:space="preserve">Nguyen Thi Tuyet Nhung </v>
      </c>
      <c r="E40" s="737" t="str">
        <f>VLOOKUP(B40,VN_Emails!B:H,7,0)</f>
        <v>Senior Merchandise</v>
      </c>
      <c r="F40" s="738" t="s">
        <v>1195</v>
      </c>
      <c r="G40" s="740" t="str">
        <f>SUBSTITUTE(VLOOKUP(B40,VN_Emails!B:H,2,0),"@mapactive.vn","")</f>
        <v>nhung.nguyenthituyet</v>
      </c>
      <c r="H40" s="740" t="s">
        <v>996</v>
      </c>
      <c r="I40" s="719" t="str">
        <f>J40&amp;" "&amp;K40&amp;" "&amp;L40</f>
        <v>Laptop Dell Latitude 5430</v>
      </c>
      <c r="J40" s="719" t="s">
        <v>86</v>
      </c>
      <c r="K40" s="719" t="s">
        <v>133</v>
      </c>
      <c r="L40" s="719" t="s">
        <v>1018</v>
      </c>
      <c r="M40" s="719" t="s">
        <v>1196</v>
      </c>
      <c r="N40" s="719">
        <v>16</v>
      </c>
      <c r="O40" s="719">
        <v>512</v>
      </c>
      <c r="P40" s="719" t="s">
        <v>79</v>
      </c>
      <c r="Q40" s="719" t="s">
        <v>89</v>
      </c>
      <c r="R40" s="719"/>
      <c r="S40" s="719"/>
      <c r="T40" s="719" t="s">
        <v>1197</v>
      </c>
      <c r="U40" s="28"/>
      <c r="V40" s="77" t="s">
        <v>1198</v>
      </c>
      <c r="W40" s="185" t="s">
        <v>1105</v>
      </c>
      <c r="X40" s="14" t="s">
        <v>1199</v>
      </c>
      <c r="Y40" s="14" t="s">
        <v>64</v>
      </c>
      <c r="Z40" s="14" t="s">
        <v>64</v>
      </c>
      <c r="AA40" s="14" t="s">
        <v>64</v>
      </c>
      <c r="AB40" s="181" t="s">
        <v>64</v>
      </c>
      <c r="AC40" s="14" t="s">
        <v>64</v>
      </c>
      <c r="AD40" s="75"/>
      <c r="AE40" s="75"/>
      <c r="AF40" s="75"/>
      <c r="AG40" s="75"/>
      <c r="AH40" s="75"/>
      <c r="AI40" s="75"/>
      <c r="AJ40" s="75"/>
      <c r="AK40" s="75"/>
      <c r="AL40" s="75"/>
      <c r="AM40" s="75"/>
      <c r="AN40" s="75"/>
      <c r="AO40" s="75"/>
      <c r="AP40" s="75"/>
      <c r="AQ40" s="75"/>
      <c r="AR40" s="75"/>
      <c r="AS40" s="75"/>
      <c r="AT40" s="75"/>
    </row>
    <row r="41" spans="1:46" ht="30">
      <c r="A41" s="690">
        <f>A40+1</f>
        <v>414</v>
      </c>
      <c r="B41" s="690" t="s">
        <v>1200</v>
      </c>
      <c r="C41" s="690" t="s">
        <v>65</v>
      </c>
      <c r="D41" s="741" t="str">
        <f>VLOOKUP(B41,VN_Emails!B:H,4,0)</f>
        <v>Tran Duy Dien</v>
      </c>
      <c r="E41" s="737" t="str">
        <f>VLOOKUP(B41,VN_Emails!B:H,7,0)</f>
        <v xml:space="preserve">Inventory Control </v>
      </c>
      <c r="F41" s="751" t="s">
        <v>1201</v>
      </c>
      <c r="G41" s="740" t="str">
        <f>SUBSTITUTE(VLOOKUP(B41,VN_Emails!B:H,2,0),"@mapactive.vn","")</f>
        <v>dien.tranduy</v>
      </c>
      <c r="H41" s="740" t="s">
        <v>996</v>
      </c>
      <c r="I41" s="690" t="str">
        <f>J41&amp;" "&amp;K41&amp;" "&amp;L41</f>
        <v>Laptop Dell Latitude 3520</v>
      </c>
      <c r="J41" s="690" t="s">
        <v>86</v>
      </c>
      <c r="K41" s="690" t="s">
        <v>133</v>
      </c>
      <c r="L41" s="690" t="s">
        <v>131</v>
      </c>
      <c r="M41" s="719" t="s">
        <v>1202</v>
      </c>
      <c r="N41" s="719">
        <v>8</v>
      </c>
      <c r="O41" s="719">
        <v>256</v>
      </c>
      <c r="P41" s="690" t="s">
        <v>79</v>
      </c>
      <c r="Q41" s="690" t="s">
        <v>876</v>
      </c>
      <c r="R41" s="719"/>
      <c r="S41" s="719"/>
      <c r="T41" s="741"/>
      <c r="U41" s="74"/>
      <c r="V41" s="78"/>
      <c r="W41" s="186"/>
      <c r="X41" s="120" t="s">
        <v>1203</v>
      </c>
      <c r="Y41" s="14" t="s">
        <v>64</v>
      </c>
      <c r="Z41" s="14" t="s">
        <v>64</v>
      </c>
      <c r="AA41" s="14" t="s">
        <v>64</v>
      </c>
      <c r="AB41" s="181" t="s">
        <v>64</v>
      </c>
      <c r="AC41" s="68"/>
    </row>
    <row r="42" spans="1:46" ht="43.5">
      <c r="A42" s="690">
        <f>A41+1</f>
        <v>415</v>
      </c>
      <c r="B42" s="690" t="s">
        <v>1204</v>
      </c>
      <c r="C42" s="690" t="s">
        <v>65</v>
      </c>
      <c r="D42" s="697" t="s">
        <v>1205</v>
      </c>
      <c r="E42" s="737" t="e">
        <f>VLOOKUP(B42,VN_Emails!B:H,7,0)</f>
        <v>#N/A</v>
      </c>
      <c r="F42" s="738" t="s">
        <v>1206</v>
      </c>
      <c r="G42" s="740" t="e">
        <f>SUBSTITUTE(VLOOKUP(B42,VN_Emails!B:H,2,0),"@mapactive.vn","")</f>
        <v>#N/A</v>
      </c>
      <c r="H42" s="740" t="s">
        <v>996</v>
      </c>
      <c r="I42" s="690" t="str">
        <f>J42&amp;" "&amp;K42&amp;" "&amp;L42</f>
        <v>Laptop Dell Latitude 3520</v>
      </c>
      <c r="J42" s="690" t="s">
        <v>86</v>
      </c>
      <c r="K42" s="690" t="s">
        <v>133</v>
      </c>
      <c r="L42" s="690" t="s">
        <v>131</v>
      </c>
      <c r="M42" s="719" t="s">
        <v>1207</v>
      </c>
      <c r="N42" s="719">
        <v>8</v>
      </c>
      <c r="O42" s="719">
        <v>256</v>
      </c>
      <c r="P42" s="690" t="s">
        <v>79</v>
      </c>
      <c r="Q42" s="690" t="s">
        <v>876</v>
      </c>
      <c r="R42" s="719"/>
      <c r="S42" s="719"/>
      <c r="T42" s="690" t="s">
        <v>1208</v>
      </c>
      <c r="U42" s="71"/>
      <c r="V42" s="137" t="s">
        <v>1209</v>
      </c>
      <c r="W42" s="81"/>
      <c r="X42" s="14" t="s">
        <v>1210</v>
      </c>
      <c r="Y42" s="14" t="s">
        <v>64</v>
      </c>
      <c r="Z42" s="14" t="s">
        <v>64</v>
      </c>
      <c r="AA42" s="14" t="s">
        <v>64</v>
      </c>
      <c r="AB42" s="181" t="s">
        <v>64</v>
      </c>
      <c r="AC42" s="74"/>
      <c r="AD42" s="75"/>
      <c r="AE42" s="75"/>
      <c r="AF42" s="75"/>
      <c r="AG42" s="75"/>
      <c r="AH42" s="75"/>
      <c r="AI42" s="75"/>
      <c r="AJ42" s="75"/>
      <c r="AK42" s="75"/>
      <c r="AL42" s="75"/>
      <c r="AM42" s="75"/>
      <c r="AN42" s="75"/>
      <c r="AO42" s="75"/>
      <c r="AP42" s="75"/>
      <c r="AQ42" s="75"/>
      <c r="AR42" s="75"/>
      <c r="AS42" s="75"/>
      <c r="AT42" s="75"/>
    </row>
    <row r="43" spans="1:46" ht="30">
      <c r="A43" s="690">
        <f>A42+1</f>
        <v>416</v>
      </c>
      <c r="B43" s="690" t="s">
        <v>1211</v>
      </c>
      <c r="C43" s="690" t="s">
        <v>65</v>
      </c>
      <c r="D43" s="741" t="str">
        <f>VLOOKUP(B43,VN_Emails!B:H,4,0)</f>
        <v>Tran Ngoc Doan Trinh</v>
      </c>
      <c r="E43" s="737" t="str">
        <f>VLOOKUP(B43,VN_Emails!B:H,7,0)</f>
        <v>Senior Merchandise</v>
      </c>
      <c r="F43" s="738" t="s">
        <v>1212</v>
      </c>
      <c r="G43" s="740" t="str">
        <f>SUBSTITUTE(VLOOKUP(B43,VN_Emails!B:H,2,0),"@mapactive.vn","")</f>
        <v>trinh.tranngocdoan</v>
      </c>
      <c r="H43" s="740" t="s">
        <v>996</v>
      </c>
      <c r="I43" s="690" t="str">
        <f>J43&amp;" "&amp;K43&amp;" "&amp;L43</f>
        <v>Laptop Dell Latitude 3520</v>
      </c>
      <c r="J43" s="690" t="s">
        <v>86</v>
      </c>
      <c r="K43" s="690" t="s">
        <v>133</v>
      </c>
      <c r="L43" s="690" t="s">
        <v>131</v>
      </c>
      <c r="M43" s="719" t="s">
        <v>1213</v>
      </c>
      <c r="N43" s="719">
        <v>16</v>
      </c>
      <c r="O43" s="719">
        <v>256</v>
      </c>
      <c r="P43" s="690" t="s">
        <v>79</v>
      </c>
      <c r="Q43" s="690" t="s">
        <v>876</v>
      </c>
      <c r="R43" s="719"/>
      <c r="S43" s="719"/>
      <c r="T43" s="719"/>
      <c r="U43" s="28"/>
      <c r="V43" s="77"/>
      <c r="W43" s="185"/>
      <c r="X43" s="14" t="s">
        <v>1214</v>
      </c>
      <c r="Y43" s="14" t="s">
        <v>64</v>
      </c>
      <c r="Z43" s="14" t="s">
        <v>64</v>
      </c>
      <c r="AA43" s="14" t="s">
        <v>64</v>
      </c>
      <c r="AB43" s="181" t="s">
        <v>64</v>
      </c>
      <c r="AC43" s="74"/>
      <c r="AD43" s="75"/>
      <c r="AE43" s="75"/>
      <c r="AF43" s="75"/>
      <c r="AG43" s="75"/>
      <c r="AH43" s="75"/>
      <c r="AI43" s="75"/>
      <c r="AJ43" s="75"/>
      <c r="AK43" s="75"/>
      <c r="AL43" s="75"/>
      <c r="AM43" s="75"/>
      <c r="AN43" s="75"/>
      <c r="AO43" s="75"/>
      <c r="AP43" s="75"/>
      <c r="AQ43" s="75"/>
      <c r="AR43" s="75"/>
      <c r="AS43" s="75"/>
      <c r="AT43" s="75"/>
    </row>
    <row r="44" spans="1:46" ht="60.75">
      <c r="A44" s="690">
        <f>A43+1</f>
        <v>417</v>
      </c>
      <c r="B44" s="690" t="s">
        <v>1215</v>
      </c>
      <c r="C44" s="690" t="s">
        <v>54</v>
      </c>
      <c r="D44" s="741" t="e">
        <f>VLOOKUP(B44,VN_Emails!B:H,4,0)</f>
        <v>#N/A</v>
      </c>
      <c r="E44" s="737" t="e">
        <f>VLOOKUP(B44,VN_Emails!B:H,7,0)</f>
        <v>#N/A</v>
      </c>
      <c r="F44" s="738" t="s">
        <v>1216</v>
      </c>
      <c r="G44" s="740" t="e">
        <f>SUBSTITUTE(VLOOKUP(B44,VN_Emails!B:H,2,0),"@mapactive.vn","")</f>
        <v>#N/A</v>
      </c>
      <c r="H44" s="740" t="s">
        <v>996</v>
      </c>
      <c r="I44" s="690" t="str">
        <f>J44&amp;" "&amp;K44&amp;" "&amp;L44</f>
        <v>Laptop Dell Latitude 7490</v>
      </c>
      <c r="J44" s="690" t="s">
        <v>86</v>
      </c>
      <c r="K44" s="690" t="s">
        <v>133</v>
      </c>
      <c r="L44" s="690" t="s">
        <v>1217</v>
      </c>
      <c r="M44" s="719" t="s">
        <v>1218</v>
      </c>
      <c r="N44" s="719">
        <v>16</v>
      </c>
      <c r="O44" s="719">
        <v>256</v>
      </c>
      <c r="P44" s="690" t="s">
        <v>79</v>
      </c>
      <c r="Q44" s="690" t="s">
        <v>1219</v>
      </c>
      <c r="R44" s="719"/>
      <c r="S44" s="719"/>
      <c r="T44" s="719" t="s">
        <v>1220</v>
      </c>
      <c r="U44" s="28"/>
      <c r="V44" s="77" t="s">
        <v>1221</v>
      </c>
      <c r="W44" s="185"/>
      <c r="X44" s="14" t="s">
        <v>1222</v>
      </c>
      <c r="Y44" s="14" t="s">
        <v>64</v>
      </c>
      <c r="Z44" s="14" t="s">
        <v>64</v>
      </c>
      <c r="AA44" s="14" t="s">
        <v>64</v>
      </c>
      <c r="AB44" s="181" t="s">
        <v>64</v>
      </c>
      <c r="AC44" s="74"/>
      <c r="AD44" s="75"/>
      <c r="AE44" s="75"/>
      <c r="AF44" s="75"/>
      <c r="AG44" s="75"/>
      <c r="AH44" s="75"/>
      <c r="AI44" s="75"/>
      <c r="AJ44" s="75"/>
      <c r="AK44" s="75"/>
      <c r="AL44" s="75"/>
      <c r="AM44" s="75"/>
      <c r="AN44" s="75"/>
      <c r="AO44" s="75"/>
      <c r="AP44" s="75"/>
      <c r="AQ44" s="75"/>
      <c r="AR44" s="75"/>
      <c r="AS44" s="75"/>
      <c r="AT44" s="75"/>
    </row>
    <row r="45" spans="1:46" s="75" customFormat="1" ht="64.5" customHeight="1">
      <c r="A45" s="690">
        <f>A44+1</f>
        <v>418</v>
      </c>
      <c r="B45" s="690" t="s">
        <v>1223</v>
      </c>
      <c r="C45" s="690" t="s">
        <v>54</v>
      </c>
      <c r="D45" s="741" t="e">
        <f>VLOOKUP(B45,VN_Emails!B:H,4,0)</f>
        <v>#N/A</v>
      </c>
      <c r="E45" s="737" t="e">
        <f>VLOOKUP(B45,VN_Emails!B:H,7,0)</f>
        <v>#N/A</v>
      </c>
      <c r="F45" s="738" t="s">
        <v>1224</v>
      </c>
      <c r="G45" s="740" t="e">
        <f>SUBSTITUTE(VLOOKUP(B45,VN_Emails!B:H,2,0),"@mapactive.vn","")</f>
        <v>#N/A</v>
      </c>
      <c r="H45" s="740" t="s">
        <v>996</v>
      </c>
      <c r="I45" s="690" t="str">
        <f>J45&amp;" "&amp;K45&amp;" "&amp;L45</f>
        <v>Laptop HP Pavilion 15-eg0xxx</v>
      </c>
      <c r="J45" s="690" t="s">
        <v>86</v>
      </c>
      <c r="K45" s="690" t="s">
        <v>58</v>
      </c>
      <c r="L45" s="690" t="s">
        <v>1056</v>
      </c>
      <c r="M45" s="690" t="s">
        <v>1225</v>
      </c>
      <c r="N45" s="690">
        <v>12</v>
      </c>
      <c r="O45" s="719">
        <v>256</v>
      </c>
      <c r="P45" s="690" t="s">
        <v>79</v>
      </c>
      <c r="Q45" s="690" t="s">
        <v>870</v>
      </c>
      <c r="R45" s="690"/>
      <c r="S45" s="690"/>
      <c r="T45" s="690" t="s">
        <v>1226</v>
      </c>
      <c r="U45" s="71"/>
      <c r="V45" s="77"/>
      <c r="W45" s="185"/>
      <c r="X45" s="120" t="s">
        <v>1227</v>
      </c>
      <c r="Y45" s="14" t="s">
        <v>64</v>
      </c>
      <c r="Z45" s="14" t="s">
        <v>64</v>
      </c>
      <c r="AA45" s="14" t="s">
        <v>64</v>
      </c>
      <c r="AB45" s="181" t="s">
        <v>64</v>
      </c>
      <c r="AC45" s="74"/>
    </row>
    <row r="46" spans="1:46" ht="30">
      <c r="A46" s="719">
        <f>A45+1</f>
        <v>419</v>
      </c>
      <c r="B46" s="690" t="s">
        <v>1228</v>
      </c>
      <c r="C46" s="719" t="s">
        <v>65</v>
      </c>
      <c r="D46" s="737" t="str">
        <f>VLOOKUP(B46,VN_Emails!B:H,4,0)</f>
        <v xml:space="preserve">Co Anh Tuan </v>
      </c>
      <c r="E46" s="737" t="str">
        <f>VLOOKUP(B46,VN_Emails!B:H,7,0)</f>
        <v>Area Manager (South)</v>
      </c>
      <c r="F46" s="738" t="s">
        <v>1229</v>
      </c>
      <c r="G46" s="740" t="str">
        <f>SUBSTITUTE(VLOOKUP(B46,VN_Emails!B:H,2,0),"@mapactive.vn","")</f>
        <v>Tuan.Coanh</v>
      </c>
      <c r="H46" s="740" t="s">
        <v>996</v>
      </c>
      <c r="I46" s="719" t="str">
        <f>J46&amp;" "&amp;K46&amp;" "&amp;L46</f>
        <v>Laptop Dell Latitude 5420</v>
      </c>
      <c r="J46" s="719" t="s">
        <v>86</v>
      </c>
      <c r="K46" s="719" t="s">
        <v>133</v>
      </c>
      <c r="L46" s="719" t="s">
        <v>1010</v>
      </c>
      <c r="M46" s="719" t="s">
        <v>1230</v>
      </c>
      <c r="N46" s="719">
        <v>16</v>
      </c>
      <c r="O46" s="719">
        <v>512</v>
      </c>
      <c r="P46" s="719" t="s">
        <v>79</v>
      </c>
      <c r="Q46" s="719" t="s">
        <v>876</v>
      </c>
      <c r="R46" s="719"/>
      <c r="S46" s="719"/>
      <c r="T46" s="719" t="s">
        <v>1231</v>
      </c>
      <c r="U46" s="28"/>
      <c r="V46" s="77"/>
      <c r="W46" s="185" t="s">
        <v>1105</v>
      </c>
      <c r="X46" s="14" t="s">
        <v>1232</v>
      </c>
      <c r="Y46" s="71" t="s">
        <v>1007</v>
      </c>
      <c r="Z46" s="14"/>
      <c r="AA46" s="14" t="s">
        <v>64</v>
      </c>
      <c r="AB46" s="181" t="s">
        <v>64</v>
      </c>
      <c r="AC46" s="14" t="s">
        <v>64</v>
      </c>
      <c r="AD46" s="75"/>
      <c r="AE46" s="75"/>
      <c r="AF46" s="75"/>
      <c r="AG46" s="75"/>
      <c r="AH46" s="75"/>
      <c r="AI46" s="75"/>
      <c r="AJ46" s="75"/>
      <c r="AK46" s="75"/>
      <c r="AL46" s="75"/>
      <c r="AM46" s="75"/>
      <c r="AN46" s="75"/>
      <c r="AO46" s="75"/>
      <c r="AP46" s="75"/>
      <c r="AQ46" s="75"/>
      <c r="AR46" s="75"/>
      <c r="AS46" s="75"/>
      <c r="AT46" s="75"/>
    </row>
    <row r="47" spans="1:46" s="75" customFormat="1" ht="60.75">
      <c r="A47" s="690">
        <f>A46+1</f>
        <v>420</v>
      </c>
      <c r="B47" s="690" t="s">
        <v>1233</v>
      </c>
      <c r="C47" s="690" t="s">
        <v>65</v>
      </c>
      <c r="D47" s="741" t="s">
        <v>147</v>
      </c>
      <c r="E47" s="737" t="e">
        <f>VLOOKUP(B47,VN_Emails!B:H,7,0)</f>
        <v>#N/A</v>
      </c>
      <c r="F47" s="738" t="s">
        <v>1234</v>
      </c>
      <c r="G47" s="740" t="e">
        <f>SUBSTITUTE(VLOOKUP(B47,VN_Emails!B:H,2,0),"@mapactive.vn","")</f>
        <v>#N/A</v>
      </c>
      <c r="H47" s="740" t="s">
        <v>996</v>
      </c>
      <c r="I47" s="690" t="str">
        <f>J47&amp;" "&amp;K47&amp;" "&amp;L47</f>
        <v>Laptop Lenovo ThinkPad E490</v>
      </c>
      <c r="J47" s="690" t="s">
        <v>86</v>
      </c>
      <c r="K47" s="690" t="s">
        <v>279</v>
      </c>
      <c r="L47" s="690" t="s">
        <v>1235</v>
      </c>
      <c r="M47" s="690" t="s">
        <v>1236</v>
      </c>
      <c r="N47" s="690">
        <v>8</v>
      </c>
      <c r="O47" s="690">
        <v>500</v>
      </c>
      <c r="P47" s="690" t="s">
        <v>79</v>
      </c>
      <c r="Q47" s="690" t="s">
        <v>485</v>
      </c>
      <c r="R47" s="690"/>
      <c r="S47" s="690"/>
      <c r="T47" s="752" t="s">
        <v>1237</v>
      </c>
      <c r="U47" s="132"/>
      <c r="V47" s="74" t="s">
        <v>1238</v>
      </c>
      <c r="W47" s="71"/>
      <c r="X47" s="120" t="s">
        <v>1239</v>
      </c>
      <c r="Y47" s="14" t="s">
        <v>64</v>
      </c>
      <c r="Z47" s="14" t="s">
        <v>64</v>
      </c>
      <c r="AA47" s="14" t="s">
        <v>64</v>
      </c>
      <c r="AB47" s="181" t="s">
        <v>64</v>
      </c>
      <c r="AC47" s="74"/>
    </row>
    <row r="48" spans="1:46" ht="30">
      <c r="A48" s="690">
        <f>A47+1</f>
        <v>421</v>
      </c>
      <c r="B48" s="690" t="s">
        <v>1240</v>
      </c>
      <c r="C48" s="719" t="s">
        <v>54</v>
      </c>
      <c r="D48" s="741" t="e">
        <f>VLOOKUP(B48,VN_Emails!B:H,4,0)</f>
        <v>#N/A</v>
      </c>
      <c r="E48" s="737" t="e">
        <f>VLOOKUP(B48,VN_Emails!B:H,7,0)</f>
        <v>#N/A</v>
      </c>
      <c r="F48" s="738" t="s">
        <v>1241</v>
      </c>
      <c r="G48" s="740" t="e">
        <f>SUBSTITUTE(VLOOKUP(B48,VN_Emails!B:H,2,0),"@mapactive.vn","")</f>
        <v>#N/A</v>
      </c>
      <c r="H48" s="740" t="s">
        <v>996</v>
      </c>
      <c r="I48" s="690" t="str">
        <f>J48&amp;" "&amp;K48&amp;" "&amp;L48</f>
        <v>Laptop Dell Latitude 3520</v>
      </c>
      <c r="J48" s="690" t="s">
        <v>86</v>
      </c>
      <c r="K48" s="690" t="s">
        <v>133</v>
      </c>
      <c r="L48" s="690" t="s">
        <v>131</v>
      </c>
      <c r="M48" s="719" t="s">
        <v>1242</v>
      </c>
      <c r="N48" s="719">
        <v>8</v>
      </c>
      <c r="O48" s="719">
        <v>256</v>
      </c>
      <c r="P48" s="690" t="s">
        <v>79</v>
      </c>
      <c r="Q48" s="690" t="s">
        <v>876</v>
      </c>
      <c r="R48" s="719"/>
      <c r="S48" s="719"/>
      <c r="T48" s="719"/>
      <c r="U48" s="28"/>
      <c r="V48" s="77"/>
      <c r="W48" s="185"/>
      <c r="X48" s="14" t="s">
        <v>1243</v>
      </c>
      <c r="Y48" s="14" t="s">
        <v>64</v>
      </c>
      <c r="Z48" s="14" t="s">
        <v>64</v>
      </c>
      <c r="AA48" s="14" t="s">
        <v>64</v>
      </c>
      <c r="AB48" s="181" t="s">
        <v>64</v>
      </c>
      <c r="AC48" s="74"/>
      <c r="AD48" s="75"/>
      <c r="AE48" s="75"/>
      <c r="AF48" s="75"/>
      <c r="AG48" s="75"/>
      <c r="AH48" s="75"/>
      <c r="AI48" s="75"/>
      <c r="AJ48" s="75"/>
      <c r="AK48" s="75"/>
      <c r="AL48" s="75"/>
      <c r="AM48" s="75"/>
      <c r="AN48" s="75"/>
      <c r="AO48" s="75"/>
      <c r="AP48" s="75"/>
      <c r="AQ48" s="75"/>
      <c r="AR48" s="75"/>
      <c r="AS48" s="75"/>
      <c r="AT48" s="75"/>
    </row>
    <row r="49" spans="1:46" ht="88.5" customHeight="1">
      <c r="A49" s="719">
        <f>A48+1</f>
        <v>422</v>
      </c>
      <c r="B49" s="690" t="s">
        <v>1244</v>
      </c>
      <c r="C49" s="719" t="s">
        <v>65</v>
      </c>
      <c r="D49" s="737" t="str">
        <f>VLOOKUP(B49,VN_Emails!B:H,4,0)</f>
        <v>Duong Quang Minh Tuan</v>
      </c>
      <c r="E49" s="737" t="str">
        <f>VLOOKUP(B49,VN_Emails!B:H,7,0)</f>
        <v>Area Manager (South)</v>
      </c>
      <c r="F49" s="738" t="s">
        <v>1245</v>
      </c>
      <c r="G49" s="740" t="str">
        <f>SUBSTITUTE(VLOOKUP(B49,VN_Emails!B:H,2,0),"@mapactive.vn","")</f>
        <v>tuan.duongquangminh</v>
      </c>
      <c r="H49" s="740" t="s">
        <v>996</v>
      </c>
      <c r="I49" s="719" t="str">
        <f>J49&amp;" "&amp;K49&amp;" "&amp;L49</f>
        <v>Laptop Dell Latitude 5430</v>
      </c>
      <c r="J49" s="719" t="s">
        <v>86</v>
      </c>
      <c r="K49" s="719" t="s">
        <v>133</v>
      </c>
      <c r="L49" s="719" t="s">
        <v>1018</v>
      </c>
      <c r="M49" s="719" t="s">
        <v>1246</v>
      </c>
      <c r="N49" s="719">
        <v>16</v>
      </c>
      <c r="O49" s="719">
        <v>512</v>
      </c>
      <c r="P49" s="719" t="s">
        <v>79</v>
      </c>
      <c r="Q49" s="719" t="s">
        <v>89</v>
      </c>
      <c r="R49" s="719"/>
      <c r="S49" s="719"/>
      <c r="T49" s="753" t="s">
        <v>1247</v>
      </c>
      <c r="U49" s="320"/>
      <c r="V49" s="77" t="s">
        <v>1248</v>
      </c>
      <c r="W49" s="185"/>
      <c r="X49" s="14" t="s">
        <v>1249</v>
      </c>
      <c r="Y49" s="14" t="s">
        <v>64</v>
      </c>
      <c r="Z49" s="14" t="s">
        <v>64</v>
      </c>
      <c r="AA49" s="14" t="s">
        <v>64</v>
      </c>
      <c r="AB49" s="181" t="s">
        <v>64</v>
      </c>
      <c r="AC49" s="74"/>
      <c r="AD49" s="75"/>
      <c r="AE49" s="75"/>
      <c r="AF49" s="75"/>
      <c r="AG49" s="75"/>
      <c r="AH49" s="75"/>
      <c r="AI49" s="75"/>
      <c r="AJ49" s="75"/>
      <c r="AK49" s="75"/>
      <c r="AL49" s="75"/>
      <c r="AM49" s="75"/>
      <c r="AN49" s="75"/>
      <c r="AO49" s="75"/>
      <c r="AP49" s="75"/>
      <c r="AQ49" s="75"/>
      <c r="AR49" s="75"/>
      <c r="AS49" s="75"/>
      <c r="AT49" s="75"/>
    </row>
    <row r="50" spans="1:46" ht="30">
      <c r="A50" s="719">
        <f>A49+1</f>
        <v>423</v>
      </c>
      <c r="B50" s="690" t="s">
        <v>1250</v>
      </c>
      <c r="C50" s="719" t="s">
        <v>65</v>
      </c>
      <c r="D50" s="737" t="str">
        <f>VLOOKUP(B50,VN_Emails!B:H,4,0)</f>
        <v>Nguyen Thi Huynh Mai</v>
      </c>
      <c r="E50" s="737" t="str">
        <f>VLOOKUP(B50,VN_Emails!B:H,7,0)</f>
        <v>Finance, Tax &amp; Accounting Manager</v>
      </c>
      <c r="F50" s="738" t="s">
        <v>1251</v>
      </c>
      <c r="G50" s="740" t="str">
        <f>SUBSTITUTE(VLOOKUP(B50,VN_Emails!B:H,2,0),"@mapactive.vn","")</f>
        <v>mai.nguyenthihuynh</v>
      </c>
      <c r="H50" s="740" t="s">
        <v>996</v>
      </c>
      <c r="I50" s="719" t="str">
        <f>J50&amp;" "&amp;K50&amp;" "&amp;L50</f>
        <v>Laptop Dell Latitude 5420</v>
      </c>
      <c r="J50" s="719" t="s">
        <v>86</v>
      </c>
      <c r="K50" s="719" t="s">
        <v>133</v>
      </c>
      <c r="L50" s="719" t="s">
        <v>1010</v>
      </c>
      <c r="M50" s="719" t="s">
        <v>1252</v>
      </c>
      <c r="N50" s="719">
        <v>16</v>
      </c>
      <c r="O50" s="719">
        <v>1024</v>
      </c>
      <c r="P50" s="719" t="s">
        <v>79</v>
      </c>
      <c r="Q50" s="719" t="s">
        <v>876</v>
      </c>
      <c r="R50" s="719"/>
      <c r="S50" s="719"/>
      <c r="T50" s="753" t="s">
        <v>1253</v>
      </c>
      <c r="U50" s="320"/>
      <c r="V50" s="74" t="s">
        <v>1254</v>
      </c>
      <c r="W50" s="185"/>
      <c r="X50" s="14" t="s">
        <v>1255</v>
      </c>
      <c r="Y50" s="14" t="s">
        <v>64</v>
      </c>
      <c r="Z50" s="14" t="s">
        <v>64</v>
      </c>
      <c r="AA50" s="14" t="s">
        <v>64</v>
      </c>
      <c r="AB50" s="181" t="s">
        <v>64</v>
      </c>
      <c r="AC50" s="74"/>
      <c r="AD50" s="75"/>
      <c r="AE50" s="75"/>
      <c r="AF50" s="75"/>
      <c r="AG50" s="75"/>
      <c r="AH50" s="75"/>
      <c r="AI50" s="75"/>
      <c r="AJ50" s="75"/>
      <c r="AK50" s="75"/>
      <c r="AL50" s="75"/>
      <c r="AM50" s="75"/>
      <c r="AN50" s="75"/>
      <c r="AO50" s="75"/>
      <c r="AP50" s="75"/>
      <c r="AQ50" s="75"/>
      <c r="AR50" s="75"/>
      <c r="AS50" s="75"/>
      <c r="AT50" s="75"/>
    </row>
    <row r="51" spans="1:46" ht="30">
      <c r="A51" s="719">
        <f>A50+1</f>
        <v>424</v>
      </c>
      <c r="B51" s="690" t="s">
        <v>1256</v>
      </c>
      <c r="C51" s="719" t="s">
        <v>65</v>
      </c>
      <c r="D51" s="737" t="str">
        <f>VLOOKUP(B51,VN_Emails!B:H,4,0)</f>
        <v>Vo Thi Hoang Anh Xuan</v>
      </c>
      <c r="E51" s="737" t="s">
        <v>1257</v>
      </c>
      <c r="F51" s="738" t="s">
        <v>1258</v>
      </c>
      <c r="G51" s="740" t="str">
        <f>SUBSTITUTE(VLOOKUP(B51,VN_Emails!B:H,2,0),"@mapactive.vn","")</f>
        <v>xuan.vothihoanganh</v>
      </c>
      <c r="H51" s="740" t="s">
        <v>996</v>
      </c>
      <c r="I51" s="719" t="str">
        <f>J51&amp;" "&amp;K51&amp;" "&amp;L51</f>
        <v>Laptop Dell Latitude 5430</v>
      </c>
      <c r="J51" s="719" t="s">
        <v>86</v>
      </c>
      <c r="K51" s="719" t="s">
        <v>133</v>
      </c>
      <c r="L51" s="719" t="s">
        <v>1018</v>
      </c>
      <c r="M51" s="719" t="s">
        <v>1259</v>
      </c>
      <c r="N51" s="719">
        <v>16</v>
      </c>
      <c r="O51" s="719">
        <v>512</v>
      </c>
      <c r="P51" s="719" t="s">
        <v>79</v>
      </c>
      <c r="Q51" s="719" t="s">
        <v>89</v>
      </c>
      <c r="R51" s="719"/>
      <c r="S51" s="719"/>
      <c r="T51" s="719"/>
      <c r="U51" s="28"/>
      <c r="V51" s="78" t="s">
        <v>1260</v>
      </c>
      <c r="W51" s="186"/>
      <c r="X51" s="120" t="s">
        <v>1261</v>
      </c>
      <c r="Y51" s="14" t="s">
        <v>64</v>
      </c>
      <c r="Z51" s="14"/>
      <c r="AA51" s="14" t="s">
        <v>64</v>
      </c>
      <c r="AB51" s="181" t="s">
        <v>64</v>
      </c>
      <c r="AC51" s="68"/>
      <c r="AD51" s="75"/>
      <c r="AE51" s="75"/>
      <c r="AF51" s="75"/>
      <c r="AG51" s="75"/>
      <c r="AH51" s="75"/>
      <c r="AI51" s="75"/>
      <c r="AJ51" s="75"/>
      <c r="AK51" s="75"/>
      <c r="AL51" s="75"/>
      <c r="AM51" s="75"/>
      <c r="AN51" s="75"/>
      <c r="AO51" s="75"/>
      <c r="AP51" s="75"/>
      <c r="AQ51" s="75"/>
      <c r="AR51" s="75"/>
      <c r="AS51" s="75"/>
      <c r="AT51" s="75"/>
    </row>
    <row r="52" spans="1:46" ht="30">
      <c r="A52" s="719">
        <f>A51+1</f>
        <v>425</v>
      </c>
      <c r="B52" s="690" t="s">
        <v>1262</v>
      </c>
      <c r="C52" s="719" t="s">
        <v>65</v>
      </c>
      <c r="D52" s="737" t="str">
        <f>VLOOKUP(B52,VN_Emails!B:H,4,0)</f>
        <v>Vo Lam Minh Dat</v>
      </c>
      <c r="E52" s="737" t="str">
        <f>VLOOKUP(B52,VN_Emails!B:H,7,0)</f>
        <v xml:space="preserve">Area Manager (South) </v>
      </c>
      <c r="F52" s="738" t="s">
        <v>1263</v>
      </c>
      <c r="G52" s="740" t="str">
        <f>SUBSTITUTE(VLOOKUP(B52,VN_Emails!B:H,2,0),"@mapactive.vn","")</f>
        <v>dat.volamminh</v>
      </c>
      <c r="H52" s="740" t="s">
        <v>996</v>
      </c>
      <c r="I52" s="719" t="str">
        <f>J52&amp;" "&amp;K52&amp;" "&amp;L52</f>
        <v>Laptop Dell Latitude 5430</v>
      </c>
      <c r="J52" s="719" t="s">
        <v>86</v>
      </c>
      <c r="K52" s="719" t="s">
        <v>133</v>
      </c>
      <c r="L52" s="719" t="s">
        <v>1018</v>
      </c>
      <c r="M52" s="719" t="s">
        <v>1264</v>
      </c>
      <c r="N52" s="719">
        <v>16</v>
      </c>
      <c r="O52" s="719">
        <v>512</v>
      </c>
      <c r="P52" s="719" t="s">
        <v>79</v>
      </c>
      <c r="Q52" s="719" t="s">
        <v>89</v>
      </c>
      <c r="R52" s="719"/>
      <c r="S52" s="719"/>
      <c r="T52" s="719"/>
      <c r="U52" s="28"/>
      <c r="V52" s="77"/>
      <c r="W52" s="185"/>
      <c r="X52" s="14" t="s">
        <v>1265</v>
      </c>
      <c r="Y52" s="14" t="s">
        <v>64</v>
      </c>
      <c r="Z52" s="14"/>
      <c r="AA52" s="14" t="s">
        <v>64</v>
      </c>
      <c r="AB52" s="181" t="s">
        <v>64</v>
      </c>
      <c r="AC52" s="74"/>
      <c r="AD52" s="75"/>
      <c r="AE52" s="75"/>
      <c r="AF52" s="75"/>
      <c r="AG52" s="75"/>
      <c r="AH52" s="75"/>
      <c r="AI52" s="75"/>
      <c r="AJ52" s="75"/>
      <c r="AK52" s="75"/>
      <c r="AL52" s="75"/>
      <c r="AM52" s="75"/>
      <c r="AN52" s="75"/>
      <c r="AO52" s="75"/>
      <c r="AP52" s="75"/>
      <c r="AQ52" s="75"/>
      <c r="AR52" s="75"/>
      <c r="AS52" s="75"/>
      <c r="AT52" s="75"/>
    </row>
    <row r="53" spans="1:46" ht="30">
      <c r="A53" s="690">
        <f>A52+1</f>
        <v>426</v>
      </c>
      <c r="B53" s="690" t="s">
        <v>1266</v>
      </c>
      <c r="C53" s="690" t="s">
        <v>54</v>
      </c>
      <c r="D53" s="741" t="e">
        <f>VLOOKUP(B53,VN_Emails!B:H,4,0)</f>
        <v>#N/A</v>
      </c>
      <c r="E53" s="737" t="e">
        <f>VLOOKUP(B53,VN_Emails!B:H,7,0)</f>
        <v>#N/A</v>
      </c>
      <c r="F53" s="738" t="s">
        <v>1267</v>
      </c>
      <c r="G53" s="740" t="e">
        <f>SUBSTITUTE(VLOOKUP(B53,VN_Emails!B:H,2,0),"@mapactive.vn","")</f>
        <v>#N/A</v>
      </c>
      <c r="H53" s="740" t="s">
        <v>996</v>
      </c>
      <c r="I53" s="690" t="str">
        <f>J53&amp;" "&amp;K53&amp;" "&amp;L53</f>
        <v>Laptop Dell Latitude 3520</v>
      </c>
      <c r="J53" s="690" t="s">
        <v>86</v>
      </c>
      <c r="K53" s="690" t="s">
        <v>133</v>
      </c>
      <c r="L53" s="690" t="s">
        <v>131</v>
      </c>
      <c r="M53" s="719" t="s">
        <v>1268</v>
      </c>
      <c r="N53" s="719">
        <v>8</v>
      </c>
      <c r="O53" s="719">
        <v>256</v>
      </c>
      <c r="P53" s="690" t="s">
        <v>79</v>
      </c>
      <c r="Q53" s="690" t="s">
        <v>135</v>
      </c>
      <c r="R53" s="719"/>
      <c r="S53" s="719"/>
      <c r="T53" s="719"/>
      <c r="U53" s="28"/>
      <c r="V53" s="77"/>
      <c r="W53" s="185"/>
      <c r="X53" s="14" t="s">
        <v>1269</v>
      </c>
      <c r="Y53" s="14" t="s">
        <v>64</v>
      </c>
      <c r="Z53" s="14"/>
      <c r="AA53" s="14" t="s">
        <v>64</v>
      </c>
      <c r="AB53" s="181" t="s">
        <v>64</v>
      </c>
      <c r="AC53" s="74"/>
      <c r="AD53" s="75"/>
      <c r="AE53" s="75"/>
      <c r="AF53" s="75"/>
      <c r="AG53" s="75"/>
      <c r="AH53" s="75"/>
      <c r="AI53" s="75"/>
      <c r="AJ53" s="75"/>
      <c r="AK53" s="75"/>
      <c r="AL53" s="75"/>
      <c r="AM53" s="75"/>
      <c r="AN53" s="75"/>
      <c r="AO53" s="75"/>
      <c r="AP53" s="75"/>
      <c r="AQ53" s="75"/>
      <c r="AR53" s="75"/>
      <c r="AS53" s="75"/>
      <c r="AT53" s="75"/>
    </row>
    <row r="54" spans="1:46" ht="30">
      <c r="A54" s="690">
        <f>A53+1</f>
        <v>427</v>
      </c>
      <c r="B54" s="690" t="s">
        <v>1270</v>
      </c>
      <c r="C54" s="690" t="s">
        <v>54</v>
      </c>
      <c r="D54" s="741" t="e">
        <f>VLOOKUP(B54,VN_Emails!B:H,4,0)</f>
        <v>#N/A</v>
      </c>
      <c r="E54" s="737" t="e">
        <f>VLOOKUP(B54,VN_Emails!B:H,7,0)</f>
        <v>#N/A</v>
      </c>
      <c r="F54" s="738" t="s">
        <v>1271</v>
      </c>
      <c r="G54" s="740" t="e">
        <f>SUBSTITUTE(VLOOKUP(B54,VN_Emails!B:H,2,0),"@mapactive.vn","")</f>
        <v>#N/A</v>
      </c>
      <c r="H54" s="740" t="s">
        <v>996</v>
      </c>
      <c r="I54" s="690" t="str">
        <f>J54&amp;" "&amp;K54&amp;" "&amp;L54</f>
        <v>Laptop Dell Latitude 3520</v>
      </c>
      <c r="J54" s="690" t="s">
        <v>86</v>
      </c>
      <c r="K54" s="690" t="s">
        <v>133</v>
      </c>
      <c r="L54" s="690" t="s">
        <v>131</v>
      </c>
      <c r="M54" s="719" t="s">
        <v>1272</v>
      </c>
      <c r="N54" s="719">
        <v>8</v>
      </c>
      <c r="O54" s="719">
        <v>256</v>
      </c>
      <c r="P54" s="690" t="s">
        <v>79</v>
      </c>
      <c r="Q54" s="690" t="s">
        <v>135</v>
      </c>
      <c r="R54" s="719"/>
      <c r="S54" s="719"/>
      <c r="T54" s="719"/>
      <c r="U54" s="28"/>
      <c r="V54" s="77"/>
      <c r="W54" s="185"/>
      <c r="X54" s="14" t="s">
        <v>1273</v>
      </c>
      <c r="Y54" s="14" t="s">
        <v>64</v>
      </c>
      <c r="Z54" s="14"/>
      <c r="AA54" s="14" t="s">
        <v>64</v>
      </c>
      <c r="AB54" s="181" t="s">
        <v>64</v>
      </c>
      <c r="AC54" s="74"/>
      <c r="AD54" s="75"/>
      <c r="AE54" s="75"/>
      <c r="AF54" s="75"/>
      <c r="AG54" s="75"/>
      <c r="AH54" s="75"/>
      <c r="AI54" s="75"/>
      <c r="AJ54" s="75"/>
      <c r="AK54" s="75"/>
      <c r="AL54" s="75"/>
      <c r="AM54" s="75"/>
      <c r="AN54" s="75"/>
      <c r="AO54" s="75"/>
      <c r="AP54" s="75"/>
      <c r="AQ54" s="75"/>
      <c r="AR54" s="75"/>
      <c r="AS54" s="75"/>
      <c r="AT54" s="75"/>
    </row>
    <row r="55" spans="1:46" ht="30">
      <c r="A55" s="690">
        <f>A54+1</f>
        <v>428</v>
      </c>
      <c r="B55" s="690" t="s">
        <v>1274</v>
      </c>
      <c r="C55" s="690" t="s">
        <v>54</v>
      </c>
      <c r="D55" s="741" t="e">
        <f>VLOOKUP(B55,VN_Emails!B:H,4,0)</f>
        <v>#N/A</v>
      </c>
      <c r="E55" s="737" t="e">
        <f>VLOOKUP(B55,VN_Emails!B:H,7,0)</f>
        <v>#N/A</v>
      </c>
      <c r="F55" s="738" t="s">
        <v>1275</v>
      </c>
      <c r="G55" s="740" t="e">
        <f>SUBSTITUTE(VLOOKUP(B55,VN_Emails!B:H,2,0),"@mapactive.vn","")</f>
        <v>#N/A</v>
      </c>
      <c r="H55" s="740" t="s">
        <v>996</v>
      </c>
      <c r="I55" s="690" t="str">
        <f>J55&amp;" "&amp;K55&amp;" "&amp;L55</f>
        <v>Laptop Dell Latitude 3520</v>
      </c>
      <c r="J55" s="690" t="s">
        <v>86</v>
      </c>
      <c r="K55" s="690" t="s">
        <v>133</v>
      </c>
      <c r="L55" s="690" t="s">
        <v>131</v>
      </c>
      <c r="M55" s="719" t="s">
        <v>1276</v>
      </c>
      <c r="N55" s="719">
        <v>8</v>
      </c>
      <c r="O55" s="719">
        <v>256</v>
      </c>
      <c r="P55" s="690" t="s">
        <v>79</v>
      </c>
      <c r="Q55" s="690" t="s">
        <v>135</v>
      </c>
      <c r="R55" s="719"/>
      <c r="S55" s="719"/>
      <c r="T55" s="719"/>
      <c r="U55" s="28"/>
      <c r="V55" s="77"/>
      <c r="W55" s="185"/>
      <c r="X55" s="14" t="s">
        <v>1277</v>
      </c>
      <c r="Y55" s="14" t="s">
        <v>64</v>
      </c>
      <c r="Z55" s="14"/>
      <c r="AA55" s="14" t="s">
        <v>64</v>
      </c>
      <c r="AB55" s="181" t="s">
        <v>64</v>
      </c>
      <c r="AC55" s="74"/>
      <c r="AD55" s="75"/>
      <c r="AE55" s="75"/>
      <c r="AF55" s="75"/>
      <c r="AG55" s="75"/>
      <c r="AH55" s="75"/>
      <c r="AI55" s="75"/>
      <c r="AJ55" s="75"/>
      <c r="AK55" s="75"/>
      <c r="AL55" s="75"/>
      <c r="AM55" s="75"/>
      <c r="AN55" s="75"/>
      <c r="AO55" s="75"/>
      <c r="AP55" s="75"/>
      <c r="AQ55" s="75"/>
      <c r="AR55" s="75"/>
      <c r="AS55" s="75"/>
      <c r="AT55" s="75"/>
    </row>
    <row r="56" spans="1:46" ht="30">
      <c r="A56" s="690">
        <f>A55+1</f>
        <v>429</v>
      </c>
      <c r="B56" s="690" t="s">
        <v>1278</v>
      </c>
      <c r="C56" s="690" t="s">
        <v>54</v>
      </c>
      <c r="D56" s="741" t="e">
        <f>VLOOKUP(B56,VN_Emails!B:H,4,0)</f>
        <v>#N/A</v>
      </c>
      <c r="E56" s="737" t="e">
        <f>VLOOKUP(B56,VN_Emails!B:H,7,0)</f>
        <v>#N/A</v>
      </c>
      <c r="F56" s="738" t="s">
        <v>1279</v>
      </c>
      <c r="G56" s="740" t="e">
        <f>SUBSTITUTE(VLOOKUP(B56,VN_Emails!B:H,2,0),"@mapactive.vn","")</f>
        <v>#N/A</v>
      </c>
      <c r="H56" s="740" t="s">
        <v>996</v>
      </c>
      <c r="I56" s="690" t="str">
        <f>J56&amp;" "&amp;K56&amp;" "&amp;L56</f>
        <v>Laptop Dell Latitude 3520</v>
      </c>
      <c r="J56" s="690" t="s">
        <v>86</v>
      </c>
      <c r="K56" s="690" t="s">
        <v>133</v>
      </c>
      <c r="L56" s="690" t="s">
        <v>131</v>
      </c>
      <c r="M56" s="719" t="s">
        <v>1280</v>
      </c>
      <c r="N56" s="719">
        <v>8</v>
      </c>
      <c r="O56" s="719">
        <v>256</v>
      </c>
      <c r="P56" s="690" t="s">
        <v>79</v>
      </c>
      <c r="Q56" s="690" t="s">
        <v>135</v>
      </c>
      <c r="R56" s="719"/>
      <c r="S56" s="719"/>
      <c r="T56" s="719"/>
      <c r="U56" s="28"/>
      <c r="V56" s="77"/>
      <c r="W56" s="185"/>
      <c r="X56" s="14" t="s">
        <v>1281</v>
      </c>
      <c r="Y56" s="14" t="s">
        <v>64</v>
      </c>
      <c r="Z56" s="14"/>
      <c r="AA56" s="14" t="s">
        <v>64</v>
      </c>
      <c r="AB56" s="181" t="s">
        <v>64</v>
      </c>
      <c r="AC56" s="74"/>
      <c r="AD56" s="75"/>
      <c r="AE56" s="75"/>
      <c r="AF56" s="75"/>
      <c r="AG56" s="75"/>
      <c r="AH56" s="75"/>
      <c r="AI56" s="75"/>
      <c r="AJ56" s="75"/>
      <c r="AK56" s="75"/>
      <c r="AL56" s="75"/>
      <c r="AM56" s="75"/>
      <c r="AN56" s="75"/>
      <c r="AO56" s="75"/>
      <c r="AP56" s="75"/>
      <c r="AQ56" s="75"/>
      <c r="AR56" s="75"/>
      <c r="AS56" s="75"/>
      <c r="AT56" s="75"/>
    </row>
    <row r="57" spans="1:46" ht="30">
      <c r="A57" s="690">
        <f>A56+1</f>
        <v>430</v>
      </c>
      <c r="B57" s="690" t="s">
        <v>1282</v>
      </c>
      <c r="C57" s="690" t="s">
        <v>54</v>
      </c>
      <c r="D57" s="741"/>
      <c r="E57" s="741"/>
      <c r="F57" s="738" t="s">
        <v>1283</v>
      </c>
      <c r="G57" s="740" t="e">
        <f>SUBSTITUTE(VLOOKUP(B57,VN_Emails!B:H,2,0),"@mapactive.vn","")</f>
        <v>#N/A</v>
      </c>
      <c r="H57" s="740" t="s">
        <v>996</v>
      </c>
      <c r="I57" s="690" t="str">
        <f>J57&amp;" "&amp;K57&amp;" "&amp;L57</f>
        <v>Laptop Dell Latitude 5420</v>
      </c>
      <c r="J57" s="690" t="s">
        <v>86</v>
      </c>
      <c r="K57" s="690" t="s">
        <v>133</v>
      </c>
      <c r="L57" s="690" t="s">
        <v>1010</v>
      </c>
      <c r="M57" s="719" t="s">
        <v>1284</v>
      </c>
      <c r="N57" s="690">
        <v>16</v>
      </c>
      <c r="O57" s="690">
        <v>512</v>
      </c>
      <c r="P57" s="690" t="s">
        <v>79</v>
      </c>
      <c r="Q57" s="690" t="s">
        <v>876</v>
      </c>
      <c r="R57" s="719"/>
      <c r="S57" s="719"/>
      <c r="T57" s="719"/>
      <c r="U57" s="28"/>
      <c r="V57" s="77"/>
      <c r="W57" s="185"/>
      <c r="X57" s="14" t="s">
        <v>1285</v>
      </c>
      <c r="Y57" s="14" t="s">
        <v>64</v>
      </c>
      <c r="Z57" s="14" t="s">
        <v>64</v>
      </c>
      <c r="AA57" s="14" t="s">
        <v>64</v>
      </c>
      <c r="AB57" s="181" t="s">
        <v>64</v>
      </c>
      <c r="AC57" s="74"/>
      <c r="AD57" s="75"/>
      <c r="AE57" s="75"/>
      <c r="AF57" s="75"/>
      <c r="AG57" s="75"/>
      <c r="AH57" s="75"/>
      <c r="AI57" s="75"/>
      <c r="AJ57" s="75"/>
      <c r="AK57" s="75"/>
      <c r="AL57" s="75"/>
      <c r="AM57" s="75"/>
      <c r="AN57" s="75"/>
      <c r="AO57" s="75"/>
      <c r="AP57" s="75"/>
      <c r="AQ57" s="75"/>
      <c r="AR57" s="75"/>
      <c r="AS57" s="75"/>
      <c r="AT57" s="75"/>
    </row>
    <row r="58" spans="1:46" s="75" customFormat="1" ht="60.75">
      <c r="A58" s="690">
        <f>A57+1</f>
        <v>431</v>
      </c>
      <c r="B58" s="690" t="s">
        <v>1286</v>
      </c>
      <c r="C58" s="690" t="s">
        <v>65</v>
      </c>
      <c r="D58" s="741" t="str">
        <f>VLOOKUP(B58,VN_Emails!B:H,4,0)</f>
        <v>Nguyen My Binh</v>
      </c>
      <c r="E58" s="741" t="s">
        <v>1287</v>
      </c>
      <c r="F58" s="738" t="s">
        <v>1288</v>
      </c>
      <c r="G58" s="740" t="str">
        <f>SUBSTITUTE(VLOOKUP(B58,VN_Emails!B:H,2,0),"@mapactive.vn","")</f>
        <v>binh.nguyenmy</v>
      </c>
      <c r="H58" s="740" t="s">
        <v>996</v>
      </c>
      <c r="I58" s="690" t="str">
        <f>J58&amp;" "&amp;K58&amp;" "&amp;L58</f>
        <v>Laptop Dell Latitude 5420</v>
      </c>
      <c r="J58" s="690" t="s">
        <v>86</v>
      </c>
      <c r="K58" s="690" t="s">
        <v>133</v>
      </c>
      <c r="L58" s="690" t="s">
        <v>1010</v>
      </c>
      <c r="M58" s="690" t="s">
        <v>1289</v>
      </c>
      <c r="N58" s="690">
        <v>16</v>
      </c>
      <c r="O58" s="690">
        <v>512</v>
      </c>
      <c r="P58" s="690" t="s">
        <v>79</v>
      </c>
      <c r="Q58" s="690" t="s">
        <v>876</v>
      </c>
      <c r="R58" s="690"/>
      <c r="S58" s="690"/>
      <c r="T58" s="690" t="s">
        <v>1290</v>
      </c>
      <c r="U58" s="71"/>
      <c r="V58" s="77"/>
      <c r="W58" s="185"/>
      <c r="X58" s="120" t="s">
        <v>1291</v>
      </c>
      <c r="Y58" s="14" t="s">
        <v>64</v>
      </c>
      <c r="Z58" s="14" t="s">
        <v>64</v>
      </c>
      <c r="AA58" s="14" t="s">
        <v>64</v>
      </c>
      <c r="AB58" s="181" t="s">
        <v>64</v>
      </c>
      <c r="AC58" s="74"/>
    </row>
    <row r="59" spans="1:46" ht="30">
      <c r="A59" s="690">
        <f>A58+1</f>
        <v>432</v>
      </c>
      <c r="B59" s="690" t="s">
        <v>1292</v>
      </c>
      <c r="C59" s="690" t="s">
        <v>65</v>
      </c>
      <c r="D59" s="741" t="s">
        <v>1293</v>
      </c>
      <c r="E59" s="737" t="s">
        <v>1294</v>
      </c>
      <c r="F59" s="738" t="s">
        <v>1295</v>
      </c>
      <c r="G59" s="740" t="str">
        <f>SUBSTITUTE(VLOOKUP(B59,VN_Emails!B:H,2,0),"@mapactive.vn","")</f>
        <v>anh.nguyensi</v>
      </c>
      <c r="H59" s="740" t="s">
        <v>996</v>
      </c>
      <c r="I59" s="690" t="str">
        <f>J59&amp;" "&amp;K59&amp;" "&amp;L59</f>
        <v>Laptop Lenovo Thinkpad X280</v>
      </c>
      <c r="J59" s="690" t="s">
        <v>86</v>
      </c>
      <c r="K59" s="690" t="s">
        <v>279</v>
      </c>
      <c r="L59" s="690" t="s">
        <v>1141</v>
      </c>
      <c r="M59" s="719" t="s">
        <v>1296</v>
      </c>
      <c r="N59" s="719">
        <v>8</v>
      </c>
      <c r="O59" s="719">
        <v>256</v>
      </c>
      <c r="P59" s="690" t="s">
        <v>79</v>
      </c>
      <c r="Q59" s="690" t="s">
        <v>350</v>
      </c>
      <c r="R59" s="719"/>
      <c r="S59" s="719"/>
      <c r="T59" s="719"/>
      <c r="U59" s="28"/>
      <c r="V59" s="77"/>
      <c r="W59" s="185"/>
      <c r="X59" s="14" t="s">
        <v>1297</v>
      </c>
      <c r="Y59" s="14" t="s">
        <v>64</v>
      </c>
      <c r="Z59" s="14"/>
      <c r="AA59" s="14" t="s">
        <v>64</v>
      </c>
      <c r="AB59" s="181" t="s">
        <v>64</v>
      </c>
      <c r="AC59" s="74" t="s">
        <v>64</v>
      </c>
      <c r="AD59" s="75"/>
      <c r="AE59" s="75"/>
      <c r="AF59" s="75"/>
      <c r="AG59" s="75"/>
      <c r="AH59" s="75"/>
      <c r="AI59" s="75"/>
      <c r="AJ59" s="75"/>
      <c r="AK59" s="75"/>
      <c r="AL59" s="75"/>
      <c r="AM59" s="75"/>
      <c r="AN59" s="75"/>
      <c r="AO59" s="75"/>
      <c r="AP59" s="75"/>
      <c r="AQ59" s="75"/>
      <c r="AR59" s="75"/>
      <c r="AS59" s="75"/>
      <c r="AT59" s="75"/>
    </row>
    <row r="60" spans="1:46" ht="30">
      <c r="A60" s="690">
        <f>A59+1</f>
        <v>433</v>
      </c>
      <c r="B60" s="690" t="s">
        <v>1298</v>
      </c>
      <c r="C60" s="690" t="s">
        <v>65</v>
      </c>
      <c r="D60" s="741" t="str">
        <f>VLOOKUP(B60,VN_Emails!B:H,4,0)</f>
        <v>Le Ngoc My Linh</v>
      </c>
      <c r="E60" s="741" t="str">
        <f>VLOOKUP(B60,VN_Emails!B:H,7,0)</f>
        <v>Senior Merchandise</v>
      </c>
      <c r="F60" s="738" t="s">
        <v>1299</v>
      </c>
      <c r="G60" s="740" t="str">
        <f>SUBSTITUTE(VLOOKUP(B60,VN_Emails!B:H,2,0),"@mapactive.vn","")</f>
        <v>linh.lengocmy</v>
      </c>
      <c r="H60" s="740" t="s">
        <v>996</v>
      </c>
      <c r="I60" s="690" t="str">
        <f>J60&amp;" "&amp;K60&amp;" "&amp;L60</f>
        <v>Laptop Dell Latitude 3520</v>
      </c>
      <c r="J60" s="690" t="s">
        <v>86</v>
      </c>
      <c r="K60" s="690" t="s">
        <v>133</v>
      </c>
      <c r="L60" s="690" t="s">
        <v>131</v>
      </c>
      <c r="M60" s="719" t="s">
        <v>1300</v>
      </c>
      <c r="N60" s="719">
        <v>8</v>
      </c>
      <c r="O60" s="719">
        <v>256</v>
      </c>
      <c r="P60" s="690" t="s">
        <v>79</v>
      </c>
      <c r="Q60" s="690" t="s">
        <v>876</v>
      </c>
      <c r="R60" s="719"/>
      <c r="S60" s="719"/>
      <c r="T60" s="719"/>
      <c r="U60" s="28"/>
      <c r="V60" s="77"/>
      <c r="W60" s="185"/>
      <c r="X60" s="14" t="s">
        <v>1301</v>
      </c>
      <c r="Y60" s="14" t="s">
        <v>64</v>
      </c>
      <c r="Z60" s="14" t="s">
        <v>64</v>
      </c>
      <c r="AA60" s="14" t="s">
        <v>64</v>
      </c>
      <c r="AB60" s="181" t="s">
        <v>64</v>
      </c>
      <c r="AC60" s="74"/>
      <c r="AD60" s="75"/>
      <c r="AE60" s="75"/>
      <c r="AF60" s="75"/>
      <c r="AG60" s="75"/>
      <c r="AH60" s="75"/>
      <c r="AI60" s="75"/>
      <c r="AJ60" s="75"/>
      <c r="AK60" s="75"/>
      <c r="AL60" s="75"/>
      <c r="AM60" s="75"/>
      <c r="AN60" s="75"/>
      <c r="AO60" s="75"/>
      <c r="AP60" s="75"/>
      <c r="AQ60" s="75"/>
      <c r="AR60" s="75"/>
      <c r="AS60" s="75"/>
      <c r="AT60" s="75"/>
    </row>
    <row r="61" spans="1:46" ht="30">
      <c r="A61" s="719">
        <f>A60+1</f>
        <v>434</v>
      </c>
      <c r="B61" s="690" t="s">
        <v>1302</v>
      </c>
      <c r="C61" s="719" t="s">
        <v>65</v>
      </c>
      <c r="D61" s="737" t="str">
        <f>VLOOKUP(B61,VN_Emails!B:H,4,0)</f>
        <v>Ngo Tieu Binh</v>
      </c>
      <c r="E61" s="737" t="str">
        <f>VLOOKUP(B61,VN_Emails!B:H,7,0)</f>
        <v>HR Executive</v>
      </c>
      <c r="F61" s="738" t="s">
        <v>1303</v>
      </c>
      <c r="G61" s="740" t="str">
        <f>SUBSTITUTE(VLOOKUP(B61,VN_Emails!B:H,2,0),"@mapactive.vn","")</f>
        <v>binh.ngotieu</v>
      </c>
      <c r="H61" s="740" t="s">
        <v>996</v>
      </c>
      <c r="I61" s="719" t="str">
        <f>J61&amp;" "&amp;K61&amp;" "&amp;L61</f>
        <v>Laptop Dell Latitude 3520</v>
      </c>
      <c r="J61" s="719" t="s">
        <v>86</v>
      </c>
      <c r="K61" s="719" t="s">
        <v>133</v>
      </c>
      <c r="L61" s="719" t="s">
        <v>131</v>
      </c>
      <c r="M61" s="719" t="s">
        <v>1304</v>
      </c>
      <c r="N61" s="719">
        <v>16</v>
      </c>
      <c r="O61" s="719">
        <v>256</v>
      </c>
      <c r="P61" s="719" t="s">
        <v>79</v>
      </c>
      <c r="Q61" s="719" t="s">
        <v>876</v>
      </c>
      <c r="R61" s="719"/>
      <c r="S61" s="719"/>
      <c r="T61" s="777" t="s">
        <v>1305</v>
      </c>
      <c r="U61" s="159"/>
      <c r="V61" s="77"/>
      <c r="W61" s="185"/>
      <c r="X61" s="14" t="s">
        <v>1306</v>
      </c>
      <c r="Y61" s="14" t="s">
        <v>64</v>
      </c>
      <c r="Z61" s="14" t="s">
        <v>64</v>
      </c>
      <c r="AA61" s="14" t="s">
        <v>64</v>
      </c>
      <c r="AB61" s="181" t="s">
        <v>64</v>
      </c>
      <c r="AC61" s="74"/>
      <c r="AD61" s="75"/>
      <c r="AE61" s="75"/>
      <c r="AF61" s="75"/>
      <c r="AG61" s="75"/>
      <c r="AH61" s="75"/>
      <c r="AI61" s="75"/>
      <c r="AJ61" s="75"/>
      <c r="AK61" s="75"/>
      <c r="AL61" s="75"/>
      <c r="AM61" s="75"/>
      <c r="AN61" s="75"/>
      <c r="AO61" s="75"/>
      <c r="AP61" s="75"/>
      <c r="AQ61" s="75"/>
      <c r="AR61" s="75"/>
      <c r="AS61" s="75"/>
      <c r="AT61" s="75"/>
    </row>
    <row r="62" spans="1:46" ht="30">
      <c r="A62" s="690">
        <f>A61+1</f>
        <v>435</v>
      </c>
      <c r="B62" s="690" t="s">
        <v>1307</v>
      </c>
      <c r="C62" s="690" t="s">
        <v>65</v>
      </c>
      <c r="D62" s="741" t="str">
        <f>VLOOKUP(B62,VN_Emails!B:H,4,0)</f>
        <v>Ta Quynh Trang</v>
      </c>
      <c r="E62" s="741" t="str">
        <f>VLOOKUP(B62,VN_Emails!B:H,7,0)</f>
        <v>COE Officer</v>
      </c>
      <c r="F62" s="738" t="s">
        <v>1308</v>
      </c>
      <c r="G62" s="740" t="str">
        <f>SUBSTITUTE(VLOOKUP(B62,VN_Emails!B:H,2,0),"@mapactive.vn","")</f>
        <v>trang.taquynh</v>
      </c>
      <c r="H62" s="740" t="s">
        <v>996</v>
      </c>
      <c r="I62" s="690" t="str">
        <f>J62&amp;" "&amp;K62&amp;" "&amp;L62</f>
        <v>Laptop Dell Latitude 3520</v>
      </c>
      <c r="J62" s="690" t="s">
        <v>86</v>
      </c>
      <c r="K62" s="690" t="s">
        <v>133</v>
      </c>
      <c r="L62" s="690" t="s">
        <v>131</v>
      </c>
      <c r="M62" s="719" t="s">
        <v>1309</v>
      </c>
      <c r="N62" s="719">
        <v>8</v>
      </c>
      <c r="O62" s="719">
        <v>256</v>
      </c>
      <c r="P62" s="690" t="s">
        <v>79</v>
      </c>
      <c r="Q62" s="690" t="s">
        <v>876</v>
      </c>
      <c r="R62" s="719"/>
      <c r="S62" s="719"/>
      <c r="T62" s="719"/>
      <c r="U62" s="28"/>
      <c r="V62" s="77"/>
      <c r="W62" s="185"/>
      <c r="X62" s="14" t="s">
        <v>1310</v>
      </c>
      <c r="Y62" s="14" t="s">
        <v>64</v>
      </c>
      <c r="Z62" s="14" t="s">
        <v>64</v>
      </c>
      <c r="AA62" s="14" t="s">
        <v>64</v>
      </c>
      <c r="AB62" s="181" t="s">
        <v>64</v>
      </c>
      <c r="AC62" s="74"/>
      <c r="AD62" s="75"/>
      <c r="AE62" s="75"/>
      <c r="AF62" s="75"/>
      <c r="AG62" s="75"/>
      <c r="AH62" s="75"/>
      <c r="AI62" s="75"/>
      <c r="AJ62" s="75"/>
      <c r="AK62" s="75"/>
      <c r="AL62" s="75"/>
      <c r="AM62" s="75"/>
      <c r="AN62" s="75"/>
      <c r="AO62" s="75"/>
      <c r="AP62" s="75"/>
      <c r="AQ62" s="75"/>
      <c r="AR62" s="75"/>
      <c r="AS62" s="75"/>
      <c r="AT62" s="75"/>
    </row>
    <row r="63" spans="1:46" s="75" customFormat="1" ht="30">
      <c r="A63" s="719">
        <f>A62+1</f>
        <v>436</v>
      </c>
      <c r="B63" s="690" t="s">
        <v>1311</v>
      </c>
      <c r="C63" s="719" t="s">
        <v>65</v>
      </c>
      <c r="D63" s="737" t="str">
        <f>VLOOKUP(B63,VN_Emails!B:H,4,0)</f>
        <v>Vo Ngoc Thanh Ngan</v>
      </c>
      <c r="E63" s="737" t="str">
        <f>VLOOKUP(B63,VN_Emails!B:H,7,0)</f>
        <v>Intern</v>
      </c>
      <c r="F63" s="738" t="s">
        <v>1312</v>
      </c>
      <c r="G63" s="740" t="str">
        <f>SUBSTITUTE(VLOOKUP(B63,VN_Emails!B:H,2,0),"@mapactive.vn","")</f>
        <v>ngan.vongocthanh</v>
      </c>
      <c r="H63" s="740" t="s">
        <v>996</v>
      </c>
      <c r="I63" s="719" t="str">
        <f>J63&amp;" "&amp;K63&amp;" "&amp;L63</f>
        <v>Laptop Dell Latitude 5430</v>
      </c>
      <c r="J63" s="719" t="s">
        <v>86</v>
      </c>
      <c r="K63" s="719" t="s">
        <v>133</v>
      </c>
      <c r="L63" s="719" t="s">
        <v>1018</v>
      </c>
      <c r="M63" s="719" t="s">
        <v>1313</v>
      </c>
      <c r="N63" s="719">
        <v>16</v>
      </c>
      <c r="O63" s="719">
        <v>512</v>
      </c>
      <c r="P63" s="719" t="s">
        <v>79</v>
      </c>
      <c r="Q63" s="719" t="s">
        <v>89</v>
      </c>
      <c r="R63" s="719"/>
      <c r="S63" s="719"/>
      <c r="T63" s="719" t="s">
        <v>1314</v>
      </c>
      <c r="U63" s="71"/>
      <c r="V63" s="77" t="s">
        <v>1315</v>
      </c>
      <c r="W63" s="185"/>
      <c r="X63" s="120" t="s">
        <v>1316</v>
      </c>
      <c r="Y63" s="14" t="s">
        <v>64</v>
      </c>
      <c r="Z63" s="14"/>
      <c r="AA63" s="14" t="s">
        <v>64</v>
      </c>
      <c r="AB63" s="181" t="s">
        <v>64</v>
      </c>
      <c r="AC63" s="74"/>
    </row>
    <row r="64" spans="1:46" ht="30">
      <c r="A64" s="719">
        <f>A63+1</f>
        <v>437</v>
      </c>
      <c r="B64" s="690" t="s">
        <v>1317</v>
      </c>
      <c r="C64" s="719" t="s">
        <v>65</v>
      </c>
      <c r="D64" s="737" t="str">
        <f>VLOOKUP(B64,VN_Emails!B:H,4,0)</f>
        <v>Nguyen Phuong Lan</v>
      </c>
      <c r="E64" s="737" t="str">
        <f>VLOOKUP(B64,VN_Emails!B:H,7,0)</f>
        <v>Legal Manager</v>
      </c>
      <c r="F64" s="738" t="s">
        <v>1318</v>
      </c>
      <c r="G64" s="740" t="str">
        <f>SUBSTITUTE(VLOOKUP(B64,VN_Emails!B:H,2,0),"@mapactive.vn","")</f>
        <v>lan.nguyenphuong</v>
      </c>
      <c r="H64" s="740" t="s">
        <v>996</v>
      </c>
      <c r="I64" s="719" t="str">
        <f>J64&amp;" "&amp;K64&amp;" "&amp;L64</f>
        <v>Laptop Dell Latitude 5430</v>
      </c>
      <c r="J64" s="719" t="s">
        <v>86</v>
      </c>
      <c r="K64" s="719" t="s">
        <v>133</v>
      </c>
      <c r="L64" s="719" t="s">
        <v>1018</v>
      </c>
      <c r="M64" s="719" t="s">
        <v>1319</v>
      </c>
      <c r="N64" s="719">
        <v>16</v>
      </c>
      <c r="O64" s="719">
        <v>512</v>
      </c>
      <c r="P64" s="719" t="s">
        <v>79</v>
      </c>
      <c r="Q64" s="719" t="s">
        <v>89</v>
      </c>
      <c r="R64" s="719"/>
      <c r="S64" s="719"/>
      <c r="T64" s="719"/>
      <c r="U64" s="28"/>
      <c r="V64" s="77"/>
      <c r="W64" s="185" t="s">
        <v>1014</v>
      </c>
      <c r="X64" s="14" t="s">
        <v>1320</v>
      </c>
      <c r="Y64" s="14" t="s">
        <v>64</v>
      </c>
      <c r="Z64" s="14" t="s">
        <v>64</v>
      </c>
      <c r="AA64" s="14" t="s">
        <v>64</v>
      </c>
      <c r="AB64" s="181" t="s">
        <v>64</v>
      </c>
      <c r="AC64" s="74"/>
      <c r="AD64" s="75"/>
      <c r="AE64" s="75"/>
      <c r="AF64" s="75"/>
      <c r="AG64" s="75"/>
      <c r="AH64" s="75"/>
      <c r="AI64" s="75"/>
      <c r="AJ64" s="75"/>
      <c r="AK64" s="75"/>
      <c r="AL64" s="75"/>
      <c r="AM64" s="75"/>
      <c r="AN64" s="75"/>
      <c r="AO64" s="75"/>
      <c r="AP64" s="75"/>
      <c r="AQ64" s="75"/>
      <c r="AR64" s="75"/>
      <c r="AS64" s="75"/>
      <c r="AT64" s="75"/>
    </row>
    <row r="65" spans="1:46" ht="30">
      <c r="A65" s="690">
        <f>A64+1</f>
        <v>438</v>
      </c>
      <c r="B65" s="690" t="s">
        <v>1321</v>
      </c>
      <c r="C65" s="690" t="s">
        <v>65</v>
      </c>
      <c r="D65" s="741" t="str">
        <f>VLOOKUP(B65,VN_Emails!B:H,4,0)</f>
        <v>Duong Thi Bao Tram</v>
      </c>
      <c r="E65" s="741" t="str">
        <f>VLOOKUP(B65,VN_Emails!B:H,7,0)</f>
        <v>Wholesale Admin</v>
      </c>
      <c r="F65" s="738" t="s">
        <v>1322</v>
      </c>
      <c r="G65" s="740" t="str">
        <f>SUBSTITUTE(VLOOKUP(B65,VN_Emails!B:H,2,0),"@mapactive.vn","")</f>
        <v>tram.duongthibao</v>
      </c>
      <c r="H65" s="740" t="s">
        <v>996</v>
      </c>
      <c r="I65" s="690" t="str">
        <f>J65&amp;" "&amp;K65&amp;" "&amp;L65</f>
        <v>Laptop Dell Latitude 3520</v>
      </c>
      <c r="J65" s="690" t="s">
        <v>86</v>
      </c>
      <c r="K65" s="690" t="s">
        <v>133</v>
      </c>
      <c r="L65" s="690" t="s">
        <v>131</v>
      </c>
      <c r="M65" s="719" t="s">
        <v>1323</v>
      </c>
      <c r="N65" s="719">
        <v>8</v>
      </c>
      <c r="O65" s="719">
        <v>256</v>
      </c>
      <c r="P65" s="690" t="s">
        <v>79</v>
      </c>
      <c r="Q65" s="690" t="s">
        <v>876</v>
      </c>
      <c r="R65" s="719"/>
      <c r="S65" s="719"/>
      <c r="T65" s="719"/>
      <c r="U65" s="28"/>
      <c r="V65" s="77"/>
      <c r="W65" s="185"/>
      <c r="X65" s="14" t="s">
        <v>1324</v>
      </c>
      <c r="Y65" s="14" t="s">
        <v>64</v>
      </c>
      <c r="Z65" s="14" t="s">
        <v>64</v>
      </c>
      <c r="AA65" s="14" t="s">
        <v>64</v>
      </c>
      <c r="AB65" s="181" t="s">
        <v>64</v>
      </c>
      <c r="AC65" s="74"/>
      <c r="AD65" s="75"/>
      <c r="AE65" s="75"/>
      <c r="AF65" s="75"/>
      <c r="AG65" s="75"/>
      <c r="AH65" s="75"/>
      <c r="AI65" s="75"/>
      <c r="AJ65" s="75"/>
      <c r="AK65" s="75"/>
      <c r="AL65" s="75"/>
      <c r="AM65" s="75"/>
      <c r="AN65" s="75"/>
      <c r="AO65" s="75"/>
      <c r="AP65" s="75"/>
      <c r="AQ65" s="75"/>
      <c r="AR65" s="75"/>
      <c r="AS65" s="75"/>
      <c r="AT65" s="75"/>
    </row>
    <row r="66" spans="1:46" ht="30">
      <c r="A66" s="719">
        <f>A65+1</f>
        <v>439</v>
      </c>
      <c r="B66" s="690" t="s">
        <v>1325</v>
      </c>
      <c r="C66" s="719" t="s">
        <v>65</v>
      </c>
      <c r="D66" s="737" t="str">
        <f>VLOOKUP(B66,VN_Emails!B:H,4,0)</f>
        <v>Le Ngoc Bao Minh</v>
      </c>
      <c r="E66" s="737" t="str">
        <f>VLOOKUP(B66,VN_Emails!B:H,7,0)</f>
        <v xml:space="preserve">Risk Management &amp; Business Process </v>
      </c>
      <c r="F66" s="738" t="s">
        <v>1326</v>
      </c>
      <c r="G66" s="740" t="str">
        <f>SUBSTITUTE(VLOOKUP(B66,VN_Emails!B:H,2,0),"@mapactive.vn","")</f>
        <v>minh.lengocbao</v>
      </c>
      <c r="H66" s="740" t="s">
        <v>996</v>
      </c>
      <c r="I66" s="719" t="str">
        <f>J66&amp;" "&amp;K66&amp;" "&amp;L66</f>
        <v>Laptop HP ProBook 440 G9</v>
      </c>
      <c r="J66" s="719" t="s">
        <v>86</v>
      </c>
      <c r="K66" s="719" t="s">
        <v>58</v>
      </c>
      <c r="L66" s="719" t="s">
        <v>249</v>
      </c>
      <c r="M66" s="719" t="s">
        <v>1327</v>
      </c>
      <c r="N66" s="719">
        <v>16</v>
      </c>
      <c r="O66" s="719">
        <v>512</v>
      </c>
      <c r="P66" s="719" t="s">
        <v>79</v>
      </c>
      <c r="Q66" s="719" t="s">
        <v>89</v>
      </c>
      <c r="R66" s="719"/>
      <c r="S66" s="719"/>
      <c r="T66" s="719"/>
      <c r="U66" s="28"/>
      <c r="V66" s="77"/>
      <c r="W66" s="185"/>
      <c r="X66" s="14" t="s">
        <v>1328</v>
      </c>
      <c r="Y66" s="14" t="s">
        <v>64</v>
      </c>
      <c r="Z66" s="14" t="s">
        <v>64</v>
      </c>
      <c r="AA66" s="14" t="s">
        <v>64</v>
      </c>
      <c r="AB66" s="181" t="s">
        <v>64</v>
      </c>
      <c r="AC66" s="71" t="s">
        <v>64</v>
      </c>
      <c r="AD66" s="75"/>
      <c r="AE66" s="75"/>
      <c r="AF66" s="75"/>
      <c r="AG66" s="75"/>
      <c r="AH66" s="75"/>
      <c r="AI66" s="75"/>
      <c r="AJ66" s="75"/>
      <c r="AK66" s="75"/>
      <c r="AL66" s="75"/>
      <c r="AM66" s="75"/>
      <c r="AN66" s="75"/>
      <c r="AO66" s="75"/>
      <c r="AP66" s="75"/>
      <c r="AQ66" s="75"/>
      <c r="AR66" s="75"/>
      <c r="AS66" s="75"/>
      <c r="AT66" s="75"/>
    </row>
    <row r="67" spans="1:46" ht="43.5">
      <c r="A67" s="690">
        <f>A52+1</f>
        <v>426</v>
      </c>
      <c r="B67" s="690" t="s">
        <v>1329</v>
      </c>
      <c r="C67" s="690" t="s">
        <v>54</v>
      </c>
      <c r="D67" s="741" t="e">
        <f>VLOOKUP(B67,VN_Emails!B:H,4,0)</f>
        <v>#N/A</v>
      </c>
      <c r="E67" s="741" t="e">
        <f>VLOOKUP(B67,VN_Emails!B:H,7,0)</f>
        <v>#N/A</v>
      </c>
      <c r="F67" s="738" t="s">
        <v>1330</v>
      </c>
      <c r="G67" s="740" t="e">
        <f>SUBSTITUTE(VLOOKUP(B67,VN_Emails!B:H,2,0),"@mapactive.vn","")</f>
        <v>#N/A</v>
      </c>
      <c r="H67" s="740" t="s">
        <v>996</v>
      </c>
      <c r="I67" s="690" t="str">
        <f>J67&amp;" "&amp;K67&amp;" "&amp;L67</f>
        <v>Laptop Dell Latitude 3520</v>
      </c>
      <c r="J67" s="690" t="s">
        <v>86</v>
      </c>
      <c r="K67" s="690" t="s">
        <v>133</v>
      </c>
      <c r="L67" s="690" t="s">
        <v>131</v>
      </c>
      <c r="M67" s="719" t="s">
        <v>1331</v>
      </c>
      <c r="N67" s="719">
        <v>8</v>
      </c>
      <c r="O67" s="719">
        <v>256</v>
      </c>
      <c r="P67" s="690" t="s">
        <v>79</v>
      </c>
      <c r="Q67" s="690" t="s">
        <v>876</v>
      </c>
      <c r="R67" s="719"/>
      <c r="S67" s="719"/>
      <c r="T67" s="719" t="s">
        <v>1332</v>
      </c>
      <c r="U67" s="28"/>
      <c r="V67" s="77" t="s">
        <v>1333</v>
      </c>
      <c r="W67" s="185"/>
      <c r="X67" s="14" t="s">
        <v>1334</v>
      </c>
      <c r="Y67" s="14" t="s">
        <v>64</v>
      </c>
      <c r="Z67" s="14" t="s">
        <v>64</v>
      </c>
      <c r="AA67" s="14" t="s">
        <v>64</v>
      </c>
      <c r="AB67" s="181" t="s">
        <v>64</v>
      </c>
      <c r="AC67" s="74"/>
      <c r="AD67" s="75"/>
      <c r="AE67" s="75"/>
      <c r="AF67" s="75"/>
      <c r="AG67" s="75"/>
      <c r="AH67" s="75"/>
      <c r="AI67" s="75"/>
      <c r="AJ67" s="75"/>
      <c r="AK67" s="75"/>
      <c r="AL67" s="75"/>
      <c r="AM67" s="75"/>
      <c r="AN67" s="75"/>
      <c r="AO67" s="75"/>
      <c r="AP67" s="75"/>
      <c r="AQ67" s="75"/>
      <c r="AR67" s="75"/>
      <c r="AS67" s="75"/>
      <c r="AT67" s="75"/>
    </row>
    <row r="68" spans="1:46" ht="30">
      <c r="A68" s="690" t="e">
        <f ca="1">A82+1</f>
        <v>#REF!</v>
      </c>
      <c r="B68" s="690" t="s">
        <v>1335</v>
      </c>
      <c r="C68" s="690" t="s">
        <v>54</v>
      </c>
      <c r="D68" s="741" t="e">
        <f>VLOOKUP(B68,VN_Emails!B:H,4,0)</f>
        <v>#N/A</v>
      </c>
      <c r="E68" s="741" t="e">
        <f>VLOOKUP(B68,VN_Emails!B:H,7,0)</f>
        <v>#N/A</v>
      </c>
      <c r="F68" s="738" t="s">
        <v>1336</v>
      </c>
      <c r="G68" s="740" t="e">
        <f>SUBSTITUTE(VLOOKUP(B68,VN_Emails!B:H,2,0),"@mapactive.vn","")</f>
        <v>#N/A</v>
      </c>
      <c r="H68" s="740" t="s">
        <v>996</v>
      </c>
      <c r="I68" s="690" t="str">
        <f>J68&amp;" "&amp;K68&amp;" "&amp;L68</f>
        <v>Laptop Dell Latitude 3520</v>
      </c>
      <c r="J68" s="690" t="s">
        <v>86</v>
      </c>
      <c r="K68" s="690" t="s">
        <v>133</v>
      </c>
      <c r="L68" s="690" t="s">
        <v>131</v>
      </c>
      <c r="M68" s="719" t="s">
        <v>1337</v>
      </c>
      <c r="N68" s="719">
        <v>12</v>
      </c>
      <c r="O68" s="719">
        <v>256</v>
      </c>
      <c r="P68" s="690" t="s">
        <v>79</v>
      </c>
      <c r="Q68" s="690" t="s">
        <v>876</v>
      </c>
      <c r="R68" s="719"/>
      <c r="S68" s="719"/>
      <c r="T68" s="719"/>
      <c r="U68" s="28"/>
      <c r="V68" s="77"/>
      <c r="W68" s="185"/>
      <c r="X68" s="14" t="s">
        <v>1338</v>
      </c>
      <c r="Y68" s="14" t="s">
        <v>64</v>
      </c>
      <c r="Z68" s="14" t="s">
        <v>64</v>
      </c>
      <c r="AA68" s="14" t="s">
        <v>64</v>
      </c>
      <c r="AB68" s="181" t="s">
        <v>64</v>
      </c>
      <c r="AC68" s="74"/>
      <c r="AD68" s="75"/>
      <c r="AE68" s="75"/>
      <c r="AF68" s="75"/>
      <c r="AG68" s="75"/>
      <c r="AH68" s="75"/>
      <c r="AI68" s="75"/>
      <c r="AJ68" s="75"/>
      <c r="AK68" s="75"/>
      <c r="AL68" s="75"/>
      <c r="AM68" s="75"/>
      <c r="AN68" s="75"/>
      <c r="AO68" s="75"/>
      <c r="AP68" s="75"/>
      <c r="AQ68" s="75"/>
      <c r="AR68" s="75"/>
      <c r="AS68" s="75"/>
      <c r="AT68" s="75"/>
    </row>
    <row r="69" spans="1:46" ht="30">
      <c r="A69" s="719" t="e">
        <f ca="1">A68+1</f>
        <v>#VALUE!</v>
      </c>
      <c r="B69" s="690" t="s">
        <v>1339</v>
      </c>
      <c r="C69" s="719" t="s">
        <v>65</v>
      </c>
      <c r="D69" s="737" t="str">
        <f>VLOOKUP(B69,VN_Emails!B:H,4,0)</f>
        <v>Nguyen Thi Qui</v>
      </c>
      <c r="E69" s="737" t="str">
        <f>VLOOKUP(B69,VN_Emails!B:H,7,0)</f>
        <v>General Accountant UFO</v>
      </c>
      <c r="F69" s="738" t="s">
        <v>1340</v>
      </c>
      <c r="G69" s="740" t="str">
        <f>SUBSTITUTE(VLOOKUP(B69,VN_Emails!B:H,2,0),"@mapactive.vn","")</f>
        <v>qui.nguyenthi</v>
      </c>
      <c r="H69" s="740" t="s">
        <v>996</v>
      </c>
      <c r="I69" s="719" t="str">
        <f>J69&amp;" "&amp;K69&amp;" "&amp;L69</f>
        <v>Laptop Dell Latitude 5430</v>
      </c>
      <c r="J69" s="719" t="s">
        <v>86</v>
      </c>
      <c r="K69" s="719" t="s">
        <v>133</v>
      </c>
      <c r="L69" s="719" t="s">
        <v>1018</v>
      </c>
      <c r="M69" s="719" t="s">
        <v>1341</v>
      </c>
      <c r="N69" s="719">
        <v>16</v>
      </c>
      <c r="O69" s="719">
        <v>512</v>
      </c>
      <c r="P69" s="719" t="s">
        <v>79</v>
      </c>
      <c r="Q69" s="719" t="s">
        <v>89</v>
      </c>
      <c r="R69" s="719"/>
      <c r="S69" s="719"/>
      <c r="T69" s="719"/>
      <c r="U69" s="28"/>
      <c r="V69" s="77"/>
      <c r="W69" s="185" t="s">
        <v>1014</v>
      </c>
      <c r="X69" s="14" t="s">
        <v>1342</v>
      </c>
      <c r="Y69" s="14" t="s">
        <v>64</v>
      </c>
      <c r="Z69" s="14" t="s">
        <v>64</v>
      </c>
      <c r="AA69" s="14" t="s">
        <v>64</v>
      </c>
      <c r="AB69" s="181" t="s">
        <v>64</v>
      </c>
      <c r="AC69" s="74"/>
      <c r="AD69" s="75"/>
      <c r="AE69" s="75"/>
      <c r="AF69" s="75"/>
      <c r="AG69" s="75"/>
      <c r="AH69" s="75"/>
      <c r="AI69" s="75"/>
      <c r="AJ69" s="75"/>
      <c r="AK69" s="75"/>
      <c r="AL69" s="75"/>
      <c r="AM69" s="75"/>
      <c r="AN69" s="75"/>
      <c r="AO69" s="75"/>
      <c r="AP69" s="75"/>
      <c r="AQ69" s="75"/>
      <c r="AR69" s="75"/>
      <c r="AS69" s="75"/>
      <c r="AT69" s="75"/>
    </row>
    <row r="70" spans="1:46" s="75" customFormat="1" ht="30">
      <c r="A70" s="719" t="e">
        <f ca="1">A69+1</f>
        <v>#REF!</v>
      </c>
      <c r="B70" s="690" t="s">
        <v>1343</v>
      </c>
      <c r="C70" s="719" t="s">
        <v>65</v>
      </c>
      <c r="D70" s="737" t="str">
        <f>VLOOKUP(B70,VN_Emails!B:H,4,0)</f>
        <v xml:space="preserve">Dao Duc Huy </v>
      </c>
      <c r="E70" s="737" t="str">
        <f>VLOOKUP(B70,VN_Emails!B:H,7,0)</f>
        <v>Area Manager (South)</v>
      </c>
      <c r="F70" s="738" t="s">
        <v>1344</v>
      </c>
      <c r="G70" s="740" t="str">
        <f>SUBSTITUTE(VLOOKUP(B70,VN_Emails!B:H,2,0),"@mapactive.vn","")</f>
        <v>Huy.daoduc</v>
      </c>
      <c r="H70" s="740" t="s">
        <v>996</v>
      </c>
      <c r="I70" s="719" t="str">
        <f>J70&amp;" "&amp;K70&amp;" "&amp;L70</f>
        <v>Laptop Dell Latitude 5430</v>
      </c>
      <c r="J70" s="719" t="s">
        <v>86</v>
      </c>
      <c r="K70" s="719" t="s">
        <v>133</v>
      </c>
      <c r="L70" s="719" t="s">
        <v>1018</v>
      </c>
      <c r="M70" s="719" t="s">
        <v>1345</v>
      </c>
      <c r="N70" s="719">
        <v>16</v>
      </c>
      <c r="O70" s="719">
        <v>512</v>
      </c>
      <c r="P70" s="719" t="s">
        <v>79</v>
      </c>
      <c r="Q70" s="719" t="s">
        <v>89</v>
      </c>
      <c r="R70" s="719"/>
      <c r="S70" s="719"/>
      <c r="T70" s="719" t="s">
        <v>1346</v>
      </c>
      <c r="U70" s="28"/>
      <c r="V70" s="77"/>
      <c r="W70" s="185"/>
      <c r="X70" s="14" t="s">
        <v>1347</v>
      </c>
      <c r="Y70" s="14" t="s">
        <v>64</v>
      </c>
      <c r="Z70" s="14" t="s">
        <v>64</v>
      </c>
      <c r="AA70" s="14" t="s">
        <v>64</v>
      </c>
      <c r="AB70" s="181" t="s">
        <v>64</v>
      </c>
      <c r="AC70" s="74"/>
    </row>
    <row r="71" spans="1:46" ht="30">
      <c r="A71" s="719" t="e">
        <f ca="1">A70+1</f>
        <v>#REF!</v>
      </c>
      <c r="B71" s="690" t="s">
        <v>1348</v>
      </c>
      <c r="C71" s="719" t="s">
        <v>65</v>
      </c>
      <c r="D71" s="737" t="str">
        <f>VLOOKUP(B71,VN_Emails!B:H,4,0)</f>
        <v>Dao Thi Hong Le</v>
      </c>
      <c r="E71" s="737" t="str">
        <f>VLOOKUP(B71,VN_Emails!B:H,7,0)</f>
        <v xml:space="preserve">Training Assistant Manager </v>
      </c>
      <c r="F71" s="738" t="s">
        <v>1349</v>
      </c>
      <c r="G71" s="740" t="str">
        <f>SUBSTITUTE(VLOOKUP(B71,VN_Emails!B:H,2,0),"@mapactive.vn","")</f>
        <v>le.daothihong</v>
      </c>
      <c r="H71" s="740" t="s">
        <v>996</v>
      </c>
      <c r="I71" s="719" t="str">
        <f>J71&amp;" "&amp;K71&amp;" "&amp;L71</f>
        <v>Laptop Dell Latitude 5430</v>
      </c>
      <c r="J71" s="719" t="s">
        <v>86</v>
      </c>
      <c r="K71" s="719" t="s">
        <v>133</v>
      </c>
      <c r="L71" s="719" t="s">
        <v>1018</v>
      </c>
      <c r="M71" s="719" t="s">
        <v>1350</v>
      </c>
      <c r="N71" s="719">
        <v>16</v>
      </c>
      <c r="O71" s="719">
        <v>512</v>
      </c>
      <c r="P71" s="719" t="s">
        <v>79</v>
      </c>
      <c r="Q71" s="719" t="s">
        <v>89</v>
      </c>
      <c r="R71" s="719"/>
      <c r="S71" s="719"/>
      <c r="T71" s="719"/>
      <c r="U71" s="71"/>
      <c r="V71" s="77"/>
      <c r="W71" s="488"/>
      <c r="X71" s="120" t="s">
        <v>1351</v>
      </c>
      <c r="Y71" s="14" t="s">
        <v>64</v>
      </c>
      <c r="Z71" s="14" t="s">
        <v>64</v>
      </c>
      <c r="AA71" s="14" t="s">
        <v>64</v>
      </c>
      <c r="AB71" s="181" t="s">
        <v>64</v>
      </c>
      <c r="AC71" s="74"/>
      <c r="AD71" s="75"/>
      <c r="AE71" s="75"/>
      <c r="AF71" s="75"/>
      <c r="AG71" s="75"/>
      <c r="AH71" s="75"/>
      <c r="AI71" s="75"/>
      <c r="AJ71" s="75"/>
      <c r="AK71" s="75"/>
      <c r="AL71" s="75"/>
      <c r="AM71" s="75"/>
      <c r="AN71" s="75"/>
      <c r="AO71" s="75"/>
      <c r="AP71" s="75"/>
      <c r="AQ71" s="75"/>
      <c r="AR71" s="75"/>
      <c r="AS71" s="75"/>
      <c r="AT71" s="75"/>
    </row>
    <row r="72" spans="1:46" s="75" customFormat="1" ht="30">
      <c r="A72" s="719" t="e">
        <f ca="1">A71+1</f>
        <v>#REF!</v>
      </c>
      <c r="B72" s="690" t="s">
        <v>1352</v>
      </c>
      <c r="C72" s="719" t="s">
        <v>65</v>
      </c>
      <c r="D72" s="737" t="str">
        <f>VLOOKUP(B72,VN_Emails!B:H,4,0)</f>
        <v>Nguyen Quoc Huy</v>
      </c>
      <c r="E72" s="737" t="str">
        <f>VLOOKUP(B72,VN_Emails!B:H,7,0)</f>
        <v>Visual Merchandise Supervisor</v>
      </c>
      <c r="F72" s="738" t="s">
        <v>1353</v>
      </c>
      <c r="G72" s="740" t="str">
        <f>SUBSTITUTE(VLOOKUP(B72,VN_Emails!B:H,2,0),"@mapactive.vn","")</f>
        <v>huy.nguyenquoc</v>
      </c>
      <c r="H72" s="740" t="s">
        <v>996</v>
      </c>
      <c r="I72" s="719" t="str">
        <f>J72&amp;" "&amp;K72&amp;" "&amp;L72</f>
        <v>Laptop Dell Latitude 5430</v>
      </c>
      <c r="J72" s="719" t="s">
        <v>86</v>
      </c>
      <c r="K72" s="719" t="s">
        <v>133</v>
      </c>
      <c r="L72" s="719" t="s">
        <v>1018</v>
      </c>
      <c r="M72" s="719" t="s">
        <v>1354</v>
      </c>
      <c r="N72" s="719">
        <v>16</v>
      </c>
      <c r="O72" s="719">
        <v>512</v>
      </c>
      <c r="P72" s="719" t="s">
        <v>79</v>
      </c>
      <c r="Q72" s="719" t="s">
        <v>89</v>
      </c>
      <c r="R72" s="719"/>
      <c r="S72" s="719"/>
      <c r="T72" s="719"/>
      <c r="U72" s="67"/>
      <c r="V72" s="776"/>
      <c r="W72" s="185"/>
      <c r="X72" s="347" t="s">
        <v>1355</v>
      </c>
      <c r="Y72" s="14" t="s">
        <v>64</v>
      </c>
      <c r="Z72" s="14" t="s">
        <v>64</v>
      </c>
      <c r="AA72" s="14" t="s">
        <v>64</v>
      </c>
      <c r="AB72" s="181" t="s">
        <v>64</v>
      </c>
      <c r="AC72" s="74"/>
    </row>
    <row r="73" spans="1:46" ht="86.25">
      <c r="A73" s="690" t="e">
        <f ca="1">A72+1</f>
        <v>#REF!</v>
      </c>
      <c r="B73" s="690" t="s">
        <v>1356</v>
      </c>
      <c r="C73" s="690" t="s">
        <v>65</v>
      </c>
      <c r="D73" s="741" t="e">
        <f>VLOOKUP(B73,VN_Emails!B:H,4,0)</f>
        <v>#N/A</v>
      </c>
      <c r="E73" s="741" t="e">
        <f>VLOOKUP(B73,VN_Emails!B:H,7,0)</f>
        <v>#N/A</v>
      </c>
      <c r="F73" s="738" t="s">
        <v>1357</v>
      </c>
      <c r="G73" s="740" t="e">
        <f>SUBSTITUTE(VLOOKUP(B73,VN_Emails!B:H,2,0),"@mapactive.vn","")</f>
        <v>#N/A</v>
      </c>
      <c r="H73" s="740" t="s">
        <v>996</v>
      </c>
      <c r="I73" s="690" t="str">
        <f>J73&amp;" "&amp;K73&amp;" "&amp;L73</f>
        <v>Laptop Lenovo Thinkpad X280</v>
      </c>
      <c r="J73" s="690" t="s">
        <v>86</v>
      </c>
      <c r="K73" s="690" t="s">
        <v>279</v>
      </c>
      <c r="L73" s="690" t="s">
        <v>1141</v>
      </c>
      <c r="M73" s="690" t="s">
        <v>1358</v>
      </c>
      <c r="N73" s="690">
        <v>8</v>
      </c>
      <c r="O73" s="719">
        <v>256</v>
      </c>
      <c r="P73" s="690" t="s">
        <v>79</v>
      </c>
      <c r="Q73" s="690" t="s">
        <v>1359</v>
      </c>
      <c r="R73" s="690"/>
      <c r="S73" s="690"/>
      <c r="T73" s="690" t="s">
        <v>1360</v>
      </c>
      <c r="U73" s="71"/>
      <c r="V73" s="74" t="s">
        <v>1361</v>
      </c>
      <c r="W73" s="778"/>
      <c r="X73" s="120" t="s">
        <v>1362</v>
      </c>
      <c r="Y73" s="14" t="s">
        <v>64</v>
      </c>
      <c r="Z73" s="14" t="s">
        <v>64</v>
      </c>
      <c r="AA73" s="14" t="s">
        <v>64</v>
      </c>
      <c r="AB73" s="181" t="s">
        <v>64</v>
      </c>
      <c r="AC73" s="74"/>
    </row>
    <row r="74" spans="1:46" s="76" customFormat="1" ht="30">
      <c r="A74" s="719" t="e">
        <f ca="1">A73+1</f>
        <v>#REF!</v>
      </c>
      <c r="B74" s="690" t="s">
        <v>1363</v>
      </c>
      <c r="C74" s="719" t="s">
        <v>54</v>
      </c>
      <c r="D74" s="737" t="e">
        <f>VLOOKUP(B74,VN_Emails!B:H,4,0)</f>
        <v>#N/A</v>
      </c>
      <c r="E74" s="737" t="e">
        <f>VLOOKUP(B74,VN_Emails!B:H,7,0)</f>
        <v>#N/A</v>
      </c>
      <c r="F74" s="738" t="s">
        <v>1364</v>
      </c>
      <c r="G74" s="740" t="e">
        <f>SUBSTITUTE(VLOOKUP(B74,VN_Emails!B:H,2,0),"@mapactive.vn","")</f>
        <v>#N/A</v>
      </c>
      <c r="H74" s="740" t="s">
        <v>996</v>
      </c>
      <c r="I74" s="719" t="str">
        <f>J74&amp;" "&amp;K74&amp;" "&amp;L74</f>
        <v>Laptop Dell Latitude 5430</v>
      </c>
      <c r="J74" s="719" t="s">
        <v>86</v>
      </c>
      <c r="K74" s="719" t="s">
        <v>133</v>
      </c>
      <c r="L74" s="719" t="s">
        <v>1018</v>
      </c>
      <c r="M74" s="719" t="s">
        <v>1365</v>
      </c>
      <c r="N74" s="719">
        <v>16</v>
      </c>
      <c r="O74" s="719">
        <v>512</v>
      </c>
      <c r="P74" s="719" t="s">
        <v>79</v>
      </c>
      <c r="Q74" s="719" t="s">
        <v>89</v>
      </c>
      <c r="R74" s="719"/>
      <c r="S74" s="719"/>
      <c r="T74" s="719" t="s">
        <v>1366</v>
      </c>
      <c r="U74" s="28"/>
      <c r="V74" s="77" t="s">
        <v>1367</v>
      </c>
      <c r="W74" s="185"/>
      <c r="X74" s="14" t="s">
        <v>1368</v>
      </c>
      <c r="Y74" s="14" t="s">
        <v>64</v>
      </c>
      <c r="Z74" s="14" t="s">
        <v>64</v>
      </c>
      <c r="AA74" s="14" t="s">
        <v>64</v>
      </c>
      <c r="AB74" s="181" t="s">
        <v>64</v>
      </c>
      <c r="AC74" s="74"/>
    </row>
    <row r="75" spans="1:46" s="75" customFormat="1" ht="30">
      <c r="A75" s="719">
        <f ca="1">A74+1</f>
        <v>421</v>
      </c>
      <c r="B75" s="690" t="s">
        <v>1369</v>
      </c>
      <c r="C75" s="719" t="s">
        <v>65</v>
      </c>
      <c r="D75" s="737" t="str">
        <f>VLOOKUP(B75,VN_Emails!B:H,4,0)</f>
        <v>Le Thi Anh Tuyet</v>
      </c>
      <c r="E75" s="737" t="str">
        <f>VLOOKUP(B75,VN_Emails!B:H,7,0)</f>
        <v>Tax &amp; Accounting Assistant Manager</v>
      </c>
      <c r="F75" s="738" t="s">
        <v>1370</v>
      </c>
      <c r="G75" s="740" t="str">
        <f>SUBSTITUTE(VLOOKUP(B75,VN_Emails!B:H,2,0),"@mapactive.vn","")</f>
        <v>tuyet.lethianh</v>
      </c>
      <c r="H75" s="740" t="s">
        <v>996</v>
      </c>
      <c r="I75" s="719" t="str">
        <f>J75&amp;" "&amp;K75&amp;" "&amp;L75</f>
        <v>Laptop Dell Latitude 5430</v>
      </c>
      <c r="J75" s="719" t="s">
        <v>86</v>
      </c>
      <c r="K75" s="719" t="s">
        <v>133</v>
      </c>
      <c r="L75" s="719" t="s">
        <v>1018</v>
      </c>
      <c r="M75" s="719" t="s">
        <v>1371</v>
      </c>
      <c r="N75" s="719">
        <v>16</v>
      </c>
      <c r="O75" s="719">
        <v>512</v>
      </c>
      <c r="P75" s="719" t="s">
        <v>79</v>
      </c>
      <c r="Q75" s="719" t="s">
        <v>89</v>
      </c>
      <c r="R75" s="719"/>
      <c r="S75" s="719"/>
      <c r="T75" s="719"/>
      <c r="U75" s="73"/>
      <c r="V75" s="79"/>
      <c r="W75" s="188"/>
      <c r="X75" s="125" t="s">
        <v>1372</v>
      </c>
      <c r="Y75" s="14" t="s">
        <v>64</v>
      </c>
      <c r="Z75" s="14" t="s">
        <v>64</v>
      </c>
      <c r="AA75" s="14" t="s">
        <v>64</v>
      </c>
      <c r="AB75" s="181" t="s">
        <v>64</v>
      </c>
      <c r="AC75" s="180"/>
    </row>
    <row r="76" spans="1:46" s="75" customFormat="1" ht="57.75">
      <c r="A76" s="719" t="e">
        <f ca="1">A75+1</f>
        <v>#REF!</v>
      </c>
      <c r="B76" s="690" t="s">
        <v>1373</v>
      </c>
      <c r="C76" s="719" t="s">
        <v>65</v>
      </c>
      <c r="D76" s="737" t="s">
        <v>1374</v>
      </c>
      <c r="E76" s="737" t="str">
        <f>VLOOKUP(B76,VN_Emails!B:H,7,0)</f>
        <v xml:space="preserve">Brand Division Manager (Foot Locker) </v>
      </c>
      <c r="F76" s="738" t="s">
        <v>1375</v>
      </c>
      <c r="G76" s="740" t="str">
        <f>SUBSTITUTE(VLOOKUP(B76,VN_Emails!B:H,2,0),"@mapactive.vn","")</f>
        <v>chi.tranvukim</v>
      </c>
      <c r="H76" s="740" t="s">
        <v>996</v>
      </c>
      <c r="I76" s="719" t="str">
        <f>J76&amp;" "&amp;K76&amp;" "&amp;L76</f>
        <v>Laptop Dell Latitude 5430</v>
      </c>
      <c r="J76" s="719" t="s">
        <v>86</v>
      </c>
      <c r="K76" s="719" t="s">
        <v>133</v>
      </c>
      <c r="L76" s="719" t="s">
        <v>1018</v>
      </c>
      <c r="M76" s="719" t="s">
        <v>1376</v>
      </c>
      <c r="N76" s="719">
        <v>16</v>
      </c>
      <c r="O76" s="719">
        <v>512</v>
      </c>
      <c r="P76" s="719" t="s">
        <v>79</v>
      </c>
      <c r="Q76" s="719" t="s">
        <v>89</v>
      </c>
      <c r="R76" s="719"/>
      <c r="S76" s="719"/>
      <c r="T76" s="719"/>
      <c r="U76" s="71"/>
      <c r="V76" s="77" t="s">
        <v>1377</v>
      </c>
      <c r="W76" s="185"/>
      <c r="X76" s="120" t="s">
        <v>1378</v>
      </c>
      <c r="Y76" s="14" t="s">
        <v>64</v>
      </c>
      <c r="Z76" s="14" t="s">
        <v>64</v>
      </c>
      <c r="AA76" s="14" t="s">
        <v>64</v>
      </c>
      <c r="AB76" s="181" t="s">
        <v>64</v>
      </c>
      <c r="AC76" s="74"/>
    </row>
    <row r="77" spans="1:46" ht="29.25">
      <c r="A77" s="690" t="e">
        <f ca="1">A76+1</f>
        <v>#REF!</v>
      </c>
      <c r="B77" s="690" t="s">
        <v>1379</v>
      </c>
      <c r="C77" s="690" t="s">
        <v>65</v>
      </c>
      <c r="D77" s="741" t="str">
        <f>VLOOKUP(B77,VN_Emails!B:H,4,0)</f>
        <v>Le Thanh Duyen</v>
      </c>
      <c r="E77" s="741" t="str">
        <f>VLOOKUP(B77,VN_Emails!B:H,7,0)</f>
        <v xml:space="preserve">Graphic Designer (Foot Locker) </v>
      </c>
      <c r="F77" s="738" t="s">
        <v>1380</v>
      </c>
      <c r="G77" s="740" t="str">
        <f>SUBSTITUTE(VLOOKUP(B77,VN_Emails!B:H,2,0),"@mapactive.vn","")</f>
        <v>duyen.lethanh</v>
      </c>
      <c r="H77" s="740" t="s">
        <v>996</v>
      </c>
      <c r="I77" s="690" t="str">
        <f>J77&amp;" "&amp;K77&amp;" "&amp;L77</f>
        <v>Desktop HP Pavilion 590-p0xxx</v>
      </c>
      <c r="J77" s="690" t="s">
        <v>57</v>
      </c>
      <c r="K77" s="719" t="s">
        <v>58</v>
      </c>
      <c r="L77" s="719" t="s">
        <v>1381</v>
      </c>
      <c r="M77" s="719" t="s">
        <v>1382</v>
      </c>
      <c r="N77" s="719">
        <v>8</v>
      </c>
      <c r="O77" s="719">
        <v>1512</v>
      </c>
      <c r="P77" s="719" t="s">
        <v>1383</v>
      </c>
      <c r="Q77" s="690" t="s">
        <v>1384</v>
      </c>
      <c r="R77" s="719"/>
      <c r="S77" s="719"/>
      <c r="T77" s="719"/>
      <c r="U77" s="28"/>
      <c r="V77" s="78" t="s">
        <v>1385</v>
      </c>
      <c r="W77" s="186"/>
      <c r="X77" s="14" t="s">
        <v>1386</v>
      </c>
      <c r="Y77" s="14" t="s">
        <v>64</v>
      </c>
      <c r="Z77" s="14" t="s">
        <v>64</v>
      </c>
      <c r="AA77" s="14" t="s">
        <v>64</v>
      </c>
      <c r="AB77" s="181" t="s">
        <v>64</v>
      </c>
      <c r="AC77" s="68"/>
    </row>
    <row r="78" spans="1:46" ht="45.75">
      <c r="A78" s="690">
        <f ca="1">A77+1</f>
        <v>422</v>
      </c>
      <c r="B78" s="690" t="s">
        <v>1387</v>
      </c>
      <c r="C78" s="690" t="s">
        <v>65</v>
      </c>
      <c r="D78" s="741" t="str">
        <f>VLOOKUP(B78,VN_Emails!B:H,4,0)</f>
        <v>Nguyen Ngoc Lan Anh</v>
      </c>
      <c r="E78" s="741" t="str">
        <f>VLOOKUP(B78,VN_Emails!B:H,7,0)</f>
        <v>Graphic Designer</v>
      </c>
      <c r="F78" s="738" t="s">
        <v>1388</v>
      </c>
      <c r="G78" s="740" t="str">
        <f>SUBSTITUTE(VLOOKUP(B78,VN_Emails!B:H,2,0),"@mapactive.vn","")</f>
        <v>anh.nguyenngoclan</v>
      </c>
      <c r="H78" s="740" t="s">
        <v>996</v>
      </c>
      <c r="I78" s="690" t="str">
        <f>J78&amp;" "&amp;K78&amp;" "&amp;L78</f>
        <v>Laptop Dell G15 5520</v>
      </c>
      <c r="J78" s="690" t="s">
        <v>86</v>
      </c>
      <c r="K78" s="690" t="s">
        <v>133</v>
      </c>
      <c r="L78" s="690" t="s">
        <v>1389</v>
      </c>
      <c r="M78" s="690" t="s">
        <v>1390</v>
      </c>
      <c r="N78" s="690">
        <v>32</v>
      </c>
      <c r="O78" s="690">
        <v>512</v>
      </c>
      <c r="P78" s="690" t="s">
        <v>79</v>
      </c>
      <c r="Q78" s="690" t="s">
        <v>1391</v>
      </c>
      <c r="R78" s="719"/>
      <c r="S78" s="719"/>
      <c r="T78" s="690"/>
      <c r="U78" s="71"/>
      <c r="V78" s="77"/>
      <c r="W78" s="185"/>
      <c r="X78" s="120" t="s">
        <v>1392</v>
      </c>
      <c r="Y78" s="14" t="s">
        <v>64</v>
      </c>
      <c r="Z78" s="14" t="s">
        <v>64</v>
      </c>
      <c r="AA78" s="14" t="s">
        <v>64</v>
      </c>
      <c r="AB78" s="181" t="s">
        <v>64</v>
      </c>
      <c r="AC78" s="74"/>
    </row>
    <row r="79" spans="1:46" s="75" customFormat="1" ht="45.75">
      <c r="A79" s="719" t="e">
        <f ca="1">A78+1</f>
        <v>#REF!</v>
      </c>
      <c r="B79" s="690" t="s">
        <v>1393</v>
      </c>
      <c r="C79" s="719" t="s">
        <v>65</v>
      </c>
      <c r="D79" s="737" t="str">
        <f>VLOOKUP(B79,VN_Emails!B:H,4,0)</f>
        <v>Nguyen Thanh Anh Thu</v>
      </c>
      <c r="E79" s="737" t="str">
        <f>VLOOKUP(B79,VN_Emails!B:H,7,0)</f>
        <v>Visual Merchandise Manager</v>
      </c>
      <c r="F79" s="738" t="s">
        <v>1394</v>
      </c>
      <c r="G79" s="740" t="str">
        <f>SUBSTITUTE(VLOOKUP(B79,VN_Emails!B:H,2,0),"@mapactive.vn","")</f>
        <v>thu.nguyenthanhanh</v>
      </c>
      <c r="H79" s="740" t="s">
        <v>996</v>
      </c>
      <c r="I79" s="719" t="str">
        <f>J79&amp;" "&amp;K79&amp;" "&amp;L79</f>
        <v>Laptop Dell G15 5520</v>
      </c>
      <c r="J79" s="719" t="s">
        <v>86</v>
      </c>
      <c r="K79" s="719" t="s">
        <v>133</v>
      </c>
      <c r="L79" s="719" t="s">
        <v>1389</v>
      </c>
      <c r="M79" s="719" t="s">
        <v>1395</v>
      </c>
      <c r="N79" s="719">
        <v>16</v>
      </c>
      <c r="O79" s="719">
        <v>1000</v>
      </c>
      <c r="P79" s="719" t="s">
        <v>79</v>
      </c>
      <c r="Q79" s="719" t="s">
        <v>1396</v>
      </c>
      <c r="R79" s="719"/>
      <c r="S79" s="719"/>
      <c r="T79" s="719"/>
      <c r="U79" s="28"/>
      <c r="V79" s="78"/>
      <c r="W79" s="186"/>
      <c r="X79" s="120" t="s">
        <v>1397</v>
      </c>
      <c r="Y79" s="14" t="s">
        <v>64</v>
      </c>
      <c r="Z79" s="14" t="s">
        <v>64</v>
      </c>
      <c r="AA79" s="14" t="s">
        <v>64</v>
      </c>
      <c r="AB79" s="181" t="s">
        <v>64</v>
      </c>
      <c r="AC79" s="68"/>
    </row>
    <row r="80" spans="1:46" ht="30">
      <c r="A80" s="719" t="e">
        <f ca="1">A79+1</f>
        <v>#REF!</v>
      </c>
      <c r="B80" s="690" t="s">
        <v>1398</v>
      </c>
      <c r="C80" s="719" t="s">
        <v>54</v>
      </c>
      <c r="D80" s="737" t="e">
        <f>VLOOKUP(B80,VN_Emails!B:H,4,0)</f>
        <v>#N/A</v>
      </c>
      <c r="E80" s="737" t="e">
        <f>VLOOKUP(B80,VN_Emails!B:H,7,0)</f>
        <v>#N/A</v>
      </c>
      <c r="F80" s="738" t="s">
        <v>1399</v>
      </c>
      <c r="G80" s="740" t="e">
        <f>SUBSTITUTE(VLOOKUP(B80,VN_Emails!B:H,2,0),"@mapactive.vn","")</f>
        <v>#N/A</v>
      </c>
      <c r="H80" s="740" t="s">
        <v>996</v>
      </c>
      <c r="I80" s="719" t="str">
        <f>J80&amp;" "&amp;K80&amp;" "&amp;L80</f>
        <v>Laptop Dell Latitude 5430</v>
      </c>
      <c r="J80" s="719" t="s">
        <v>86</v>
      </c>
      <c r="K80" s="719" t="s">
        <v>133</v>
      </c>
      <c r="L80" s="719" t="s">
        <v>1018</v>
      </c>
      <c r="M80" s="719" t="s">
        <v>1400</v>
      </c>
      <c r="N80" s="719">
        <v>16</v>
      </c>
      <c r="O80" s="719">
        <v>512</v>
      </c>
      <c r="P80" s="719" t="s">
        <v>79</v>
      </c>
      <c r="Q80" s="719" t="s">
        <v>89</v>
      </c>
      <c r="R80" s="719"/>
      <c r="S80" s="719"/>
      <c r="T80" s="719"/>
      <c r="U80" s="71"/>
      <c r="V80" s="77" t="s">
        <v>1401</v>
      </c>
      <c r="W80" s="185"/>
      <c r="X80" s="120" t="s">
        <v>1402</v>
      </c>
      <c r="Y80" s="14" t="s">
        <v>64</v>
      </c>
      <c r="Z80" s="14" t="s">
        <v>64</v>
      </c>
      <c r="AA80" s="14" t="s">
        <v>64</v>
      </c>
      <c r="AB80" s="181" t="s">
        <v>64</v>
      </c>
      <c r="AC80" s="74"/>
    </row>
    <row r="81" spans="1:46" ht="57.75">
      <c r="A81" s="690" t="e">
        <f ca="1">A80+1</f>
        <v>#REF!</v>
      </c>
      <c r="B81" s="690" t="s">
        <v>1403</v>
      </c>
      <c r="C81" s="690" t="s">
        <v>54</v>
      </c>
      <c r="D81" s="741"/>
      <c r="E81" s="741" t="e">
        <f>VLOOKUP(B81,VN_Emails!B:H,7,0)</f>
        <v>#N/A</v>
      </c>
      <c r="F81" s="738" t="s">
        <v>1404</v>
      </c>
      <c r="G81" s="740" t="e">
        <f>SUBSTITUTE(VLOOKUP(B81,VN_Emails!B:H,2,0),"@mapactive.vn","")</f>
        <v>#N/A</v>
      </c>
      <c r="H81" s="740" t="s">
        <v>996</v>
      </c>
      <c r="I81" s="690" t="str">
        <f>J81&amp;" "&amp;K81&amp;" "&amp;L81</f>
        <v>Laptop Dell Latitude 3520</v>
      </c>
      <c r="J81" s="690" t="s">
        <v>86</v>
      </c>
      <c r="K81" s="690" t="s">
        <v>133</v>
      </c>
      <c r="L81" s="690" t="s">
        <v>131</v>
      </c>
      <c r="M81" s="719" t="s">
        <v>1405</v>
      </c>
      <c r="N81" s="690">
        <v>8</v>
      </c>
      <c r="O81" s="719">
        <v>512</v>
      </c>
      <c r="P81" s="690" t="s">
        <v>79</v>
      </c>
      <c r="Q81" s="690" t="s">
        <v>1063</v>
      </c>
      <c r="R81" s="719"/>
      <c r="S81" s="719"/>
      <c r="T81" s="719"/>
      <c r="U81" s="28"/>
      <c r="V81" s="78"/>
      <c r="W81" s="186"/>
      <c r="X81" s="120" t="s">
        <v>1406</v>
      </c>
      <c r="Y81" s="14" t="s">
        <v>64</v>
      </c>
      <c r="Z81" s="14" t="s">
        <v>64</v>
      </c>
      <c r="AA81" s="14" t="s">
        <v>64</v>
      </c>
      <c r="AB81" s="181" t="s">
        <v>64</v>
      </c>
      <c r="AC81" s="68"/>
      <c r="AD81" s="75" t="s">
        <v>1407</v>
      </c>
      <c r="AE81" s="75"/>
      <c r="AF81" s="75"/>
      <c r="AG81" s="75"/>
      <c r="AH81" s="75"/>
      <c r="AI81" s="75"/>
      <c r="AJ81" s="75"/>
      <c r="AK81" s="75"/>
      <c r="AL81" s="75"/>
      <c r="AM81" s="75"/>
      <c r="AN81" s="75"/>
      <c r="AO81" s="75"/>
      <c r="AP81" s="75"/>
      <c r="AQ81" s="75"/>
      <c r="AR81" s="75"/>
      <c r="AS81" s="75"/>
      <c r="AT81" s="75"/>
    </row>
    <row r="82" spans="1:46" ht="30">
      <c r="A82" s="690" t="e">
        <f ca="1">A80+1</f>
        <v>#REF!</v>
      </c>
      <c r="B82" s="690" t="s">
        <v>1408</v>
      </c>
      <c r="C82" s="690" t="s">
        <v>54</v>
      </c>
      <c r="D82" s="741" t="e">
        <f>VLOOKUP(B82,VN_Emails!B:H,4,0)</f>
        <v>#N/A</v>
      </c>
      <c r="E82" s="741" t="e">
        <f>VLOOKUP(B82,VN_Emails!B:H,7,0)</f>
        <v>#N/A</v>
      </c>
      <c r="F82" s="738" t="s">
        <v>1409</v>
      </c>
      <c r="G82" s="740" t="e">
        <f>SUBSTITUTE(VLOOKUP(B82,VN_Emails!B:H,2,0),"@mapactive.vn","")</f>
        <v>#N/A</v>
      </c>
      <c r="H82" s="740" t="s">
        <v>996</v>
      </c>
      <c r="I82" s="690" t="str">
        <f>J82&amp;" "&amp;K82&amp;" "&amp;L82</f>
        <v>Laptop Dell Latitude 3520</v>
      </c>
      <c r="J82" s="690" t="s">
        <v>86</v>
      </c>
      <c r="K82" s="690" t="s">
        <v>133</v>
      </c>
      <c r="L82" s="690" t="s">
        <v>131</v>
      </c>
      <c r="M82" s="719" t="s">
        <v>1410</v>
      </c>
      <c r="N82" s="690">
        <v>8</v>
      </c>
      <c r="O82" s="719">
        <v>256</v>
      </c>
      <c r="P82" s="690" t="s">
        <v>79</v>
      </c>
      <c r="Q82" s="690" t="s">
        <v>870</v>
      </c>
      <c r="R82" s="719"/>
      <c r="S82" s="719"/>
      <c r="T82" s="719" t="s">
        <v>1411</v>
      </c>
      <c r="U82" s="28"/>
      <c r="V82" s="78"/>
      <c r="W82" s="186"/>
      <c r="X82" s="120" t="s">
        <v>1412</v>
      </c>
      <c r="Y82" s="14" t="s">
        <v>64</v>
      </c>
      <c r="Z82" s="14" t="s">
        <v>64</v>
      </c>
      <c r="AA82" s="14" t="s">
        <v>64</v>
      </c>
      <c r="AB82" s="181" t="s">
        <v>64</v>
      </c>
      <c r="AC82" s="68"/>
    </row>
    <row r="83" spans="1:46" ht="30">
      <c r="A83" s="690" t="e">
        <f ca="1">A82+1</f>
        <v>#REF!</v>
      </c>
      <c r="B83" s="690" t="s">
        <v>1413</v>
      </c>
      <c r="C83" s="690" t="s">
        <v>54</v>
      </c>
      <c r="D83" s="741" t="e">
        <f>VLOOKUP(B83,VN_Emails!B:H,4,0)</f>
        <v>#N/A</v>
      </c>
      <c r="E83" s="741" t="e">
        <f>VLOOKUP(B83,VN_Emails!B:H,7,0)</f>
        <v>#N/A</v>
      </c>
      <c r="F83" s="738" t="s">
        <v>1414</v>
      </c>
      <c r="G83" s="740" t="e">
        <f>SUBSTITUTE(VLOOKUP(B83,VN_Emails!B:H,2,0),"@mapactive.vn","")</f>
        <v>#N/A</v>
      </c>
      <c r="H83" s="740" t="s">
        <v>996</v>
      </c>
      <c r="I83" s="690" t="str">
        <f>J83&amp;" "&amp;K83&amp;" "&amp;L83</f>
        <v>Laptop Dell Latitude 3520</v>
      </c>
      <c r="J83" s="690" t="s">
        <v>86</v>
      </c>
      <c r="K83" s="690" t="s">
        <v>133</v>
      </c>
      <c r="L83" s="690" t="s">
        <v>131</v>
      </c>
      <c r="M83" s="719" t="s">
        <v>1415</v>
      </c>
      <c r="N83" s="690">
        <v>8</v>
      </c>
      <c r="O83" s="719">
        <v>256</v>
      </c>
      <c r="P83" s="690" t="s">
        <v>79</v>
      </c>
      <c r="Q83" s="690" t="s">
        <v>870</v>
      </c>
      <c r="R83" s="719"/>
      <c r="S83" s="719"/>
      <c r="T83" s="719" t="s">
        <v>1416</v>
      </c>
      <c r="U83" s="28"/>
      <c r="V83" s="78"/>
      <c r="W83" s="186"/>
      <c r="X83" s="120" t="s">
        <v>1417</v>
      </c>
      <c r="Y83" s="14" t="s">
        <v>64</v>
      </c>
      <c r="Z83" s="14" t="s">
        <v>64</v>
      </c>
      <c r="AA83" s="14" t="s">
        <v>64</v>
      </c>
      <c r="AB83" s="181" t="s">
        <v>64</v>
      </c>
      <c r="AC83" s="68"/>
    </row>
    <row r="84" spans="1:46" ht="45.75">
      <c r="A84" s="719" t="e">
        <f>#REF!+1</f>
        <v>#REF!</v>
      </c>
      <c r="B84" s="690" t="s">
        <v>1418</v>
      </c>
      <c r="C84" s="719" t="s">
        <v>65</v>
      </c>
      <c r="D84" s="737" t="s">
        <v>1419</v>
      </c>
      <c r="E84" s="737" t="s">
        <v>1420</v>
      </c>
      <c r="F84" s="738" t="s">
        <v>1421</v>
      </c>
      <c r="G84" s="740" t="str">
        <f>SUBSTITUTE(VLOOKUP(B84,VN_Emails!B:H,2,0),"@mapactive.vn","")</f>
        <v>uyen.nguyenhaphuong</v>
      </c>
      <c r="H84" s="740" t="s">
        <v>996</v>
      </c>
      <c r="I84" s="719" t="str">
        <f>J84&amp;" "&amp;K84&amp;" "&amp;L84</f>
        <v>Laptop Dell Latitude 5430</v>
      </c>
      <c r="J84" s="719" t="s">
        <v>86</v>
      </c>
      <c r="K84" s="719" t="s">
        <v>133</v>
      </c>
      <c r="L84" s="719" t="s">
        <v>1018</v>
      </c>
      <c r="M84" s="719" t="s">
        <v>1422</v>
      </c>
      <c r="N84" s="719">
        <v>16</v>
      </c>
      <c r="O84" s="719">
        <v>512</v>
      </c>
      <c r="P84" s="719" t="s">
        <v>79</v>
      </c>
      <c r="Q84" s="719" t="s">
        <v>1423</v>
      </c>
      <c r="R84" s="719"/>
      <c r="S84" s="719"/>
      <c r="T84" s="719" t="s">
        <v>1424</v>
      </c>
      <c r="U84" s="71"/>
      <c r="V84" s="78" t="s">
        <v>1425</v>
      </c>
      <c r="W84" s="186"/>
      <c r="X84" s="120" t="s">
        <v>1426</v>
      </c>
      <c r="Y84" s="14" t="s">
        <v>64</v>
      </c>
      <c r="Z84" s="14" t="s">
        <v>64</v>
      </c>
      <c r="AA84" s="14" t="s">
        <v>64</v>
      </c>
      <c r="AB84" s="181" t="s">
        <v>64</v>
      </c>
      <c r="AC84" s="68"/>
    </row>
    <row r="85" spans="1:46" ht="30">
      <c r="A85" s="690" t="e">
        <f>A84+1</f>
        <v>#REF!</v>
      </c>
      <c r="B85" s="690" t="s">
        <v>1427</v>
      </c>
      <c r="C85" s="690" t="s">
        <v>54</v>
      </c>
      <c r="D85" s="741" t="s">
        <v>1428</v>
      </c>
      <c r="E85" s="741" t="e">
        <f>VLOOKUP(B85,VN_Emails!B:H,7,0)</f>
        <v>#N/A</v>
      </c>
      <c r="F85" s="738" t="s">
        <v>1429</v>
      </c>
      <c r="G85" s="740" t="s">
        <v>1430</v>
      </c>
      <c r="H85" s="740" t="s">
        <v>996</v>
      </c>
      <c r="I85" s="690" t="str">
        <f>J85&amp;" "&amp;K85&amp;" "&amp;L85</f>
        <v>Laptop Dell Latitude 3520</v>
      </c>
      <c r="J85" s="690" t="s">
        <v>86</v>
      </c>
      <c r="K85" s="690" t="s">
        <v>133</v>
      </c>
      <c r="L85" s="690" t="s">
        <v>131</v>
      </c>
      <c r="M85" s="719" t="s">
        <v>1431</v>
      </c>
      <c r="N85" s="690">
        <v>8</v>
      </c>
      <c r="O85" s="719">
        <v>256</v>
      </c>
      <c r="P85" s="690" t="s">
        <v>79</v>
      </c>
      <c r="Q85" s="690" t="s">
        <v>870</v>
      </c>
      <c r="R85" s="719"/>
      <c r="S85" s="719"/>
      <c r="T85" s="719"/>
      <c r="U85" s="28"/>
      <c r="V85" s="78"/>
      <c r="W85" s="186"/>
      <c r="X85" s="14" t="s">
        <v>1432</v>
      </c>
      <c r="Y85" s="14" t="s">
        <v>64</v>
      </c>
      <c r="Z85" s="14" t="s">
        <v>64</v>
      </c>
      <c r="AA85" s="14" t="s">
        <v>64</v>
      </c>
      <c r="AB85" s="181" t="s">
        <v>64</v>
      </c>
      <c r="AC85" s="68"/>
    </row>
    <row r="86" spans="1:46" ht="44.25">
      <c r="A86" s="690" t="e">
        <f>A85+1</f>
        <v>#REF!</v>
      </c>
      <c r="B86" s="754" t="s">
        <v>75</v>
      </c>
      <c r="C86" s="690" t="s">
        <v>54</v>
      </c>
      <c r="D86" s="741"/>
      <c r="E86" s="741" t="e">
        <f>VLOOKUP(B86,VN_Emails!B:H,7,0)</f>
        <v>#N/A</v>
      </c>
      <c r="F86" s="738" t="s">
        <v>1433</v>
      </c>
      <c r="G86" s="740" t="e">
        <f>SUBSTITUTE(VLOOKUP(B86,VN_Emails!B:H,2,0),"@mapactive.vn","")</f>
        <v>#N/A</v>
      </c>
      <c r="H86" s="740" t="s">
        <v>996</v>
      </c>
      <c r="I86" s="690" t="str">
        <f>J86&amp;" "&amp;K86&amp;" "&amp;L86</f>
        <v>Desktop HP ProDesk 400 G3 Mini</v>
      </c>
      <c r="J86" s="690" t="s">
        <v>57</v>
      </c>
      <c r="K86" s="719" t="s">
        <v>58</v>
      </c>
      <c r="L86" s="719" t="s">
        <v>1434</v>
      </c>
      <c r="M86" s="690" t="s">
        <v>78</v>
      </c>
      <c r="N86" s="690">
        <v>8</v>
      </c>
      <c r="O86" s="690">
        <v>500</v>
      </c>
      <c r="P86" s="690" t="s">
        <v>79</v>
      </c>
      <c r="Q86" s="690" t="s">
        <v>1435</v>
      </c>
      <c r="R86" s="737"/>
      <c r="S86" s="737"/>
      <c r="T86" s="737"/>
      <c r="U86" s="68"/>
      <c r="V86" s="78"/>
      <c r="W86" s="186"/>
      <c r="X86" s="14"/>
      <c r="Y86" s="14" t="s">
        <v>64</v>
      </c>
      <c r="Z86" s="14" t="s">
        <v>64</v>
      </c>
      <c r="AA86" s="14" t="s">
        <v>64</v>
      </c>
      <c r="AB86" s="181" t="s">
        <v>64</v>
      </c>
      <c r="AC86" s="68"/>
    </row>
    <row r="87" spans="1:46" ht="45.75">
      <c r="A87" s="690" t="e">
        <f>A86+1</f>
        <v>#REF!</v>
      </c>
      <c r="B87" s="690" t="s">
        <v>1436</v>
      </c>
      <c r="C87" s="690" t="s">
        <v>54</v>
      </c>
      <c r="D87" s="741" t="s">
        <v>1437</v>
      </c>
      <c r="E87" s="741" t="s">
        <v>1438</v>
      </c>
      <c r="F87" s="738" t="s">
        <v>1439</v>
      </c>
      <c r="G87" s="740"/>
      <c r="H87" s="740" t="s">
        <v>996</v>
      </c>
      <c r="I87" s="690" t="str">
        <f>J87&amp;" "&amp;K87&amp;" "&amp;L87</f>
        <v>Desktop HP ProDesk 400 G3 Mini</v>
      </c>
      <c r="J87" s="690" t="s">
        <v>57</v>
      </c>
      <c r="K87" s="719" t="s">
        <v>58</v>
      </c>
      <c r="L87" s="719" t="s">
        <v>1434</v>
      </c>
      <c r="M87" s="690" t="s">
        <v>1440</v>
      </c>
      <c r="N87" s="690">
        <v>8</v>
      </c>
      <c r="O87" s="690">
        <v>500</v>
      </c>
      <c r="P87" s="690" t="s">
        <v>79</v>
      </c>
      <c r="Q87" s="690" t="s">
        <v>1435</v>
      </c>
      <c r="R87" s="719"/>
      <c r="S87" s="719"/>
      <c r="T87" s="719" t="s">
        <v>1441</v>
      </c>
      <c r="U87" s="28"/>
      <c r="V87" s="78" t="s">
        <v>1442</v>
      </c>
      <c r="W87" s="186"/>
      <c r="X87" s="14"/>
      <c r="Y87" s="14" t="s">
        <v>64</v>
      </c>
      <c r="Z87" s="14" t="s">
        <v>64</v>
      </c>
      <c r="AA87" s="14" t="s">
        <v>64</v>
      </c>
      <c r="AB87" s="181" t="s">
        <v>64</v>
      </c>
      <c r="AC87" s="68"/>
    </row>
    <row r="88" spans="1:46" ht="43.5">
      <c r="A88" s="690" t="e">
        <f>Asset_Store!#REF!+1</f>
        <v>#REF!</v>
      </c>
      <c r="B88" s="690" t="s">
        <v>1443</v>
      </c>
      <c r="C88" s="690" t="s">
        <v>54</v>
      </c>
      <c r="D88" s="737"/>
      <c r="E88" s="737" t="s">
        <v>1444</v>
      </c>
      <c r="F88" s="751" t="s">
        <v>1445</v>
      </c>
      <c r="G88" s="740" t="e">
        <f>SUBSTITUTE(VLOOKUP(B88,VN_Emails!B:H,2,0),"@mapactive.vn","")</f>
        <v>#N/A</v>
      </c>
      <c r="H88" s="740" t="s">
        <v>996</v>
      </c>
      <c r="I88" s="690" t="str">
        <f>J88&amp;" "&amp;K88&amp;" "&amp;L88</f>
        <v>Laptop Lenovo Thinkpad X280</v>
      </c>
      <c r="J88" s="690" t="s">
        <v>86</v>
      </c>
      <c r="K88" s="690" t="s">
        <v>279</v>
      </c>
      <c r="L88" s="690" t="s">
        <v>1141</v>
      </c>
      <c r="M88" s="719" t="s">
        <v>1446</v>
      </c>
      <c r="N88" s="719">
        <v>8</v>
      </c>
      <c r="O88" s="719">
        <v>256</v>
      </c>
      <c r="P88" s="690" t="s">
        <v>79</v>
      </c>
      <c r="Q88" s="690" t="s">
        <v>350</v>
      </c>
      <c r="R88" s="755"/>
      <c r="S88" s="719"/>
      <c r="T88" s="719"/>
      <c r="U88" s="28"/>
      <c r="V88" s="78" t="s">
        <v>1447</v>
      </c>
      <c r="W88" s="186"/>
      <c r="X88" s="14"/>
      <c r="Y88" s="14" t="s">
        <v>64</v>
      </c>
      <c r="Z88" s="14" t="s">
        <v>64</v>
      </c>
      <c r="AA88" s="14" t="s">
        <v>64</v>
      </c>
      <c r="AB88" s="181" t="s">
        <v>64</v>
      </c>
      <c r="AC88" s="68"/>
    </row>
    <row r="89" spans="1:46" ht="30">
      <c r="A89" s="719" t="e">
        <f>A88+1</f>
        <v>#REF!</v>
      </c>
      <c r="B89" s="690" t="s">
        <v>1448</v>
      </c>
      <c r="C89" s="719" t="s">
        <v>54</v>
      </c>
      <c r="D89" s="737" t="e">
        <f>VLOOKUP(B89,VN_Emails!B:H,4,0)</f>
        <v>#N/A</v>
      </c>
      <c r="E89" s="737" t="e">
        <f>VLOOKUP(B89,VN_Emails!B:H,7,0)</f>
        <v>#N/A</v>
      </c>
      <c r="F89" s="738" t="s">
        <v>1449</v>
      </c>
      <c r="G89" s="740" t="e">
        <f>SUBSTITUTE(VLOOKUP(B89,VN_Emails!B:H,2,0),"@mapactive.vn","")</f>
        <v>#N/A</v>
      </c>
      <c r="H89" s="740" t="s">
        <v>996</v>
      </c>
      <c r="I89" s="719" t="str">
        <f>J89&amp;" "&amp;K89&amp;" "&amp;L89</f>
        <v>Laptop Dell Latitude 5430</v>
      </c>
      <c r="J89" s="719" t="s">
        <v>86</v>
      </c>
      <c r="K89" s="719" t="s">
        <v>133</v>
      </c>
      <c r="L89" s="719" t="s">
        <v>1018</v>
      </c>
      <c r="M89" s="719" t="s">
        <v>1450</v>
      </c>
      <c r="N89" s="719">
        <v>16</v>
      </c>
      <c r="O89" s="719">
        <v>512</v>
      </c>
      <c r="P89" s="719" t="s">
        <v>79</v>
      </c>
      <c r="Q89" s="719" t="s">
        <v>876</v>
      </c>
      <c r="R89" s="755"/>
      <c r="S89" s="719"/>
      <c r="T89" s="719"/>
      <c r="U89" s="71"/>
      <c r="V89" s="78"/>
      <c r="W89" s="186"/>
      <c r="X89" s="14"/>
      <c r="Y89" s="14" t="s">
        <v>64</v>
      </c>
      <c r="Z89" s="14" t="s">
        <v>64</v>
      </c>
      <c r="AA89" s="14" t="s">
        <v>64</v>
      </c>
      <c r="AB89" s="181" t="s">
        <v>64</v>
      </c>
      <c r="AC89" s="68"/>
    </row>
    <row r="90" spans="1:46" ht="29.25">
      <c r="A90" s="719" t="e">
        <f>A89+1</f>
        <v>#REF!</v>
      </c>
      <c r="B90" s="690" t="s">
        <v>1451</v>
      </c>
      <c r="C90" s="719" t="s">
        <v>65</v>
      </c>
      <c r="D90" s="737" t="s">
        <v>1452</v>
      </c>
      <c r="E90" s="737" t="s">
        <v>1453</v>
      </c>
      <c r="F90" s="738" t="s">
        <v>1454</v>
      </c>
      <c r="G90" s="739"/>
      <c r="H90" s="740" t="s">
        <v>996</v>
      </c>
      <c r="I90" s="719" t="str">
        <f>J90&amp;" "&amp;K90&amp;" "&amp;L90</f>
        <v xml:space="preserve">Desktop DeLUX </v>
      </c>
      <c r="J90" s="719" t="s">
        <v>57</v>
      </c>
      <c r="K90" s="719" t="s">
        <v>1455</v>
      </c>
      <c r="L90" s="719"/>
      <c r="M90" s="719" t="s">
        <v>1456</v>
      </c>
      <c r="N90" s="719">
        <v>16</v>
      </c>
      <c r="O90" s="719">
        <v>1024</v>
      </c>
      <c r="P90" s="719" t="s">
        <v>61</v>
      </c>
      <c r="Q90" s="719" t="s">
        <v>1457</v>
      </c>
      <c r="R90" s="756"/>
      <c r="S90" s="757"/>
      <c r="T90" s="757"/>
      <c r="U90" s="122"/>
      <c r="V90" s="139"/>
      <c r="W90" s="189"/>
      <c r="X90" s="45"/>
      <c r="Y90" s="45" t="s">
        <v>64</v>
      </c>
      <c r="Z90" s="45" t="s">
        <v>64</v>
      </c>
      <c r="AA90" s="45" t="s">
        <v>64</v>
      </c>
      <c r="AB90" s="182" t="s">
        <v>64</v>
      </c>
      <c r="AC90" s="68"/>
    </row>
    <row r="91" spans="1:46" ht="43.5">
      <c r="A91" s="719" t="e">
        <f>A90+1</f>
        <v>#REF!</v>
      </c>
      <c r="B91" s="690" t="s">
        <v>1458</v>
      </c>
      <c r="C91" s="719" t="s">
        <v>65</v>
      </c>
      <c r="D91" s="737" t="str">
        <f>VLOOKUP(B91,VN_Emails!B:H,4,0)</f>
        <v>Ngo Anh Tuan</v>
      </c>
      <c r="E91" s="737" t="str">
        <f>VLOOKUP(B91,VN_Emails!B:H,7,0)</f>
        <v>Senior Wholesaler</v>
      </c>
      <c r="F91" s="738" t="s">
        <v>1459</v>
      </c>
      <c r="G91" s="740" t="str">
        <f>SUBSTITUTE(VLOOKUP(B91,VN_Emails!B:H,2,0),"@mapactive.vn","")</f>
        <v>tuan.ngoanh</v>
      </c>
      <c r="H91" s="740" t="s">
        <v>996</v>
      </c>
      <c r="I91" s="719" t="str">
        <f>J91&amp;" "&amp;K91&amp;" "&amp;L91</f>
        <v>Laptop Dell Latitude 5430</v>
      </c>
      <c r="J91" s="719" t="s">
        <v>86</v>
      </c>
      <c r="K91" s="719" t="s">
        <v>133</v>
      </c>
      <c r="L91" s="719" t="s">
        <v>1018</v>
      </c>
      <c r="M91" s="719" t="s">
        <v>1460</v>
      </c>
      <c r="N91" s="719">
        <v>16</v>
      </c>
      <c r="O91" s="719">
        <v>512</v>
      </c>
      <c r="P91" s="719" t="s">
        <v>79</v>
      </c>
      <c r="Q91" s="719" t="s">
        <v>89</v>
      </c>
      <c r="R91" s="758"/>
      <c r="S91" s="759"/>
      <c r="T91" s="757" t="s">
        <v>1461</v>
      </c>
      <c r="U91" s="122"/>
      <c r="V91" s="377" t="s">
        <v>1462</v>
      </c>
      <c r="W91" s="189"/>
      <c r="X91" s="45"/>
      <c r="Y91" s="45" t="s">
        <v>64</v>
      </c>
      <c r="Z91" s="45" t="s">
        <v>64</v>
      </c>
      <c r="AA91" s="45" t="s">
        <v>64</v>
      </c>
      <c r="AB91" s="182" t="s">
        <v>64</v>
      </c>
      <c r="AC91" s="68"/>
    </row>
    <row r="92" spans="1:46" s="75" customFormat="1" ht="57.75">
      <c r="A92" s="690" t="e">
        <f>A91+1</f>
        <v>#REF!</v>
      </c>
      <c r="B92" s="690" t="s">
        <v>1463</v>
      </c>
      <c r="C92" s="690" t="s">
        <v>54</v>
      </c>
      <c r="D92" s="737" t="s">
        <v>1464</v>
      </c>
      <c r="E92" s="741" t="s">
        <v>1465</v>
      </c>
      <c r="F92" s="751" t="s">
        <v>1466</v>
      </c>
      <c r="G92" s="740" t="e">
        <f>SUBSTITUTE(VLOOKUP(B92,VN_Emails!B:H,2,0),"@mapactive.vn","")</f>
        <v>#N/A</v>
      </c>
      <c r="H92" s="740" t="s">
        <v>996</v>
      </c>
      <c r="I92" s="690" t="str">
        <f>J92&amp;" "&amp;K92&amp;" "&amp;L92</f>
        <v>Laptop Lenovo Thinkpad X280</v>
      </c>
      <c r="J92" s="690" t="s">
        <v>86</v>
      </c>
      <c r="K92" s="690" t="s">
        <v>279</v>
      </c>
      <c r="L92" s="690" t="s">
        <v>1141</v>
      </c>
      <c r="M92" s="690" t="s">
        <v>1467</v>
      </c>
      <c r="N92" s="690">
        <v>8</v>
      </c>
      <c r="O92" s="690">
        <v>256</v>
      </c>
      <c r="P92" s="690" t="s">
        <v>79</v>
      </c>
      <c r="Q92" s="690" t="s">
        <v>1468</v>
      </c>
      <c r="R92" s="760"/>
      <c r="S92" s="741"/>
      <c r="T92" s="761" t="s">
        <v>1469</v>
      </c>
      <c r="U92" s="329"/>
      <c r="V92" s="77" t="s">
        <v>1470</v>
      </c>
      <c r="W92" s="185"/>
      <c r="X92" s="74"/>
      <c r="Y92" s="120" t="s">
        <v>64</v>
      </c>
      <c r="Z92" s="120" t="s">
        <v>64</v>
      </c>
      <c r="AA92" s="120" t="s">
        <v>64</v>
      </c>
      <c r="AB92" s="330" t="s">
        <v>64</v>
      </c>
      <c r="AC92" s="74"/>
    </row>
    <row r="93" spans="1:46" ht="60.75">
      <c r="A93" s="690" t="e">
        <f>A92+1</f>
        <v>#REF!</v>
      </c>
      <c r="B93" s="690" t="s">
        <v>1471</v>
      </c>
      <c r="C93" s="690" t="s">
        <v>65</v>
      </c>
      <c r="D93" s="737" t="s">
        <v>351</v>
      </c>
      <c r="E93" s="737" t="s">
        <v>1472</v>
      </c>
      <c r="F93" s="737" t="s">
        <v>351</v>
      </c>
      <c r="G93" s="740" t="e">
        <f>SUBSTITUTE(VLOOKUP(B93,VN_Emails!B:H,2,0),"@mapactive.vn","")</f>
        <v>#N/A</v>
      </c>
      <c r="H93" s="740" t="s">
        <v>996</v>
      </c>
      <c r="I93" s="690" t="str">
        <f>J93&amp;" "&amp;K93&amp;" "&amp;L93</f>
        <v>Laptop Lenovo Thinkpad X280</v>
      </c>
      <c r="J93" s="690" t="s">
        <v>86</v>
      </c>
      <c r="K93" s="719" t="s">
        <v>279</v>
      </c>
      <c r="L93" s="690" t="s">
        <v>1141</v>
      </c>
      <c r="M93" s="719" t="s">
        <v>1473</v>
      </c>
      <c r="N93" s="719">
        <v>8</v>
      </c>
      <c r="O93" s="719">
        <v>256</v>
      </c>
      <c r="P93" s="719" t="s">
        <v>79</v>
      </c>
      <c r="Q93" s="690" t="s">
        <v>1468</v>
      </c>
      <c r="R93" s="762"/>
      <c r="S93" s="763"/>
      <c r="T93" s="763" t="s">
        <v>1474</v>
      </c>
      <c r="U93" s="179"/>
      <c r="V93" s="139" t="s">
        <v>1475</v>
      </c>
      <c r="W93" s="189"/>
      <c r="X93" s="179"/>
      <c r="Y93" s="45" t="s">
        <v>64</v>
      </c>
      <c r="Z93" s="45" t="s">
        <v>64</v>
      </c>
      <c r="AA93" s="45" t="s">
        <v>64</v>
      </c>
      <c r="AB93" s="182" t="s">
        <v>64</v>
      </c>
      <c r="AC93" s="14" t="s">
        <v>64</v>
      </c>
    </row>
    <row r="94" spans="1:46" ht="75.75">
      <c r="A94" s="719" t="e">
        <f>A93+1</f>
        <v>#REF!</v>
      </c>
      <c r="B94" s="690" t="s">
        <v>1476</v>
      </c>
      <c r="C94" s="719" t="s">
        <v>65</v>
      </c>
      <c r="D94" s="737" t="str">
        <f>VLOOKUP(B94,VN_Emails!B:H,4,0)</f>
        <v>Luu Giang Cam Van</v>
      </c>
      <c r="E94" s="737" t="s">
        <v>1477</v>
      </c>
      <c r="F94" s="738" t="s">
        <v>1478</v>
      </c>
      <c r="G94" s="740" t="str">
        <f>SUBSTITUTE(VLOOKUP(B94,VN_Emails!B:H,2,0),"@mapactive.vn","")</f>
        <v>van.luugiangcam</v>
      </c>
      <c r="H94" s="740" t="s">
        <v>996</v>
      </c>
      <c r="I94" s="719" t="str">
        <f>J94&amp;" "&amp;K94&amp;" "&amp;L94</f>
        <v>Laptop Dell Latitude 5430</v>
      </c>
      <c r="J94" s="719" t="s">
        <v>86</v>
      </c>
      <c r="K94" s="719" t="s">
        <v>133</v>
      </c>
      <c r="L94" s="719" t="s">
        <v>1018</v>
      </c>
      <c r="M94" s="719" t="s">
        <v>1479</v>
      </c>
      <c r="N94" s="719">
        <v>16</v>
      </c>
      <c r="O94" s="719">
        <v>512</v>
      </c>
      <c r="P94" s="737" t="s">
        <v>79</v>
      </c>
      <c r="Q94" s="719" t="s">
        <v>89</v>
      </c>
      <c r="R94" s="762"/>
      <c r="S94" s="763"/>
      <c r="T94" s="763"/>
      <c r="U94" s="179"/>
      <c r="V94" s="139" t="s">
        <v>1480</v>
      </c>
      <c r="W94" s="189"/>
      <c r="X94" s="179"/>
      <c r="Y94" s="179"/>
      <c r="Z94" s="45" t="s">
        <v>64</v>
      </c>
      <c r="AA94" s="45" t="s">
        <v>64</v>
      </c>
      <c r="AB94" s="45" t="s">
        <v>64</v>
      </c>
      <c r="AC94" s="45" t="s">
        <v>64</v>
      </c>
    </row>
    <row r="95" spans="1:46" ht="45.75" customHeight="1">
      <c r="A95" s="719" t="e">
        <f>A94+1</f>
        <v>#REF!</v>
      </c>
      <c r="B95" s="690" t="s">
        <v>1481</v>
      </c>
      <c r="C95" s="719" t="s">
        <v>65</v>
      </c>
      <c r="D95" s="737" t="s">
        <v>1482</v>
      </c>
      <c r="E95" s="737" t="str">
        <f>VLOOKUP(B95,VN_Emails!B:H,7,0)</f>
        <v>Payable Accountant</v>
      </c>
      <c r="F95" s="737" t="s">
        <v>1483</v>
      </c>
      <c r="G95" s="740" t="str">
        <f>SUBSTITUTE(VLOOKUP(B95,VN_Emails!B:H,2,0),"@mapactive.vn","")</f>
        <v>quynh.mainguyendiem</v>
      </c>
      <c r="H95" s="737" t="s">
        <v>996</v>
      </c>
      <c r="I95" s="719" t="str">
        <f>J95&amp;" "&amp;K95&amp;" "&amp;L95</f>
        <v>Laptop Dell Latitude 3420</v>
      </c>
      <c r="J95" s="719" t="s">
        <v>86</v>
      </c>
      <c r="K95" s="719" t="s">
        <v>133</v>
      </c>
      <c r="L95" s="719" t="s">
        <v>1028</v>
      </c>
      <c r="M95" s="719" t="s">
        <v>1484</v>
      </c>
      <c r="N95" s="719">
        <v>16</v>
      </c>
      <c r="O95" s="719">
        <v>512</v>
      </c>
      <c r="P95" s="737" t="s">
        <v>79</v>
      </c>
      <c r="Q95" s="719" t="s">
        <v>876</v>
      </c>
      <c r="R95" s="764"/>
      <c r="S95" s="737"/>
      <c r="T95" s="737" t="s">
        <v>1485</v>
      </c>
      <c r="U95" s="68"/>
      <c r="V95" s="78" t="s">
        <v>1486</v>
      </c>
      <c r="W95" s="186"/>
      <c r="X95" s="68"/>
      <c r="Y95" s="68"/>
      <c r="Z95" s="68"/>
      <c r="AA95" s="68"/>
      <c r="AB95" s="68"/>
      <c r="AC95" s="68"/>
    </row>
    <row r="96" spans="1:46" ht="59.25" customHeight="1">
      <c r="A96" s="719" t="e">
        <f>A95+1</f>
        <v>#REF!</v>
      </c>
      <c r="B96" s="690" t="s">
        <v>1487</v>
      </c>
      <c r="C96" s="719" t="s">
        <v>65</v>
      </c>
      <c r="D96" s="737" t="str">
        <f>VLOOKUP(B96,VN_Emails!B:H,4,0)</f>
        <v>Thoi Huu Nghia</v>
      </c>
      <c r="E96" s="737" t="s">
        <v>1488</v>
      </c>
      <c r="F96" s="737" t="s">
        <v>1489</v>
      </c>
      <c r="G96" s="740" t="str">
        <f>SUBSTITUTE(VLOOKUP(B96,VN_Emails!B:H,2,0),"@mapactive.vn","")</f>
        <v>nghia.thoihuu</v>
      </c>
      <c r="H96" s="737" t="s">
        <v>996</v>
      </c>
      <c r="I96" s="719" t="str">
        <f>J96&amp;" "&amp;K96&amp;" "&amp;L96</f>
        <v>Laptop Dell Latitude 3420</v>
      </c>
      <c r="J96" s="719" t="s">
        <v>86</v>
      </c>
      <c r="K96" s="719" t="s">
        <v>133</v>
      </c>
      <c r="L96" s="719" t="s">
        <v>1028</v>
      </c>
      <c r="M96" s="719" t="s">
        <v>1490</v>
      </c>
      <c r="N96" s="719">
        <v>16</v>
      </c>
      <c r="O96" s="719">
        <v>512</v>
      </c>
      <c r="P96" s="737" t="s">
        <v>79</v>
      </c>
      <c r="Q96" s="719" t="s">
        <v>876</v>
      </c>
      <c r="R96" s="764"/>
      <c r="S96" s="737"/>
      <c r="T96" s="737" t="s">
        <v>1485</v>
      </c>
      <c r="U96" s="68"/>
      <c r="V96" s="44" t="s">
        <v>1491</v>
      </c>
      <c r="W96" s="186"/>
      <c r="X96" s="68"/>
      <c r="Y96" s="68"/>
      <c r="Z96" s="68"/>
      <c r="AA96" s="68"/>
      <c r="AB96" s="68"/>
      <c r="AC96" s="68"/>
    </row>
    <row r="97" spans="1:29" ht="64.5" customHeight="1">
      <c r="A97" s="719" t="e">
        <f>A96+1</f>
        <v>#REF!</v>
      </c>
      <c r="B97" s="690" t="s">
        <v>1492</v>
      </c>
      <c r="C97" s="719" t="s">
        <v>65</v>
      </c>
      <c r="D97" s="737" t="str">
        <f>VLOOKUP(B97,VN_Emails!B:H,4,0)</f>
        <v>Huynh Ngoc Son</v>
      </c>
      <c r="E97" s="737" t="s">
        <v>1493</v>
      </c>
      <c r="F97" s="737" t="s">
        <v>1494</v>
      </c>
      <c r="G97" s="740" t="str">
        <f>SUBSTITUTE(VLOOKUP(B97,VN_Emails!B:H,2,0),"@mapactive.vn","")</f>
        <v>son.huynhngoc</v>
      </c>
      <c r="H97" s="737" t="s">
        <v>996</v>
      </c>
      <c r="I97" s="719" t="str">
        <f>J97&amp;" "&amp;K97&amp;" "&amp;L97</f>
        <v>Laptop Dell Latitude 3420</v>
      </c>
      <c r="J97" s="719" t="s">
        <v>86</v>
      </c>
      <c r="K97" s="719" t="s">
        <v>133</v>
      </c>
      <c r="L97" s="719" t="s">
        <v>1028</v>
      </c>
      <c r="M97" s="719" t="s">
        <v>1495</v>
      </c>
      <c r="N97" s="719">
        <v>16</v>
      </c>
      <c r="O97" s="719">
        <v>512</v>
      </c>
      <c r="P97" s="737" t="s">
        <v>79</v>
      </c>
      <c r="Q97" s="719" t="s">
        <v>876</v>
      </c>
      <c r="R97" s="762"/>
      <c r="S97" s="763"/>
      <c r="T97" s="763" t="s">
        <v>1485</v>
      </c>
      <c r="U97" s="179"/>
      <c r="V97" s="139" t="s">
        <v>1496</v>
      </c>
      <c r="W97" s="189"/>
      <c r="X97" s="179"/>
      <c r="Y97" s="179"/>
      <c r="Z97" s="179"/>
      <c r="AA97" s="179"/>
      <c r="AB97" s="179"/>
      <c r="AC97" s="179"/>
    </row>
    <row r="98" spans="1:29" ht="55.5" customHeight="1">
      <c r="A98" s="719" t="e">
        <f>A97+1</f>
        <v>#REF!</v>
      </c>
      <c r="B98" s="690" t="s">
        <v>1497</v>
      </c>
      <c r="C98" s="719" t="s">
        <v>65</v>
      </c>
      <c r="D98" s="737" t="str">
        <f>VLOOKUP(B98,VN_Emails!B:H,4,0)</f>
        <v>Pham My Tu</v>
      </c>
      <c r="E98" s="737" t="str">
        <f>VLOOKUP(B98,VN_Emails!B:H,7,0)</f>
        <v>Senior Merchandise</v>
      </c>
      <c r="F98" s="737" t="s">
        <v>1498</v>
      </c>
      <c r="G98" s="740" t="str">
        <f>SUBSTITUTE(VLOOKUP(B98,VN_Emails!B:H,2,0),"@mapactive.vn","")</f>
        <v>tu.phammy</v>
      </c>
      <c r="H98" s="737" t="s">
        <v>996</v>
      </c>
      <c r="I98" s="719" t="str">
        <f>J98&amp;" "&amp;K98&amp;" "&amp;L98</f>
        <v>Laptop Dell Latitude 3420</v>
      </c>
      <c r="J98" s="719" t="s">
        <v>86</v>
      </c>
      <c r="K98" s="719" t="s">
        <v>133</v>
      </c>
      <c r="L98" s="719" t="s">
        <v>1028</v>
      </c>
      <c r="M98" s="719" t="s">
        <v>1499</v>
      </c>
      <c r="N98" s="719">
        <v>16</v>
      </c>
      <c r="O98" s="719">
        <v>512</v>
      </c>
      <c r="P98" s="737" t="s">
        <v>79</v>
      </c>
      <c r="Q98" s="719" t="s">
        <v>876</v>
      </c>
      <c r="R98" s="762"/>
      <c r="S98" s="763"/>
      <c r="T98" s="763" t="s">
        <v>1485</v>
      </c>
      <c r="U98" s="179"/>
      <c r="V98" s="139" t="s">
        <v>1500</v>
      </c>
      <c r="W98" s="189"/>
      <c r="X98" s="179"/>
      <c r="Y98" s="179"/>
      <c r="Z98" s="179"/>
      <c r="AA98" s="179"/>
      <c r="AB98" s="68"/>
      <c r="AC98" s="68"/>
    </row>
    <row r="99" spans="1:29" ht="43.5" customHeight="1">
      <c r="A99" s="719" t="e">
        <f>A98+1</f>
        <v>#REF!</v>
      </c>
      <c r="B99" s="690" t="s">
        <v>1501</v>
      </c>
      <c r="C99" s="719" t="s">
        <v>65</v>
      </c>
      <c r="D99" s="737" t="str">
        <f>VLOOKUP(B99,VN_Emails!B:H,4,0)</f>
        <v>Nguyen Nam Thang</v>
      </c>
      <c r="E99" s="737" t="str">
        <f>VLOOKUP(B99,VN_Emails!B:H,7,0)</f>
        <v>Senior Wholesaler</v>
      </c>
      <c r="F99" s="737" t="s">
        <v>1502</v>
      </c>
      <c r="G99" s="740" t="str">
        <f>SUBSTITUTE(VLOOKUP(B99,VN_Emails!B:H,2,0),"@mapactive.vn","")</f>
        <v>thang.nguyennam</v>
      </c>
      <c r="H99" s="737" t="s">
        <v>996</v>
      </c>
      <c r="I99" s="719" t="str">
        <f>J99&amp;" "&amp;K99&amp;" "&amp;L99</f>
        <v>Laptop Dell Latitude 3420</v>
      </c>
      <c r="J99" s="719" t="s">
        <v>86</v>
      </c>
      <c r="K99" s="719" t="s">
        <v>133</v>
      </c>
      <c r="L99" s="719" t="s">
        <v>1028</v>
      </c>
      <c r="M99" s="719" t="s">
        <v>1503</v>
      </c>
      <c r="N99" s="719">
        <v>16</v>
      </c>
      <c r="O99" s="719">
        <v>512</v>
      </c>
      <c r="P99" s="737" t="s">
        <v>79</v>
      </c>
      <c r="Q99" s="719" t="s">
        <v>876</v>
      </c>
      <c r="R99" s="762"/>
      <c r="S99" s="763"/>
      <c r="T99" s="763" t="s">
        <v>1485</v>
      </c>
      <c r="U99" s="179"/>
      <c r="V99" s="139"/>
      <c r="W99" s="189"/>
      <c r="X99" s="179"/>
      <c r="Y99" s="179"/>
      <c r="Z99" s="179"/>
      <c r="AA99" s="179"/>
      <c r="AB99" s="256"/>
      <c r="AC99" s="179"/>
    </row>
    <row r="100" spans="1:29" ht="48.75" customHeight="1">
      <c r="A100" s="719" t="e">
        <f>A99+1</f>
        <v>#REF!</v>
      </c>
      <c r="B100" s="690" t="s">
        <v>1504</v>
      </c>
      <c r="C100" s="719" t="s">
        <v>65</v>
      </c>
      <c r="D100" s="737" t="str">
        <f>VLOOKUP(B100,VN_Emails!B:H,4,0)</f>
        <v>Vo Thuy Minh Tuyen</v>
      </c>
      <c r="E100" s="737" t="str">
        <f>VLOOKUP(B100,VN_Emails!B:H,7,0)</f>
        <v>Senior Merchandise</v>
      </c>
      <c r="F100" s="737" t="s">
        <v>1505</v>
      </c>
      <c r="G100" s="740" t="str">
        <f>SUBSTITUTE(VLOOKUP(B100,VN_Emails!B:H,2,0),"@mapactive.vn","")</f>
        <v>tuyen.vothuyminh</v>
      </c>
      <c r="H100" s="737" t="s">
        <v>996</v>
      </c>
      <c r="I100" s="719" t="str">
        <f>J100&amp;" "&amp;K100&amp;" "&amp;L100</f>
        <v>Laptop Dell Latitude 3420</v>
      </c>
      <c r="J100" s="719" t="s">
        <v>86</v>
      </c>
      <c r="K100" s="719" t="s">
        <v>133</v>
      </c>
      <c r="L100" s="719" t="s">
        <v>1028</v>
      </c>
      <c r="M100" s="719" t="s">
        <v>1506</v>
      </c>
      <c r="N100" s="719">
        <v>16</v>
      </c>
      <c r="O100" s="719">
        <v>512</v>
      </c>
      <c r="P100" s="737" t="s">
        <v>79</v>
      </c>
      <c r="Q100" s="719" t="s">
        <v>876</v>
      </c>
      <c r="R100" s="764"/>
      <c r="S100" s="737"/>
      <c r="T100" s="763" t="s">
        <v>1485</v>
      </c>
      <c r="U100" s="179"/>
      <c r="V100" s="78" t="s">
        <v>1507</v>
      </c>
      <c r="W100" s="186"/>
      <c r="X100" s="68"/>
      <c r="Y100" s="68"/>
      <c r="Z100" s="68"/>
      <c r="AA100" s="68"/>
      <c r="AB100" s="68"/>
      <c r="AC100" s="68"/>
    </row>
    <row r="101" spans="1:29" ht="57.75" customHeight="1">
      <c r="A101" s="749" t="e">
        <f>A100+1</f>
        <v>#REF!</v>
      </c>
      <c r="B101" s="765" t="s">
        <v>1508</v>
      </c>
      <c r="C101" s="749" t="s">
        <v>65</v>
      </c>
      <c r="D101" s="737" t="str">
        <f>VLOOKUP(B101,VN_Emails!B:H,4,0)</f>
        <v>Nguyen Duyen Ngoc</v>
      </c>
      <c r="E101" s="737" t="str">
        <f>VLOOKUP(B101,VN_Emails!B:H,7,0)</f>
        <v xml:space="preserve">Business Development Manager </v>
      </c>
      <c r="F101" s="766" t="s">
        <v>1509</v>
      </c>
      <c r="G101" s="740" t="str">
        <f>SUBSTITUTE(VLOOKUP(B101,VN_Emails!B:H,2,0),"@mapactive.vn","")</f>
        <v>ngoc.nguyenduyen</v>
      </c>
      <c r="H101" s="766" t="s">
        <v>996</v>
      </c>
      <c r="I101" s="749" t="str">
        <f>J101&amp;" "&amp;K101&amp;" "&amp;L101</f>
        <v>Laptop Dell Latitude 5420</v>
      </c>
      <c r="J101" s="749" t="s">
        <v>86</v>
      </c>
      <c r="K101" s="749" t="s">
        <v>133</v>
      </c>
      <c r="L101" s="767" t="s">
        <v>1010</v>
      </c>
      <c r="M101" s="749" t="s">
        <v>1510</v>
      </c>
      <c r="N101" s="768">
        <v>16</v>
      </c>
      <c r="O101" s="749">
        <v>512</v>
      </c>
      <c r="P101" s="766" t="s">
        <v>79</v>
      </c>
      <c r="Q101" s="749" t="s">
        <v>1511</v>
      </c>
      <c r="R101" s="737"/>
      <c r="S101" s="737"/>
      <c r="T101" s="737" t="s">
        <v>1512</v>
      </c>
      <c r="U101" s="68"/>
      <c r="V101" s="78"/>
      <c r="W101" s="186"/>
      <c r="X101" s="68"/>
      <c r="Y101" s="68"/>
      <c r="Z101" s="68"/>
      <c r="AA101" s="68"/>
      <c r="AB101" s="68"/>
      <c r="AC101" s="68"/>
    </row>
    <row r="102" spans="1:29" ht="57.75" customHeight="1">
      <c r="A102" s="719" t="e">
        <f>A101+1</f>
        <v>#REF!</v>
      </c>
      <c r="B102" s="690" t="s">
        <v>1513</v>
      </c>
      <c r="C102" s="719" t="s">
        <v>65</v>
      </c>
      <c r="D102" s="737" t="s">
        <v>1419</v>
      </c>
      <c r="E102" s="737" t="s">
        <v>1514</v>
      </c>
      <c r="F102" s="738" t="s">
        <v>1515</v>
      </c>
      <c r="G102" s="740" t="str">
        <f>SUBSTITUTE(VLOOKUP(B102,VN_Emails!B:H,2,0),"@mapactive.vn","")</f>
        <v>uyen.nguyenhaphuong</v>
      </c>
      <c r="H102" s="737" t="s">
        <v>996</v>
      </c>
      <c r="I102" s="719" t="str">
        <f>J102&amp;" "&amp;K102&amp;" "&amp;L102</f>
        <v>Laptop HP Elite x360 1040</v>
      </c>
      <c r="J102" s="719" t="s">
        <v>86</v>
      </c>
      <c r="K102" s="719" t="s">
        <v>58</v>
      </c>
      <c r="L102" s="757" t="s">
        <v>1516</v>
      </c>
      <c r="M102" s="769" t="s">
        <v>1517</v>
      </c>
      <c r="N102" s="755">
        <v>16</v>
      </c>
      <c r="O102" s="719" t="s">
        <v>1518</v>
      </c>
      <c r="P102" s="737" t="s">
        <v>79</v>
      </c>
      <c r="Q102" s="719" t="s">
        <v>1519</v>
      </c>
      <c r="R102" s="737"/>
      <c r="S102" s="737"/>
      <c r="T102" s="737" t="s">
        <v>1520</v>
      </c>
      <c r="U102" s="68"/>
      <c r="V102" s="78"/>
      <c r="W102" s="186"/>
      <c r="X102" s="68"/>
      <c r="Y102" s="68"/>
      <c r="Z102" s="68"/>
      <c r="AA102" s="68"/>
      <c r="AB102" s="68"/>
      <c r="AC102" s="68"/>
    </row>
    <row r="103" spans="1:29" ht="57.75" customHeight="1">
      <c r="A103" s="719" t="e">
        <f>A102+1</f>
        <v>#REF!</v>
      </c>
      <c r="B103" s="690" t="s">
        <v>1521</v>
      </c>
      <c r="C103" s="719" t="s">
        <v>65</v>
      </c>
      <c r="D103" s="737" t="str">
        <f>VLOOKUP(B103,VN_Emails!B:H,4,0)</f>
        <v>Syed Umair Hassan</v>
      </c>
      <c r="E103" s="737" t="str">
        <f>VLOOKUP(B103,VN_Emails!B:H,7,0)</f>
        <v>GM Merchandise</v>
      </c>
      <c r="F103" s="737" t="s">
        <v>1522</v>
      </c>
      <c r="G103" s="740" t="str">
        <f>SUBSTITUTE(VLOOKUP(B103,VN_Emails!B:H,2,0),"@mapactive.vn","")</f>
        <v>syed.umairhassan</v>
      </c>
      <c r="H103" s="737" t="s">
        <v>996</v>
      </c>
      <c r="I103" s="719" t="str">
        <f>J103&amp;" "&amp;K103&amp;" "&amp;L103</f>
        <v>Laptop HP Elite x360 1040</v>
      </c>
      <c r="J103" s="719" t="s">
        <v>86</v>
      </c>
      <c r="K103" s="719" t="s">
        <v>58</v>
      </c>
      <c r="L103" s="757" t="s">
        <v>1516</v>
      </c>
      <c r="M103" s="719" t="s">
        <v>1523</v>
      </c>
      <c r="N103" s="755">
        <v>16</v>
      </c>
      <c r="O103" s="719" t="s">
        <v>1518</v>
      </c>
      <c r="P103" s="737" t="s">
        <v>79</v>
      </c>
      <c r="Q103" s="719" t="s">
        <v>1519</v>
      </c>
      <c r="R103" s="737"/>
      <c r="S103" s="737"/>
      <c r="T103" s="737" t="s">
        <v>1524</v>
      </c>
      <c r="U103" s="68"/>
      <c r="V103" s="78"/>
      <c r="W103" s="186"/>
      <c r="X103" s="68"/>
      <c r="Y103" s="68"/>
      <c r="Z103" s="68"/>
      <c r="AA103" s="68"/>
      <c r="AB103" s="68"/>
      <c r="AC103" s="68"/>
    </row>
    <row r="104" spans="1:29" ht="57.75" customHeight="1">
      <c r="A104" s="690" t="e">
        <f>A103+1</f>
        <v>#REF!</v>
      </c>
      <c r="B104" s="690" t="s">
        <v>1525</v>
      </c>
      <c r="C104" s="690" t="s">
        <v>54</v>
      </c>
      <c r="D104" s="770" t="s">
        <v>147</v>
      </c>
      <c r="E104" s="770" t="s">
        <v>147</v>
      </c>
      <c r="F104" s="737" t="s">
        <v>1526</v>
      </c>
      <c r="G104" s="740" t="s">
        <v>1527</v>
      </c>
      <c r="H104" s="737" t="s">
        <v>996</v>
      </c>
      <c r="I104" s="690" t="str">
        <f>J104&amp;" "&amp;K104&amp;" "&amp;L104</f>
        <v>Laptop HP 14s-cf2xxx</v>
      </c>
      <c r="J104" s="690" t="s">
        <v>86</v>
      </c>
      <c r="K104" s="771" t="s">
        <v>58</v>
      </c>
      <c r="L104" s="719" t="s">
        <v>1528</v>
      </c>
      <c r="M104" s="772" t="s">
        <v>1529</v>
      </c>
      <c r="N104" s="773">
        <v>8</v>
      </c>
      <c r="O104" s="773">
        <v>250</v>
      </c>
      <c r="P104" s="737" t="s">
        <v>79</v>
      </c>
      <c r="Q104" s="774" t="s">
        <v>1530</v>
      </c>
      <c r="R104" s="719"/>
      <c r="S104" s="719"/>
      <c r="T104" s="775"/>
      <c r="U104" s="267"/>
      <c r="V104" s="268" t="s">
        <v>1531</v>
      </c>
      <c r="W104" s="258"/>
      <c r="X104" s="269"/>
      <c r="Y104" s="270"/>
      <c r="Z104" s="271"/>
      <c r="AA104" s="272"/>
      <c r="AB104" s="271"/>
      <c r="AC104" s="257"/>
    </row>
    <row r="111" spans="1:29" ht="15" customHeight="1">
      <c r="A111" s="66">
        <v>0</v>
      </c>
      <c r="Q111" s="67" t="s">
        <v>1532</v>
      </c>
    </row>
  </sheetData>
  <autoFilter ref="A1:AC104" xr:uid="{3157A9BD-157D-4407-B1A5-F80A7D4EF36E}">
    <sortState xmlns:xlrd2="http://schemas.microsoft.com/office/spreadsheetml/2017/richdata2" ref="A2:AC104">
      <sortCondition ref="B1:B104"/>
    </sortState>
  </autoFilter>
  <phoneticPr fontId="3" type="noConversion"/>
  <conditionalFormatting sqref="F12">
    <cfRule type="cellIs" dxfId="20" priority="1" operator="equal">
      <formula>"Done"</formula>
    </cfRule>
  </conditionalFormatting>
  <conditionalFormatting sqref="F12">
    <cfRule type="cellIs" dxfId="19" priority="2" operator="equal">
      <formula>"Pending"</formula>
    </cfRule>
    <cfRule type="cellIs" dxfId="18" priority="3" operator="equal">
      <formula>"Closed"</formula>
    </cfRule>
    <cfRule type="cellIs" dxfId="17" priority="4" operator="equal">
      <formula>"Other"</formula>
    </cfRule>
  </conditionalFormatting>
  <dataValidations count="2">
    <dataValidation type="list" allowBlank="1" showInputMessage="1" showErrorMessage="1" sqref="J101:J104 J2:J94" xr:uid="{DBC5F00F-2893-4718-8685-F2A1B1F74B36}">
      <formula1>"Laptop,Desktop,Printer"</formula1>
    </dataValidation>
    <dataValidation type="list" allowBlank="1" showInputMessage="1" showErrorMessage="1" sqref="C2:C104" xr:uid="{67A77029-17E7-4232-935E-871CD04C36F9}">
      <formula1>"In Use,Available,Reserved,Maintenance,Retired,Disposed,Lost,On Loan,Spare"</formula1>
    </dataValidation>
  </dataValidations>
  <hyperlinks>
    <hyperlink ref="V91" r:id="rId1" xr:uid="{06006736-5DD2-414A-BECB-E6B4E6F4E7B5}"/>
  </hyperlinks>
  <printOptions horizontalCentered="1"/>
  <pageMargins left="0.7" right="0.7" top="0.75" bottom="0.75" header="0.3" footer="0.3"/>
  <pageSetup paperSize="9"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87BF-B87F-41CC-BCCC-345662E9C89C}">
  <dimension ref="A1:AK112"/>
  <sheetViews>
    <sheetView zoomScale="70" zoomScaleNormal="70" workbookViewId="0">
      <pane xSplit="4" ySplit="1" topLeftCell="E52" activePane="bottomRight" state="frozen"/>
      <selection pane="bottomRight" activeCell="A57" sqref="A57:XFD57"/>
      <selection pane="bottomLeft"/>
      <selection pane="topRight"/>
    </sheetView>
  </sheetViews>
  <sheetFormatPr defaultColWidth="9.75" defaultRowHeight="15.75" customHeight="1"/>
  <cols>
    <col min="1" max="1" width="6.75" style="562" bestFit="1" customWidth="1"/>
    <col min="2" max="2" width="20.625" style="562" customWidth="1"/>
    <col min="3" max="3" width="38.25" style="563" bestFit="1" customWidth="1"/>
    <col min="4" max="4" width="33" style="563" customWidth="1"/>
    <col min="5" max="5" width="26.25" style="563" bestFit="1" customWidth="1"/>
    <col min="6" max="6" width="9.5" style="563" customWidth="1"/>
    <col min="7" max="7" width="51.625" style="563" bestFit="1" customWidth="1"/>
    <col min="8" max="8" width="46" style="564" customWidth="1"/>
    <col min="9" max="9" width="10.125" style="562" customWidth="1"/>
    <col min="10" max="10" width="9.5" style="565" customWidth="1"/>
    <col min="11" max="11" width="12" style="565" customWidth="1"/>
    <col min="12" max="12" width="23.375" style="566" customWidth="1"/>
    <col min="13" max="13" width="15.375" style="565" bestFit="1" customWidth="1"/>
    <col min="14" max="14" width="19.125" style="565" bestFit="1" customWidth="1"/>
    <col min="15" max="15" width="14.75" style="562" bestFit="1" customWidth="1"/>
    <col min="16" max="16" width="15.125" style="562" bestFit="1" customWidth="1"/>
    <col min="17" max="17" width="15.875" style="562" bestFit="1" customWidth="1"/>
    <col min="18" max="18" width="106.5" style="567" bestFit="1" customWidth="1"/>
    <col min="19" max="19" width="32" style="563" bestFit="1" customWidth="1"/>
    <col min="20" max="16384" width="9.75" style="563"/>
  </cols>
  <sheetData>
    <row r="1" spans="1:37" s="562" customFormat="1" ht="33" customHeight="1">
      <c r="A1" s="684" t="s">
        <v>0</v>
      </c>
      <c r="B1" s="684" t="s">
        <v>1533</v>
      </c>
      <c r="C1" s="684" t="s">
        <v>1534</v>
      </c>
      <c r="D1" s="684" t="s">
        <v>1535</v>
      </c>
      <c r="E1" s="684" t="s">
        <v>1536</v>
      </c>
      <c r="F1" s="685" t="s">
        <v>1537</v>
      </c>
      <c r="G1" s="684" t="s">
        <v>1538</v>
      </c>
      <c r="H1" s="685" t="s">
        <v>1539</v>
      </c>
      <c r="I1" s="685" t="s">
        <v>1540</v>
      </c>
      <c r="J1" s="685" t="s">
        <v>1541</v>
      </c>
      <c r="K1" s="685" t="s">
        <v>1542</v>
      </c>
      <c r="L1" s="686" t="s">
        <v>1543</v>
      </c>
      <c r="M1" s="687" t="s">
        <v>1544</v>
      </c>
      <c r="N1" s="687" t="s">
        <v>1545</v>
      </c>
      <c r="O1" s="687" t="s">
        <v>1546</v>
      </c>
      <c r="P1" s="687" t="s">
        <v>1547</v>
      </c>
      <c r="Q1" s="687" t="s">
        <v>1548</v>
      </c>
      <c r="R1" s="688" t="s">
        <v>3</v>
      </c>
      <c r="S1" s="684" t="s">
        <v>1549</v>
      </c>
      <c r="T1" s="86"/>
      <c r="U1" s="86"/>
      <c r="V1" s="86"/>
      <c r="W1" s="86"/>
      <c r="X1" s="86"/>
      <c r="Y1" s="86"/>
      <c r="Z1" s="86"/>
      <c r="AA1" s="86"/>
      <c r="AB1" s="86"/>
      <c r="AC1" s="86"/>
      <c r="AD1" s="86"/>
      <c r="AE1" s="86"/>
      <c r="AF1" s="86"/>
      <c r="AG1" s="86"/>
      <c r="AH1" s="86"/>
      <c r="AI1" s="86"/>
      <c r="AJ1" s="86"/>
      <c r="AK1" s="86"/>
    </row>
    <row r="2" spans="1:37">
      <c r="A2" s="689">
        <v>1</v>
      </c>
      <c r="B2" s="690" t="s">
        <v>1418</v>
      </c>
      <c r="C2" s="691" t="s">
        <v>1550</v>
      </c>
      <c r="D2" s="692" t="s">
        <v>1551</v>
      </c>
      <c r="E2" s="692" t="s">
        <v>1419</v>
      </c>
      <c r="F2" s="692" t="s">
        <v>1552</v>
      </c>
      <c r="G2" s="692" t="s">
        <v>1553</v>
      </c>
      <c r="H2" s="693" t="s">
        <v>1554</v>
      </c>
      <c r="I2" s="689" t="s">
        <v>1555</v>
      </c>
      <c r="J2" s="694" t="s">
        <v>1556</v>
      </c>
      <c r="K2" s="694" t="s">
        <v>996</v>
      </c>
      <c r="L2" s="695"/>
      <c r="M2" s="694"/>
      <c r="N2" s="694"/>
      <c r="O2" s="689"/>
      <c r="P2" s="689"/>
      <c r="Q2" s="689"/>
      <c r="R2" s="696"/>
      <c r="S2" s="693" t="s">
        <v>1557</v>
      </c>
      <c r="T2" s="90"/>
      <c r="U2" s="90"/>
      <c r="V2" s="90"/>
      <c r="W2" s="90"/>
      <c r="X2" s="90"/>
      <c r="Y2" s="90"/>
      <c r="Z2" s="90"/>
      <c r="AA2" s="90"/>
      <c r="AB2" s="90"/>
      <c r="AC2" s="90"/>
      <c r="AD2" s="90"/>
      <c r="AE2" s="90"/>
      <c r="AF2" s="90"/>
      <c r="AG2" s="90"/>
      <c r="AH2" s="90"/>
      <c r="AI2" s="90"/>
      <c r="AJ2" s="90"/>
      <c r="AK2" s="90"/>
    </row>
    <row r="3" spans="1:37">
      <c r="A3" s="689">
        <v>2</v>
      </c>
      <c r="B3" s="690" t="s">
        <v>994</v>
      </c>
      <c r="C3" s="691" t="s">
        <v>1558</v>
      </c>
      <c r="D3" s="692" t="s">
        <v>1559</v>
      </c>
      <c r="E3" s="692" t="s">
        <v>1560</v>
      </c>
      <c r="F3" s="692"/>
      <c r="G3" s="692"/>
      <c r="H3" s="693" t="s">
        <v>1561</v>
      </c>
      <c r="I3" s="689" t="s">
        <v>1555</v>
      </c>
      <c r="J3" s="694" t="s">
        <v>1556</v>
      </c>
      <c r="K3" s="694" t="s">
        <v>996</v>
      </c>
      <c r="L3" s="695"/>
      <c r="M3" s="694"/>
      <c r="N3" s="694"/>
      <c r="O3" s="689"/>
      <c r="P3" s="689"/>
      <c r="Q3" s="689"/>
      <c r="R3" s="696"/>
      <c r="S3" s="697" t="s">
        <v>1562</v>
      </c>
      <c r="T3" s="90"/>
      <c r="U3" s="90"/>
      <c r="V3" s="90"/>
      <c r="W3" s="90"/>
      <c r="X3" s="90"/>
      <c r="Y3" s="90"/>
      <c r="Z3" s="90"/>
      <c r="AA3" s="90"/>
      <c r="AB3" s="90"/>
      <c r="AC3" s="90"/>
      <c r="AD3" s="90"/>
      <c r="AE3" s="90"/>
      <c r="AF3" s="90"/>
      <c r="AG3" s="90"/>
      <c r="AH3" s="90"/>
      <c r="AI3" s="90"/>
      <c r="AJ3" s="90"/>
      <c r="AK3" s="90"/>
    </row>
    <row r="4" spans="1:37">
      <c r="A4" s="689">
        <v>3</v>
      </c>
      <c r="B4" s="690" t="s">
        <v>1165</v>
      </c>
      <c r="C4" s="691" t="s">
        <v>1563</v>
      </c>
      <c r="D4" s="692" t="s">
        <v>1564</v>
      </c>
      <c r="E4" s="692" t="s">
        <v>1565</v>
      </c>
      <c r="F4" s="692" t="s">
        <v>1566</v>
      </c>
      <c r="G4" s="692"/>
      <c r="H4" s="693" t="s">
        <v>1567</v>
      </c>
      <c r="I4" s="689" t="s">
        <v>1555</v>
      </c>
      <c r="J4" s="694" t="s">
        <v>1556</v>
      </c>
      <c r="K4" s="694" t="s">
        <v>996</v>
      </c>
      <c r="L4" s="695"/>
      <c r="M4" s="694"/>
      <c r="N4" s="694"/>
      <c r="O4" s="689"/>
      <c r="P4" s="689"/>
      <c r="Q4" s="689"/>
      <c r="R4" s="696"/>
      <c r="S4" s="697" t="s">
        <v>1562</v>
      </c>
      <c r="T4" s="90"/>
      <c r="U4" s="90"/>
      <c r="V4" s="90"/>
      <c r="W4" s="90"/>
      <c r="X4" s="90"/>
      <c r="Y4" s="90"/>
      <c r="Z4" s="90"/>
      <c r="AA4" s="90"/>
      <c r="AB4" s="90"/>
      <c r="AC4" s="90"/>
      <c r="AD4" s="90"/>
      <c r="AE4" s="90"/>
      <c r="AF4" s="90"/>
      <c r="AG4" s="90"/>
      <c r="AH4" s="90"/>
      <c r="AI4" s="90"/>
      <c r="AJ4" s="90"/>
      <c r="AK4" s="90"/>
    </row>
    <row r="5" spans="1:37">
      <c r="A5" s="689">
        <v>4</v>
      </c>
      <c r="B5" s="690" t="s">
        <v>1476</v>
      </c>
      <c r="C5" s="691" t="s">
        <v>1568</v>
      </c>
      <c r="D5" s="692" t="s">
        <v>1569</v>
      </c>
      <c r="E5" s="692" t="s">
        <v>1570</v>
      </c>
      <c r="F5" s="692" t="s">
        <v>1571</v>
      </c>
      <c r="G5" s="692"/>
      <c r="H5" s="693" t="s">
        <v>1572</v>
      </c>
      <c r="I5" s="689" t="s">
        <v>1555</v>
      </c>
      <c r="J5" s="694" t="s">
        <v>1556</v>
      </c>
      <c r="K5" s="694" t="s">
        <v>996</v>
      </c>
      <c r="L5" s="695"/>
      <c r="M5" s="694"/>
      <c r="N5" s="694"/>
      <c r="O5" s="689"/>
      <c r="P5" s="689"/>
      <c r="Q5" s="689"/>
      <c r="R5" s="696"/>
      <c r="S5" s="697" t="s">
        <v>1573</v>
      </c>
      <c r="T5" s="90"/>
      <c r="U5" s="90"/>
      <c r="V5" s="90"/>
      <c r="W5" s="90"/>
      <c r="X5" s="90"/>
      <c r="Y5" s="90"/>
      <c r="Z5" s="90"/>
      <c r="AA5" s="90"/>
      <c r="AB5" s="90"/>
      <c r="AC5" s="90"/>
      <c r="AD5" s="90"/>
      <c r="AE5" s="90"/>
      <c r="AF5" s="90"/>
      <c r="AG5" s="90"/>
      <c r="AH5" s="90"/>
      <c r="AI5" s="90"/>
      <c r="AJ5" s="90"/>
      <c r="AK5" s="90"/>
    </row>
    <row r="6" spans="1:37">
      <c r="A6" s="689">
        <v>5</v>
      </c>
      <c r="B6" s="690" t="s">
        <v>1086</v>
      </c>
      <c r="C6" s="691" t="s">
        <v>1574</v>
      </c>
      <c r="D6" s="692" t="s">
        <v>1575</v>
      </c>
      <c r="E6" s="692" t="s">
        <v>1087</v>
      </c>
      <c r="F6" s="692"/>
      <c r="G6" s="692"/>
      <c r="H6" s="693" t="s">
        <v>1576</v>
      </c>
      <c r="I6" s="689" t="s">
        <v>1555</v>
      </c>
      <c r="J6" s="694" t="s">
        <v>1556</v>
      </c>
      <c r="K6" s="694" t="s">
        <v>996</v>
      </c>
      <c r="L6" s="695"/>
      <c r="M6" s="694"/>
      <c r="N6" s="694"/>
      <c r="O6" s="689"/>
      <c r="P6" s="689"/>
      <c r="Q6" s="689"/>
      <c r="R6" s="696"/>
      <c r="S6" s="697" t="s">
        <v>1573</v>
      </c>
      <c r="T6" s="90"/>
      <c r="U6" s="90"/>
      <c r="V6" s="90"/>
      <c r="W6" s="90"/>
      <c r="X6" s="90"/>
      <c r="Y6" s="90"/>
      <c r="Z6" s="90"/>
      <c r="AA6" s="90"/>
      <c r="AB6" s="90"/>
      <c r="AC6" s="90"/>
      <c r="AD6" s="90"/>
      <c r="AE6" s="90"/>
      <c r="AF6" s="90"/>
      <c r="AG6" s="90"/>
      <c r="AH6" s="90"/>
      <c r="AI6" s="90"/>
      <c r="AJ6" s="90"/>
      <c r="AK6" s="90"/>
    </row>
    <row r="7" spans="1:37">
      <c r="A7" s="689">
        <v>6</v>
      </c>
      <c r="B7" s="690" t="s">
        <v>1487</v>
      </c>
      <c r="C7" s="691" t="s">
        <v>1577</v>
      </c>
      <c r="D7" s="692" t="s">
        <v>1578</v>
      </c>
      <c r="E7" s="692" t="s">
        <v>1579</v>
      </c>
      <c r="F7" s="692"/>
      <c r="G7" s="692"/>
      <c r="H7" s="693" t="s">
        <v>1580</v>
      </c>
      <c r="I7" s="689" t="s">
        <v>1555</v>
      </c>
      <c r="J7" s="694" t="s">
        <v>1556</v>
      </c>
      <c r="K7" s="694" t="s">
        <v>996</v>
      </c>
      <c r="L7" s="695"/>
      <c r="M7" s="694"/>
      <c r="N7" s="694"/>
      <c r="O7" s="689"/>
      <c r="P7" s="689"/>
      <c r="Q7" s="689"/>
      <c r="R7" s="696"/>
      <c r="S7" s="697" t="s">
        <v>1562</v>
      </c>
      <c r="T7" s="90"/>
      <c r="U7" s="90"/>
      <c r="V7" s="90"/>
      <c r="W7" s="90"/>
      <c r="X7" s="90"/>
      <c r="Y7" s="90"/>
      <c r="Z7" s="90"/>
      <c r="AA7" s="90"/>
      <c r="AB7" s="90"/>
      <c r="AC7" s="90"/>
      <c r="AD7" s="90"/>
      <c r="AE7" s="90"/>
      <c r="AF7" s="90"/>
      <c r="AG7" s="90"/>
      <c r="AH7" s="90"/>
      <c r="AI7" s="90"/>
      <c r="AJ7" s="90"/>
      <c r="AK7" s="90"/>
    </row>
    <row r="8" spans="1:37">
      <c r="A8" s="689">
        <v>7</v>
      </c>
      <c r="B8" s="690" t="s">
        <v>1504</v>
      </c>
      <c r="C8" s="691" t="s">
        <v>1581</v>
      </c>
      <c r="D8" s="692" t="s">
        <v>1582</v>
      </c>
      <c r="E8" s="692" t="s">
        <v>1583</v>
      </c>
      <c r="F8" s="692"/>
      <c r="G8" s="692"/>
      <c r="H8" s="693" t="s">
        <v>1584</v>
      </c>
      <c r="I8" s="689" t="s">
        <v>1555</v>
      </c>
      <c r="J8" s="694" t="s">
        <v>1556</v>
      </c>
      <c r="K8" s="694" t="s">
        <v>996</v>
      </c>
      <c r="L8" s="695"/>
      <c r="M8" s="694"/>
      <c r="N8" s="694"/>
      <c r="O8" s="689"/>
      <c r="P8" s="689"/>
      <c r="Q8" s="689"/>
      <c r="R8" s="696"/>
      <c r="S8" s="697" t="s">
        <v>1585</v>
      </c>
      <c r="T8" s="90"/>
      <c r="U8" s="90"/>
      <c r="V8" s="90"/>
      <c r="W8" s="90"/>
      <c r="X8" s="90"/>
      <c r="Y8" s="90"/>
      <c r="Z8" s="90"/>
      <c r="AA8" s="90"/>
      <c r="AB8" s="90"/>
      <c r="AC8" s="90"/>
      <c r="AD8" s="90"/>
      <c r="AE8" s="90"/>
      <c r="AF8" s="90"/>
      <c r="AG8" s="90"/>
      <c r="AH8" s="90"/>
      <c r="AI8" s="90"/>
      <c r="AJ8" s="90"/>
      <c r="AK8" s="90"/>
    </row>
    <row r="9" spans="1:37">
      <c r="A9" s="689">
        <v>8</v>
      </c>
      <c r="B9" s="690" t="s">
        <v>1497</v>
      </c>
      <c r="C9" s="691" t="s">
        <v>1586</v>
      </c>
      <c r="D9" s="692" t="s">
        <v>1587</v>
      </c>
      <c r="E9" s="692" t="s">
        <v>1588</v>
      </c>
      <c r="F9" s="692"/>
      <c r="G9" s="692"/>
      <c r="H9" s="693" t="s">
        <v>1584</v>
      </c>
      <c r="I9" s="689" t="s">
        <v>1555</v>
      </c>
      <c r="J9" s="694" t="s">
        <v>1556</v>
      </c>
      <c r="K9" s="694" t="s">
        <v>996</v>
      </c>
      <c r="L9" s="695"/>
      <c r="M9" s="694"/>
      <c r="N9" s="694"/>
      <c r="O9" s="689"/>
      <c r="P9" s="689"/>
      <c r="Q9" s="689"/>
      <c r="R9" s="696"/>
      <c r="S9" s="697" t="s">
        <v>1585</v>
      </c>
      <c r="T9" s="90"/>
      <c r="U9" s="90"/>
      <c r="V9" s="90"/>
      <c r="W9" s="90"/>
      <c r="X9" s="90"/>
      <c r="Y9" s="90"/>
      <c r="Z9" s="90"/>
      <c r="AA9" s="90"/>
      <c r="AB9" s="90"/>
      <c r="AC9" s="90"/>
      <c r="AD9" s="90"/>
      <c r="AE9" s="90"/>
      <c r="AF9" s="90"/>
      <c r="AG9" s="90"/>
      <c r="AH9" s="90"/>
      <c r="AI9" s="90"/>
      <c r="AJ9" s="90"/>
      <c r="AK9" s="90"/>
    </row>
    <row r="10" spans="1:37">
      <c r="A10" s="689">
        <v>9</v>
      </c>
      <c r="B10" s="690" t="s">
        <v>1178</v>
      </c>
      <c r="C10" s="691" t="s">
        <v>1589</v>
      </c>
      <c r="D10" s="692" t="s">
        <v>1590</v>
      </c>
      <c r="E10" s="692" t="s">
        <v>1591</v>
      </c>
      <c r="F10" s="692"/>
      <c r="G10" s="692"/>
      <c r="H10" s="693" t="s">
        <v>1592</v>
      </c>
      <c r="I10" s="689" t="s">
        <v>1555</v>
      </c>
      <c r="J10" s="694" t="s">
        <v>1556</v>
      </c>
      <c r="K10" s="694" t="s">
        <v>996</v>
      </c>
      <c r="L10" s="695"/>
      <c r="M10" s="694"/>
      <c r="N10" s="694"/>
      <c r="O10" s="689"/>
      <c r="P10" s="689"/>
      <c r="Q10" s="689"/>
      <c r="R10" s="696"/>
      <c r="S10" s="697" t="s">
        <v>1593</v>
      </c>
      <c r="T10" s="90"/>
      <c r="U10" s="90"/>
      <c r="V10" s="90"/>
      <c r="W10" s="90"/>
      <c r="X10" s="90"/>
      <c r="Y10" s="90"/>
      <c r="Z10" s="90"/>
      <c r="AA10" s="90"/>
      <c r="AB10" s="90"/>
      <c r="AC10" s="90"/>
      <c r="AD10" s="90"/>
      <c r="AE10" s="90"/>
      <c r="AF10" s="90"/>
      <c r="AG10" s="90"/>
      <c r="AH10" s="90"/>
      <c r="AI10" s="90"/>
      <c r="AJ10" s="90"/>
      <c r="AK10" s="90"/>
    </row>
    <row r="11" spans="1:37">
      <c r="A11" s="689">
        <v>10</v>
      </c>
      <c r="B11" s="690" t="s">
        <v>1036</v>
      </c>
      <c r="C11" s="691" t="s">
        <v>1594</v>
      </c>
      <c r="D11" s="692" t="s">
        <v>1595</v>
      </c>
      <c r="E11" s="692" t="s">
        <v>1596</v>
      </c>
      <c r="F11" s="692"/>
      <c r="G11" s="692"/>
      <c r="H11" s="693" t="s">
        <v>1597</v>
      </c>
      <c r="I11" s="689" t="s">
        <v>1555</v>
      </c>
      <c r="J11" s="694" t="s">
        <v>1556</v>
      </c>
      <c r="K11" s="694" t="s">
        <v>996</v>
      </c>
      <c r="L11" s="695"/>
      <c r="M11" s="694"/>
      <c r="N11" s="694"/>
      <c r="O11" s="689"/>
      <c r="P11" s="689"/>
      <c r="Q11" s="689"/>
      <c r="R11" s="696"/>
      <c r="S11" s="697" t="s">
        <v>1593</v>
      </c>
      <c r="T11" s="90"/>
      <c r="U11" s="90"/>
      <c r="V11" s="90"/>
      <c r="W11" s="90"/>
      <c r="X11" s="90"/>
      <c r="Y11" s="90"/>
      <c r="Z11" s="90"/>
      <c r="AA11" s="90"/>
      <c r="AB11" s="90"/>
      <c r="AC11" s="90"/>
      <c r="AD11" s="90"/>
      <c r="AE11" s="90"/>
      <c r="AF11" s="90"/>
      <c r="AG11" s="90"/>
      <c r="AH11" s="90"/>
      <c r="AI11" s="90"/>
      <c r="AJ11" s="90"/>
      <c r="AK11" s="90"/>
    </row>
    <row r="12" spans="1:37">
      <c r="A12" s="689">
        <v>11</v>
      </c>
      <c r="B12" s="690" t="s">
        <v>1182</v>
      </c>
      <c r="C12" s="691" t="s">
        <v>1598</v>
      </c>
      <c r="D12" s="692" t="s">
        <v>1599</v>
      </c>
      <c r="E12" s="692" t="s">
        <v>1600</v>
      </c>
      <c r="F12" s="692"/>
      <c r="G12" s="692"/>
      <c r="H12" s="693" t="s">
        <v>1601</v>
      </c>
      <c r="I12" s="689" t="s">
        <v>1555</v>
      </c>
      <c r="J12" s="694" t="s">
        <v>1556</v>
      </c>
      <c r="K12" s="694" t="s">
        <v>996</v>
      </c>
      <c r="L12" s="695"/>
      <c r="M12" s="694"/>
      <c r="N12" s="694"/>
      <c r="O12" s="689"/>
      <c r="P12" s="689"/>
      <c r="Q12" s="689"/>
      <c r="R12" s="696"/>
      <c r="S12" s="697" t="s">
        <v>1602</v>
      </c>
      <c r="T12" s="90"/>
      <c r="U12" s="90"/>
      <c r="V12" s="90"/>
      <c r="W12" s="90"/>
      <c r="X12" s="90"/>
      <c r="Y12" s="90"/>
      <c r="Z12" s="90"/>
      <c r="AA12" s="90"/>
      <c r="AB12" s="90"/>
      <c r="AC12" s="90"/>
      <c r="AD12" s="90"/>
      <c r="AE12" s="90"/>
      <c r="AF12" s="90"/>
      <c r="AG12" s="90"/>
      <c r="AH12" s="90"/>
      <c r="AI12" s="90"/>
      <c r="AJ12" s="90"/>
      <c r="AK12" s="90"/>
    </row>
    <row r="13" spans="1:37">
      <c r="A13" s="689">
        <v>12</v>
      </c>
      <c r="B13" s="690" t="s">
        <v>1369</v>
      </c>
      <c r="C13" s="691" t="s">
        <v>1603</v>
      </c>
      <c r="D13" s="692" t="s">
        <v>1604</v>
      </c>
      <c r="E13" s="692" t="s">
        <v>1605</v>
      </c>
      <c r="F13" s="692"/>
      <c r="G13" s="692"/>
      <c r="H13" s="693" t="s">
        <v>1606</v>
      </c>
      <c r="I13" s="689" t="s">
        <v>1555</v>
      </c>
      <c r="J13" s="694" t="s">
        <v>1556</v>
      </c>
      <c r="K13" s="694" t="s">
        <v>996</v>
      </c>
      <c r="L13" s="695"/>
      <c r="M13" s="694"/>
      <c r="N13" s="694"/>
      <c r="O13" s="689"/>
      <c r="P13" s="689"/>
      <c r="Q13" s="689"/>
      <c r="R13" s="696"/>
      <c r="S13" s="697" t="s">
        <v>1602</v>
      </c>
      <c r="T13" s="90"/>
      <c r="U13" s="90"/>
      <c r="V13" s="90"/>
      <c r="W13" s="90"/>
      <c r="X13" s="90"/>
      <c r="Y13" s="90"/>
      <c r="Z13" s="90"/>
      <c r="AA13" s="90"/>
      <c r="AB13" s="90"/>
      <c r="AC13" s="90"/>
      <c r="AD13" s="90"/>
      <c r="AE13" s="90"/>
      <c r="AF13" s="90"/>
      <c r="AG13" s="90"/>
      <c r="AH13" s="90"/>
      <c r="AI13" s="90"/>
      <c r="AJ13" s="90"/>
      <c r="AK13" s="90"/>
    </row>
    <row r="14" spans="1:37">
      <c r="A14" s="689">
        <v>13</v>
      </c>
      <c r="B14" s="690" t="s">
        <v>1458</v>
      </c>
      <c r="C14" s="691" t="s">
        <v>1607</v>
      </c>
      <c r="D14" s="692" t="s">
        <v>1608</v>
      </c>
      <c r="E14" s="692" t="s">
        <v>1609</v>
      </c>
      <c r="F14" s="692"/>
      <c r="G14" s="692"/>
      <c r="H14" s="693" t="s">
        <v>1610</v>
      </c>
      <c r="I14" s="689" t="s">
        <v>1555</v>
      </c>
      <c r="J14" s="694" t="s">
        <v>1556</v>
      </c>
      <c r="K14" s="694" t="s">
        <v>996</v>
      </c>
      <c r="L14" s="695"/>
      <c r="M14" s="694"/>
      <c r="N14" s="694"/>
      <c r="O14" s="689"/>
      <c r="P14" s="689"/>
      <c r="Q14" s="689"/>
      <c r="R14" s="696"/>
      <c r="S14" s="697" t="s">
        <v>1611</v>
      </c>
      <c r="T14" s="90"/>
      <c r="U14" s="90"/>
      <c r="V14" s="90"/>
      <c r="W14" s="90"/>
      <c r="X14" s="90"/>
      <c r="Y14" s="90"/>
      <c r="Z14" s="90"/>
      <c r="AA14" s="90"/>
      <c r="AB14" s="90"/>
      <c r="AC14" s="90"/>
      <c r="AD14" s="90"/>
      <c r="AE14" s="90"/>
      <c r="AF14" s="90"/>
      <c r="AG14" s="90"/>
      <c r="AH14" s="90"/>
      <c r="AI14" s="90"/>
      <c r="AJ14" s="90"/>
      <c r="AK14" s="90"/>
    </row>
    <row r="15" spans="1:37">
      <c r="A15" s="689">
        <v>14</v>
      </c>
      <c r="B15" s="690" t="s">
        <v>1501</v>
      </c>
      <c r="C15" s="691" t="s">
        <v>1612</v>
      </c>
      <c r="D15" s="692" t="s">
        <v>1613</v>
      </c>
      <c r="E15" s="692" t="s">
        <v>1614</v>
      </c>
      <c r="F15" s="692"/>
      <c r="G15" s="692"/>
      <c r="H15" s="693" t="s">
        <v>1610</v>
      </c>
      <c r="I15" s="689" t="s">
        <v>1555</v>
      </c>
      <c r="J15" s="694" t="s">
        <v>1556</v>
      </c>
      <c r="K15" s="694" t="s">
        <v>996</v>
      </c>
      <c r="L15" s="695"/>
      <c r="M15" s="694"/>
      <c r="N15" s="694"/>
      <c r="O15" s="689"/>
      <c r="P15" s="689"/>
      <c r="Q15" s="689"/>
      <c r="R15" s="696"/>
      <c r="S15" s="697" t="s">
        <v>1611</v>
      </c>
      <c r="T15" s="90"/>
      <c r="U15" s="90"/>
      <c r="V15" s="90"/>
      <c r="W15" s="90"/>
      <c r="X15" s="90"/>
      <c r="Y15" s="90"/>
      <c r="Z15" s="90"/>
      <c r="AA15" s="90"/>
      <c r="AB15" s="90"/>
      <c r="AC15" s="90"/>
      <c r="AD15" s="90"/>
      <c r="AE15" s="90"/>
      <c r="AF15" s="90"/>
      <c r="AG15" s="90"/>
      <c r="AH15" s="90"/>
      <c r="AI15" s="90"/>
      <c r="AJ15" s="90"/>
      <c r="AK15" s="90"/>
    </row>
    <row r="16" spans="1:37">
      <c r="A16" s="689">
        <v>15</v>
      </c>
      <c r="B16" s="690" t="s">
        <v>1078</v>
      </c>
      <c r="C16" s="691" t="s">
        <v>1615</v>
      </c>
      <c r="D16" s="692" t="s">
        <v>1616</v>
      </c>
      <c r="E16" s="692" t="s">
        <v>1617</v>
      </c>
      <c r="F16" s="692"/>
      <c r="G16" s="692"/>
      <c r="H16" s="693" t="s">
        <v>1618</v>
      </c>
      <c r="I16" s="689" t="s">
        <v>1555</v>
      </c>
      <c r="J16" s="694" t="s">
        <v>1556</v>
      </c>
      <c r="K16" s="694" t="s">
        <v>996</v>
      </c>
      <c r="L16" s="695"/>
      <c r="M16" s="694"/>
      <c r="N16" s="694"/>
      <c r="O16" s="689"/>
      <c r="P16" s="689"/>
      <c r="Q16" s="689"/>
      <c r="R16" s="696"/>
      <c r="S16" s="697" t="s">
        <v>1593</v>
      </c>
      <c r="T16" s="90"/>
      <c r="U16" s="90"/>
      <c r="V16" s="90"/>
      <c r="W16" s="90"/>
      <c r="X16" s="90"/>
      <c r="Y16" s="90"/>
      <c r="Z16" s="90"/>
      <c r="AA16" s="90"/>
      <c r="AB16" s="90"/>
      <c r="AC16" s="90"/>
      <c r="AD16" s="90"/>
      <c r="AE16" s="90"/>
      <c r="AF16" s="90"/>
      <c r="AG16" s="90"/>
      <c r="AH16" s="90"/>
      <c r="AI16" s="90"/>
      <c r="AJ16" s="90"/>
      <c r="AK16" s="90"/>
    </row>
    <row r="17" spans="1:37">
      <c r="A17" s="689">
        <v>16</v>
      </c>
      <c r="B17" s="690" t="s">
        <v>1481</v>
      </c>
      <c r="C17" s="691" t="s">
        <v>1619</v>
      </c>
      <c r="D17" s="692" t="s">
        <v>1620</v>
      </c>
      <c r="E17" s="692" t="s">
        <v>1482</v>
      </c>
      <c r="F17" s="692"/>
      <c r="G17" s="692"/>
      <c r="H17" s="693" t="s">
        <v>1621</v>
      </c>
      <c r="I17" s="689" t="s">
        <v>1555</v>
      </c>
      <c r="J17" s="694" t="s">
        <v>1556</v>
      </c>
      <c r="K17" s="694" t="s">
        <v>996</v>
      </c>
      <c r="L17" s="695"/>
      <c r="M17" s="694"/>
      <c r="N17" s="694"/>
      <c r="O17" s="689"/>
      <c r="P17" s="689"/>
      <c r="Q17" s="689"/>
      <c r="R17" s="696"/>
      <c r="S17" s="697" t="s">
        <v>1602</v>
      </c>
      <c r="T17" s="90"/>
      <c r="U17" s="90"/>
      <c r="V17" s="90"/>
      <c r="W17" s="90"/>
      <c r="X17" s="90"/>
      <c r="Y17" s="90"/>
      <c r="Z17" s="90"/>
      <c r="AA17" s="90"/>
      <c r="AB17" s="90"/>
      <c r="AC17" s="90"/>
      <c r="AD17" s="90"/>
      <c r="AE17" s="90"/>
      <c r="AF17" s="90"/>
      <c r="AG17" s="90"/>
      <c r="AH17" s="90"/>
      <c r="AI17" s="90"/>
      <c r="AJ17" s="90"/>
      <c r="AK17" s="90"/>
    </row>
    <row r="18" spans="1:37">
      <c r="A18" s="689">
        <v>17</v>
      </c>
      <c r="B18" s="690" t="s">
        <v>1123</v>
      </c>
      <c r="C18" s="691" t="s">
        <v>1622</v>
      </c>
      <c r="D18" s="692" t="s">
        <v>1623</v>
      </c>
      <c r="E18" s="692" t="s">
        <v>1624</v>
      </c>
      <c r="F18" s="692"/>
      <c r="G18" s="692"/>
      <c r="H18" s="693" t="s">
        <v>1625</v>
      </c>
      <c r="I18" s="689" t="s">
        <v>1555</v>
      </c>
      <c r="J18" s="694" t="s">
        <v>1556</v>
      </c>
      <c r="K18" s="694" t="s">
        <v>996</v>
      </c>
      <c r="L18" s="695"/>
      <c r="M18" s="694"/>
      <c r="N18" s="694"/>
      <c r="O18" s="689"/>
      <c r="P18" s="689"/>
      <c r="Q18" s="689"/>
      <c r="R18" s="696"/>
      <c r="S18" s="697" t="s">
        <v>1593</v>
      </c>
      <c r="T18" s="90"/>
      <c r="U18" s="90"/>
      <c r="V18" s="90"/>
      <c r="W18" s="90"/>
      <c r="X18" s="90"/>
      <c r="Y18" s="90"/>
      <c r="Z18" s="90"/>
      <c r="AA18" s="90"/>
      <c r="AB18" s="90"/>
      <c r="AC18" s="90"/>
      <c r="AD18" s="90"/>
      <c r="AE18" s="90"/>
      <c r="AF18" s="90"/>
      <c r="AG18" s="90"/>
      <c r="AH18" s="90"/>
      <c r="AI18" s="90"/>
      <c r="AJ18" s="90"/>
      <c r="AK18" s="90"/>
    </row>
    <row r="19" spans="1:37">
      <c r="A19" s="689">
        <v>19</v>
      </c>
      <c r="B19" s="690" t="s">
        <v>1095</v>
      </c>
      <c r="C19" s="691" t="s">
        <v>1626</v>
      </c>
      <c r="D19" s="692" t="s">
        <v>1627</v>
      </c>
      <c r="E19" s="692" t="s">
        <v>1628</v>
      </c>
      <c r="F19" s="692"/>
      <c r="G19" s="692"/>
      <c r="H19" s="693" t="s">
        <v>1629</v>
      </c>
      <c r="I19" s="689" t="s">
        <v>1555</v>
      </c>
      <c r="J19" s="694" t="s">
        <v>1556</v>
      </c>
      <c r="K19" s="694" t="s">
        <v>996</v>
      </c>
      <c r="L19" s="695"/>
      <c r="M19" s="694"/>
      <c r="N19" s="694"/>
      <c r="O19" s="689"/>
      <c r="P19" s="689"/>
      <c r="Q19" s="689"/>
      <c r="R19" s="696"/>
      <c r="S19" s="697" t="s">
        <v>1630</v>
      </c>
      <c r="T19" s="90"/>
      <c r="U19" s="90"/>
      <c r="V19" s="90"/>
      <c r="W19" s="90"/>
      <c r="X19" s="90"/>
      <c r="Y19" s="90"/>
      <c r="Z19" s="90"/>
      <c r="AA19" s="90"/>
      <c r="AB19" s="90"/>
      <c r="AC19" s="90"/>
      <c r="AD19" s="90"/>
      <c r="AE19" s="90"/>
      <c r="AF19" s="90"/>
      <c r="AG19" s="90"/>
      <c r="AH19" s="90"/>
      <c r="AI19" s="90"/>
      <c r="AJ19" s="90"/>
      <c r="AK19" s="90"/>
    </row>
    <row r="20" spans="1:37">
      <c r="A20" s="689">
        <v>20</v>
      </c>
      <c r="B20" s="690" t="s">
        <v>1302</v>
      </c>
      <c r="C20" s="691" t="s">
        <v>1631</v>
      </c>
      <c r="D20" s="692" t="s">
        <v>1632</v>
      </c>
      <c r="E20" s="692" t="s">
        <v>1633</v>
      </c>
      <c r="F20" s="692"/>
      <c r="G20" s="692"/>
      <c r="H20" s="693" t="s">
        <v>1634</v>
      </c>
      <c r="I20" s="689" t="s">
        <v>1555</v>
      </c>
      <c r="J20" s="694" t="s">
        <v>1556</v>
      </c>
      <c r="K20" s="694" t="s">
        <v>996</v>
      </c>
      <c r="L20" s="695"/>
      <c r="M20" s="694"/>
      <c r="N20" s="694"/>
      <c r="O20" s="689"/>
      <c r="P20" s="689"/>
      <c r="Q20" s="689"/>
      <c r="R20" s="696"/>
      <c r="S20" s="697" t="s">
        <v>1611</v>
      </c>
      <c r="T20" s="90"/>
      <c r="U20" s="90"/>
      <c r="V20" s="90"/>
      <c r="W20" s="90"/>
      <c r="X20" s="90"/>
      <c r="Y20" s="90"/>
      <c r="Z20" s="90"/>
      <c r="AA20" s="90"/>
      <c r="AB20" s="90"/>
      <c r="AC20" s="90"/>
      <c r="AD20" s="90"/>
      <c r="AE20" s="90"/>
      <c r="AF20" s="90"/>
      <c r="AG20" s="90"/>
      <c r="AH20" s="90"/>
      <c r="AI20" s="90"/>
      <c r="AJ20" s="90"/>
      <c r="AK20" s="90"/>
    </row>
    <row r="21" spans="1:37">
      <c r="A21" s="689">
        <v>21</v>
      </c>
      <c r="B21" s="690" t="s">
        <v>1492</v>
      </c>
      <c r="C21" s="691" t="s">
        <v>1635</v>
      </c>
      <c r="D21" s="692" t="s">
        <v>1636</v>
      </c>
      <c r="E21" s="692" t="s">
        <v>1637</v>
      </c>
      <c r="F21" s="692"/>
      <c r="G21" s="692"/>
      <c r="H21" s="693" t="s">
        <v>1638</v>
      </c>
      <c r="I21" s="689" t="s">
        <v>1555</v>
      </c>
      <c r="J21" s="694" t="s">
        <v>1556</v>
      </c>
      <c r="K21" s="694" t="s">
        <v>996</v>
      </c>
      <c r="L21" s="695"/>
      <c r="M21" s="694"/>
      <c r="N21" s="694"/>
      <c r="O21" s="689"/>
      <c r="P21" s="689"/>
      <c r="Q21" s="689"/>
      <c r="R21" s="696"/>
      <c r="S21" s="697" t="s">
        <v>1593</v>
      </c>
      <c r="T21" s="90"/>
      <c r="U21" s="90"/>
      <c r="V21" s="90"/>
      <c r="W21" s="90"/>
      <c r="X21" s="90"/>
      <c r="Y21" s="90"/>
      <c r="Z21" s="90"/>
      <c r="AA21" s="90"/>
      <c r="AB21" s="90"/>
      <c r="AC21" s="90"/>
      <c r="AD21" s="90"/>
      <c r="AE21" s="90"/>
      <c r="AF21" s="90"/>
      <c r="AG21" s="90"/>
      <c r="AH21" s="90"/>
      <c r="AI21" s="90"/>
      <c r="AJ21" s="90"/>
      <c r="AK21" s="90"/>
    </row>
    <row r="22" spans="1:37">
      <c r="A22" s="689">
        <v>22</v>
      </c>
      <c r="B22" s="690" t="s">
        <v>1352</v>
      </c>
      <c r="C22" s="691" t="s">
        <v>1639</v>
      </c>
      <c r="D22" s="692" t="s">
        <v>1640</v>
      </c>
      <c r="E22" s="692" t="s">
        <v>1641</v>
      </c>
      <c r="F22" s="692"/>
      <c r="G22" s="692"/>
      <c r="H22" s="693" t="s">
        <v>1642</v>
      </c>
      <c r="I22" s="689" t="s">
        <v>1555</v>
      </c>
      <c r="J22" s="694" t="s">
        <v>1556</v>
      </c>
      <c r="K22" s="694" t="s">
        <v>996</v>
      </c>
      <c r="L22" s="695"/>
      <c r="M22" s="694"/>
      <c r="N22" s="694"/>
      <c r="O22" s="689"/>
      <c r="P22" s="689"/>
      <c r="Q22" s="689"/>
      <c r="R22" s="696"/>
      <c r="S22" s="697" t="s">
        <v>1593</v>
      </c>
      <c r="T22" s="90"/>
      <c r="U22" s="90"/>
      <c r="V22" s="90"/>
      <c r="W22" s="90"/>
      <c r="X22" s="90"/>
      <c r="Y22" s="90"/>
      <c r="Z22" s="90"/>
      <c r="AA22" s="90"/>
      <c r="AB22" s="90"/>
      <c r="AC22" s="90"/>
      <c r="AD22" s="90"/>
      <c r="AE22" s="90"/>
      <c r="AF22" s="90"/>
      <c r="AG22" s="90"/>
      <c r="AH22" s="90"/>
      <c r="AI22" s="90"/>
      <c r="AJ22" s="90"/>
      <c r="AK22" s="90"/>
    </row>
    <row r="23" spans="1:37">
      <c r="A23" s="689">
        <v>23</v>
      </c>
      <c r="B23" s="690" t="s">
        <v>1091</v>
      </c>
      <c r="C23" s="691" t="s">
        <v>1643</v>
      </c>
      <c r="D23" s="692" t="s">
        <v>1644</v>
      </c>
      <c r="E23" s="692" t="s">
        <v>1645</v>
      </c>
      <c r="F23" s="692"/>
      <c r="G23" s="692"/>
      <c r="H23" s="693" t="s">
        <v>1629</v>
      </c>
      <c r="I23" s="689" t="s">
        <v>1555</v>
      </c>
      <c r="J23" s="694" t="s">
        <v>1556</v>
      </c>
      <c r="K23" s="694" t="s">
        <v>996</v>
      </c>
      <c r="L23" s="695"/>
      <c r="M23" s="694"/>
      <c r="N23" s="694"/>
      <c r="O23" s="689"/>
      <c r="P23" s="689"/>
      <c r="Q23" s="689"/>
      <c r="R23" s="696"/>
      <c r="S23" s="697" t="s">
        <v>1630</v>
      </c>
      <c r="T23" s="90"/>
      <c r="U23" s="90"/>
      <c r="V23" s="90"/>
      <c r="W23" s="90"/>
      <c r="X23" s="90"/>
      <c r="Y23" s="90"/>
      <c r="Z23" s="90"/>
      <c r="AA23" s="90"/>
      <c r="AB23" s="90"/>
      <c r="AC23" s="90"/>
      <c r="AD23" s="90"/>
      <c r="AE23" s="90"/>
      <c r="AF23" s="90"/>
      <c r="AG23" s="90"/>
      <c r="AH23" s="90"/>
      <c r="AI23" s="90"/>
      <c r="AJ23" s="90"/>
      <c r="AK23" s="90"/>
    </row>
    <row r="24" spans="1:37">
      <c r="A24" s="689">
        <v>24</v>
      </c>
      <c r="B24" s="690" t="s">
        <v>1321</v>
      </c>
      <c r="C24" s="691" t="s">
        <v>1646</v>
      </c>
      <c r="D24" s="692" t="s">
        <v>1647</v>
      </c>
      <c r="E24" s="692" t="s">
        <v>1648</v>
      </c>
      <c r="F24" s="692"/>
      <c r="G24" s="692"/>
      <c r="H24" s="693" t="s">
        <v>1649</v>
      </c>
      <c r="I24" s="689" t="s">
        <v>1555</v>
      </c>
      <c r="J24" s="694" t="s">
        <v>1556</v>
      </c>
      <c r="K24" s="694" t="s">
        <v>996</v>
      </c>
      <c r="L24" s="695"/>
      <c r="M24" s="694"/>
      <c r="N24" s="694"/>
      <c r="O24" s="689"/>
      <c r="P24" s="689"/>
      <c r="Q24" s="689"/>
      <c r="R24" s="696"/>
      <c r="S24" s="697" t="s">
        <v>1630</v>
      </c>
      <c r="T24" s="90"/>
      <c r="U24" s="90"/>
      <c r="V24" s="90"/>
      <c r="W24" s="90"/>
      <c r="X24" s="90"/>
      <c r="Y24" s="90"/>
      <c r="Z24" s="90"/>
      <c r="AA24" s="90"/>
      <c r="AB24" s="90"/>
      <c r="AC24" s="90"/>
      <c r="AD24" s="90"/>
      <c r="AE24" s="90"/>
      <c r="AF24" s="90"/>
      <c r="AG24" s="90"/>
      <c r="AH24" s="90"/>
      <c r="AI24" s="90"/>
      <c r="AJ24" s="90"/>
      <c r="AK24" s="90"/>
    </row>
    <row r="25" spans="1:37">
      <c r="A25" s="689">
        <v>25</v>
      </c>
      <c r="B25" s="690" t="s">
        <v>1387</v>
      </c>
      <c r="C25" s="691" t="s">
        <v>1650</v>
      </c>
      <c r="D25" s="692" t="s">
        <v>1651</v>
      </c>
      <c r="E25" s="692" t="s">
        <v>1652</v>
      </c>
      <c r="F25" s="692" t="s">
        <v>1653</v>
      </c>
      <c r="G25" s="692"/>
      <c r="H25" s="693" t="s">
        <v>1654</v>
      </c>
      <c r="I25" s="689" t="s">
        <v>1555</v>
      </c>
      <c r="J25" s="694" t="s">
        <v>1556</v>
      </c>
      <c r="K25" s="694" t="s">
        <v>996</v>
      </c>
      <c r="L25" s="695"/>
      <c r="M25" s="694"/>
      <c r="N25" s="694"/>
      <c r="O25" s="689"/>
      <c r="P25" s="689"/>
      <c r="Q25" s="689"/>
      <c r="R25" s="696"/>
      <c r="S25" s="697" t="s">
        <v>1593</v>
      </c>
      <c r="T25" s="90"/>
      <c r="U25" s="90"/>
      <c r="V25" s="90"/>
      <c r="W25" s="90"/>
      <c r="X25" s="90"/>
      <c r="Y25" s="90"/>
      <c r="Z25" s="90"/>
      <c r="AA25" s="90"/>
      <c r="AB25" s="90"/>
      <c r="AC25" s="90"/>
      <c r="AD25" s="90"/>
      <c r="AE25" s="90"/>
      <c r="AF25" s="90"/>
      <c r="AG25" s="90"/>
      <c r="AH25" s="90"/>
      <c r="AI25" s="90"/>
      <c r="AJ25" s="90"/>
      <c r="AK25" s="90"/>
    </row>
    <row r="26" spans="1:37">
      <c r="A26" s="689">
        <v>26</v>
      </c>
      <c r="B26" s="690" t="s">
        <v>1211</v>
      </c>
      <c r="C26" s="691" t="s">
        <v>1655</v>
      </c>
      <c r="D26" s="692" t="s">
        <v>1656</v>
      </c>
      <c r="E26" s="692" t="s">
        <v>1657</v>
      </c>
      <c r="F26" s="692"/>
      <c r="G26" s="692"/>
      <c r="H26" s="693" t="s">
        <v>1584</v>
      </c>
      <c r="I26" s="689" t="s">
        <v>1555</v>
      </c>
      <c r="J26" s="694" t="s">
        <v>1556</v>
      </c>
      <c r="K26" s="694" t="s">
        <v>996</v>
      </c>
      <c r="L26" s="695"/>
      <c r="M26" s="694"/>
      <c r="N26" s="694"/>
      <c r="O26" s="689"/>
      <c r="P26" s="689"/>
      <c r="Q26" s="689"/>
      <c r="R26" s="696"/>
      <c r="S26" s="697" t="s">
        <v>1562</v>
      </c>
      <c r="T26" s="90"/>
      <c r="U26" s="90"/>
      <c r="V26" s="90"/>
      <c r="W26" s="90"/>
      <c r="X26" s="90"/>
      <c r="Y26" s="90"/>
      <c r="Z26" s="90"/>
      <c r="AA26" s="90"/>
      <c r="AB26" s="90"/>
      <c r="AC26" s="90"/>
      <c r="AD26" s="90"/>
      <c r="AE26" s="90"/>
      <c r="AF26" s="90"/>
      <c r="AG26" s="90"/>
      <c r="AH26" s="90"/>
      <c r="AI26" s="90"/>
      <c r="AJ26" s="90"/>
      <c r="AK26" s="90"/>
    </row>
    <row r="27" spans="1:37">
      <c r="A27" s="689">
        <v>27</v>
      </c>
      <c r="B27" s="690" t="s">
        <v>1298</v>
      </c>
      <c r="C27" s="691" t="s">
        <v>1658</v>
      </c>
      <c r="D27" s="692" t="s">
        <v>1659</v>
      </c>
      <c r="E27" s="692" t="s">
        <v>1660</v>
      </c>
      <c r="F27" s="692"/>
      <c r="G27" s="692"/>
      <c r="H27" s="693" t="s">
        <v>1584</v>
      </c>
      <c r="I27" s="689" t="s">
        <v>1555</v>
      </c>
      <c r="J27" s="694" t="s">
        <v>1556</v>
      </c>
      <c r="K27" s="694" t="s">
        <v>996</v>
      </c>
      <c r="L27" s="695">
        <v>44958</v>
      </c>
      <c r="M27" s="694"/>
      <c r="N27" s="694"/>
      <c r="O27" s="689"/>
      <c r="P27" s="689"/>
      <c r="Q27" s="689"/>
      <c r="R27" s="696"/>
      <c r="S27" s="697"/>
      <c r="T27" s="90"/>
      <c r="U27" s="90"/>
      <c r="V27" s="90"/>
      <c r="W27" s="90"/>
      <c r="X27" s="90"/>
      <c r="Y27" s="90"/>
      <c r="Z27" s="90"/>
      <c r="AA27" s="90"/>
      <c r="AB27" s="90"/>
      <c r="AC27" s="90"/>
      <c r="AD27" s="90"/>
      <c r="AE27" s="90"/>
      <c r="AF27" s="90"/>
      <c r="AG27" s="90"/>
      <c r="AH27" s="90"/>
      <c r="AI27" s="90"/>
      <c r="AJ27" s="90"/>
      <c r="AK27" s="90"/>
    </row>
    <row r="28" spans="1:37">
      <c r="A28" s="689">
        <v>28</v>
      </c>
      <c r="B28" s="690" t="s">
        <v>1054</v>
      </c>
      <c r="C28" s="691" t="s">
        <v>1661</v>
      </c>
      <c r="D28" s="692" t="s">
        <v>1662</v>
      </c>
      <c r="E28" s="692" t="s">
        <v>1663</v>
      </c>
      <c r="F28" s="692"/>
      <c r="G28" s="692"/>
      <c r="H28" s="693" t="s">
        <v>1664</v>
      </c>
      <c r="I28" s="689" t="s">
        <v>1555</v>
      </c>
      <c r="J28" s="694" t="s">
        <v>1556</v>
      </c>
      <c r="K28" s="694" t="s">
        <v>996</v>
      </c>
      <c r="L28" s="695"/>
      <c r="M28" s="694"/>
      <c r="N28" s="694"/>
      <c r="O28" s="689"/>
      <c r="P28" s="689"/>
      <c r="Q28" s="689"/>
      <c r="R28" s="696"/>
      <c r="S28" s="697" t="s">
        <v>1602</v>
      </c>
      <c r="T28" s="90"/>
      <c r="U28" s="90"/>
      <c r="V28" s="90"/>
      <c r="W28" s="90"/>
      <c r="X28" s="90"/>
      <c r="Y28" s="90"/>
      <c r="Z28" s="90"/>
      <c r="AA28" s="90"/>
      <c r="AB28" s="90"/>
      <c r="AC28" s="90"/>
      <c r="AD28" s="90"/>
      <c r="AE28" s="90"/>
      <c r="AF28" s="90"/>
      <c r="AG28" s="90"/>
      <c r="AH28" s="90"/>
      <c r="AI28" s="90"/>
      <c r="AJ28" s="90"/>
      <c r="AK28" s="90"/>
    </row>
    <row r="29" spans="1:37">
      <c r="A29" s="689">
        <v>29</v>
      </c>
      <c r="B29" s="690" t="s">
        <v>1060</v>
      </c>
      <c r="C29" s="691" t="s">
        <v>1665</v>
      </c>
      <c r="D29" s="692" t="s">
        <v>1666</v>
      </c>
      <c r="E29" s="692" t="s">
        <v>1667</v>
      </c>
      <c r="F29" s="692"/>
      <c r="G29" s="692"/>
      <c r="H29" s="693" t="s">
        <v>1668</v>
      </c>
      <c r="I29" s="689" t="s">
        <v>1555</v>
      </c>
      <c r="J29" s="694" t="s">
        <v>1556</v>
      </c>
      <c r="K29" s="694" t="s">
        <v>996</v>
      </c>
      <c r="L29" s="695"/>
      <c r="M29" s="694"/>
      <c r="N29" s="694"/>
      <c r="O29" s="689"/>
      <c r="P29" s="689"/>
      <c r="Q29" s="689"/>
      <c r="R29" s="696"/>
      <c r="S29" s="697" t="s">
        <v>1602</v>
      </c>
      <c r="T29" s="90"/>
      <c r="U29" s="90"/>
      <c r="V29" s="90"/>
      <c r="W29" s="90"/>
      <c r="X29" s="90"/>
      <c r="Y29" s="90"/>
      <c r="Z29" s="90"/>
      <c r="AA29" s="90"/>
      <c r="AB29" s="90"/>
      <c r="AC29" s="90"/>
      <c r="AD29" s="90"/>
      <c r="AE29" s="90"/>
      <c r="AF29" s="90"/>
      <c r="AG29" s="90"/>
      <c r="AH29" s="90"/>
      <c r="AI29" s="90"/>
      <c r="AJ29" s="90"/>
      <c r="AK29" s="90"/>
    </row>
    <row r="30" spans="1:37">
      <c r="A30" s="689">
        <v>30</v>
      </c>
      <c r="B30" s="690" t="s">
        <v>1317</v>
      </c>
      <c r="C30" s="691" t="s">
        <v>1669</v>
      </c>
      <c r="D30" s="692" t="s">
        <v>1670</v>
      </c>
      <c r="E30" s="692" t="s">
        <v>1671</v>
      </c>
      <c r="F30" s="692"/>
      <c r="G30" s="692" t="s">
        <v>1672</v>
      </c>
      <c r="H30" s="693" t="s">
        <v>1673</v>
      </c>
      <c r="I30" s="689" t="s">
        <v>1555</v>
      </c>
      <c r="J30" s="694" t="s">
        <v>1556</v>
      </c>
      <c r="K30" s="694" t="s">
        <v>996</v>
      </c>
      <c r="L30" s="695">
        <v>44991</v>
      </c>
      <c r="M30" s="694" t="s">
        <v>1674</v>
      </c>
      <c r="N30" s="694" t="s">
        <v>1674</v>
      </c>
      <c r="O30" s="689">
        <v>5430</v>
      </c>
      <c r="P30" s="689" t="s">
        <v>1674</v>
      </c>
      <c r="Q30" s="689" t="s">
        <v>1674</v>
      </c>
      <c r="R30" s="696"/>
      <c r="S30" s="697"/>
      <c r="T30" s="90"/>
      <c r="U30" s="90"/>
      <c r="V30" s="90"/>
      <c r="W30" s="90"/>
      <c r="X30" s="90"/>
      <c r="Y30" s="90"/>
      <c r="Z30" s="90"/>
      <c r="AA30" s="90"/>
      <c r="AB30" s="90"/>
      <c r="AC30" s="90"/>
      <c r="AD30" s="90"/>
      <c r="AE30" s="90"/>
      <c r="AF30" s="90"/>
      <c r="AG30" s="90"/>
      <c r="AH30" s="90"/>
      <c r="AI30" s="90"/>
      <c r="AJ30" s="90"/>
      <c r="AK30" s="90"/>
    </row>
    <row r="31" spans="1:37">
      <c r="A31" s="689">
        <v>31</v>
      </c>
      <c r="B31" s="690" t="s">
        <v>1521</v>
      </c>
      <c r="C31" s="691" t="s">
        <v>1675</v>
      </c>
      <c r="D31" s="692" t="s">
        <v>1676</v>
      </c>
      <c r="E31" s="692" t="s">
        <v>1676</v>
      </c>
      <c r="F31" s="692"/>
      <c r="G31" s="692" t="s">
        <v>1677</v>
      </c>
      <c r="H31" s="693" t="s">
        <v>1678</v>
      </c>
      <c r="I31" s="689" t="s">
        <v>1555</v>
      </c>
      <c r="J31" s="694" t="s">
        <v>1556</v>
      </c>
      <c r="K31" s="694" t="s">
        <v>996</v>
      </c>
      <c r="L31" s="698">
        <v>45005</v>
      </c>
      <c r="M31" s="694" t="s">
        <v>1674</v>
      </c>
      <c r="N31" s="694"/>
      <c r="O31" s="689"/>
      <c r="P31" s="689"/>
      <c r="Q31" s="689" t="s">
        <v>1674</v>
      </c>
      <c r="R31" s="696" t="s">
        <v>1679</v>
      </c>
      <c r="S31" s="697"/>
      <c r="T31" s="90"/>
      <c r="U31" s="90"/>
      <c r="V31" s="90"/>
      <c r="W31" s="90"/>
      <c r="X31" s="90"/>
      <c r="Y31" s="90"/>
      <c r="Z31" s="90"/>
      <c r="AA31" s="90"/>
      <c r="AB31" s="90"/>
      <c r="AC31" s="90"/>
      <c r="AD31" s="90"/>
      <c r="AE31" s="90"/>
      <c r="AF31" s="90"/>
      <c r="AG31" s="90"/>
      <c r="AH31" s="90"/>
      <c r="AI31" s="90"/>
      <c r="AJ31" s="90"/>
      <c r="AK31" s="90"/>
    </row>
    <row r="32" spans="1:37">
      <c r="A32" s="689">
        <v>32</v>
      </c>
      <c r="B32" s="690" t="s">
        <v>1111</v>
      </c>
      <c r="C32" s="691" t="s">
        <v>1680</v>
      </c>
      <c r="D32" s="692" t="s">
        <v>1681</v>
      </c>
      <c r="E32" s="692" t="s">
        <v>1682</v>
      </c>
      <c r="F32" s="692"/>
      <c r="G32" s="692" t="s">
        <v>157</v>
      </c>
      <c r="H32" s="693" t="s">
        <v>1683</v>
      </c>
      <c r="I32" s="689" t="s">
        <v>1555</v>
      </c>
      <c r="J32" s="694" t="s">
        <v>1556</v>
      </c>
      <c r="K32" s="694" t="s">
        <v>996</v>
      </c>
      <c r="L32" s="695">
        <v>45012</v>
      </c>
      <c r="M32" s="694" t="s">
        <v>1674</v>
      </c>
      <c r="N32" s="694" t="s">
        <v>1674</v>
      </c>
      <c r="O32" s="689">
        <v>3520</v>
      </c>
      <c r="P32" s="694" t="s">
        <v>1674</v>
      </c>
      <c r="Q32" s="689" t="s">
        <v>1674</v>
      </c>
      <c r="R32" s="696"/>
      <c r="S32" s="697"/>
      <c r="T32" s="90"/>
      <c r="U32" s="90"/>
      <c r="V32" s="90"/>
      <c r="W32" s="90"/>
      <c r="X32" s="90"/>
      <c r="Y32" s="90"/>
      <c r="Z32" s="90"/>
      <c r="AA32" s="90"/>
      <c r="AB32" s="90"/>
      <c r="AC32" s="90"/>
      <c r="AD32" s="90"/>
      <c r="AE32" s="90"/>
      <c r="AF32" s="90"/>
      <c r="AG32" s="90"/>
      <c r="AH32" s="90"/>
      <c r="AI32" s="90"/>
      <c r="AJ32" s="90"/>
      <c r="AK32" s="90"/>
    </row>
    <row r="33" spans="1:37">
      <c r="A33" s="689">
        <v>33</v>
      </c>
      <c r="B33" s="690" t="s">
        <v>1065</v>
      </c>
      <c r="C33" s="691" t="s">
        <v>1684</v>
      </c>
      <c r="D33" s="692" t="s">
        <v>1685</v>
      </c>
      <c r="E33" s="692" t="s">
        <v>1686</v>
      </c>
      <c r="F33" s="692"/>
      <c r="G33" s="692" t="s">
        <v>1687</v>
      </c>
      <c r="H33" s="693" t="s">
        <v>1688</v>
      </c>
      <c r="I33" s="689" t="s">
        <v>1555</v>
      </c>
      <c r="J33" s="694" t="s">
        <v>1556</v>
      </c>
      <c r="K33" s="694" t="s">
        <v>996</v>
      </c>
      <c r="L33" s="695">
        <v>45019</v>
      </c>
      <c r="M33" s="694" t="s">
        <v>1674</v>
      </c>
      <c r="N33" s="689" t="s">
        <v>1689</v>
      </c>
      <c r="O33" s="689" t="s">
        <v>1689</v>
      </c>
      <c r="P33" s="689" t="s">
        <v>1689</v>
      </c>
      <c r="Q33" s="689"/>
      <c r="R33" s="696" t="s">
        <v>1690</v>
      </c>
      <c r="S33" s="697"/>
      <c r="T33" s="90"/>
      <c r="U33" s="90"/>
      <c r="V33" s="90"/>
      <c r="W33" s="90"/>
      <c r="X33" s="90"/>
      <c r="Y33" s="90"/>
      <c r="Z33" s="90"/>
      <c r="AA33" s="90"/>
      <c r="AB33" s="90"/>
      <c r="AC33" s="90"/>
      <c r="AD33" s="90"/>
      <c r="AE33" s="90"/>
      <c r="AF33" s="90"/>
      <c r="AG33" s="90"/>
      <c r="AH33" s="90"/>
      <c r="AI33" s="90"/>
      <c r="AJ33" s="90"/>
      <c r="AK33" s="90"/>
    </row>
    <row r="34" spans="1:37">
      <c r="A34" s="689">
        <v>34</v>
      </c>
      <c r="B34" s="690" t="s">
        <v>1016</v>
      </c>
      <c r="C34" s="691" t="s">
        <v>1691</v>
      </c>
      <c r="D34" s="692" t="s">
        <v>1692</v>
      </c>
      <c r="E34" s="692" t="s">
        <v>1693</v>
      </c>
      <c r="F34" s="692"/>
      <c r="G34" s="699" t="s">
        <v>1694</v>
      </c>
      <c r="H34" s="700" t="s">
        <v>1695</v>
      </c>
      <c r="I34" s="689" t="s">
        <v>1555</v>
      </c>
      <c r="J34" s="694" t="s">
        <v>1556</v>
      </c>
      <c r="K34" s="694" t="s">
        <v>996</v>
      </c>
      <c r="L34" s="706">
        <v>45026</v>
      </c>
      <c r="M34" s="702" t="s">
        <v>1674</v>
      </c>
      <c r="N34" s="702" t="s">
        <v>1674</v>
      </c>
      <c r="O34" s="701">
        <v>5430</v>
      </c>
      <c r="P34" s="701"/>
      <c r="Q34" s="701"/>
      <c r="R34" s="707" t="s">
        <v>1696</v>
      </c>
      <c r="S34" s="705"/>
      <c r="T34" s="90"/>
      <c r="U34" s="90"/>
      <c r="V34" s="90"/>
      <c r="W34" s="90"/>
      <c r="X34" s="90"/>
      <c r="Y34" s="90"/>
      <c r="Z34" s="90"/>
      <c r="AA34" s="90"/>
      <c r="AB34" s="90"/>
      <c r="AC34" s="90"/>
      <c r="AD34" s="90"/>
      <c r="AE34" s="90"/>
      <c r="AF34" s="90"/>
      <c r="AG34" s="90"/>
      <c r="AH34" s="90"/>
      <c r="AI34" s="90"/>
      <c r="AJ34" s="90"/>
      <c r="AK34" s="90"/>
    </row>
    <row r="35" spans="1:37">
      <c r="A35" s="689">
        <v>35</v>
      </c>
      <c r="B35" s="690" t="s">
        <v>1339</v>
      </c>
      <c r="C35" s="691" t="s">
        <v>1697</v>
      </c>
      <c r="D35" s="692" t="s">
        <v>1698</v>
      </c>
      <c r="E35" s="692" t="s">
        <v>1699</v>
      </c>
      <c r="F35" s="692"/>
      <c r="G35" s="708" t="s">
        <v>1700</v>
      </c>
      <c r="H35" s="693" t="s">
        <v>1701</v>
      </c>
      <c r="I35" s="701" t="s">
        <v>1555</v>
      </c>
      <c r="J35" s="694" t="s">
        <v>1556</v>
      </c>
      <c r="K35" s="694" t="s">
        <v>996</v>
      </c>
      <c r="L35" s="698">
        <v>45054</v>
      </c>
      <c r="M35" s="694" t="s">
        <v>1674</v>
      </c>
      <c r="N35" s="689" t="s">
        <v>1689</v>
      </c>
      <c r="O35" s="689" t="s">
        <v>1689</v>
      </c>
      <c r="P35" s="689"/>
      <c r="Q35" s="689"/>
      <c r="R35" s="709" t="s">
        <v>1702</v>
      </c>
      <c r="S35" s="697"/>
      <c r="T35" s="90"/>
      <c r="U35" s="90"/>
      <c r="V35" s="90"/>
      <c r="W35" s="90"/>
      <c r="X35" s="90"/>
      <c r="Y35" s="90"/>
      <c r="Z35" s="90"/>
      <c r="AA35" s="90"/>
      <c r="AB35" s="90"/>
      <c r="AC35" s="90"/>
      <c r="AD35" s="90"/>
      <c r="AE35" s="90"/>
      <c r="AF35" s="90"/>
      <c r="AG35" s="90"/>
      <c r="AH35" s="90"/>
      <c r="AI35" s="90"/>
      <c r="AJ35" s="90"/>
      <c r="AK35" s="90"/>
    </row>
    <row r="36" spans="1:37">
      <c r="A36" s="689">
        <v>36</v>
      </c>
      <c r="B36" s="690" t="s">
        <v>1348</v>
      </c>
      <c r="C36" s="691" t="s">
        <v>1703</v>
      </c>
      <c r="D36" s="692" t="s">
        <v>1704</v>
      </c>
      <c r="E36" s="692" t="s">
        <v>1705</v>
      </c>
      <c r="F36" s="692"/>
      <c r="G36" s="708" t="s">
        <v>1706</v>
      </c>
      <c r="H36" s="693" t="s">
        <v>1707</v>
      </c>
      <c r="I36" s="689" t="s">
        <v>1555</v>
      </c>
      <c r="J36" s="694" t="s">
        <v>1556</v>
      </c>
      <c r="K36" s="694" t="s">
        <v>996</v>
      </c>
      <c r="L36" s="698">
        <v>45069</v>
      </c>
      <c r="M36" s="694" t="s">
        <v>1708</v>
      </c>
      <c r="N36" s="694" t="s">
        <v>1709</v>
      </c>
      <c r="O36" s="689">
        <v>5430</v>
      </c>
      <c r="P36" s="689"/>
      <c r="Q36" s="689"/>
      <c r="R36" s="696"/>
      <c r="S36" s="697"/>
      <c r="T36" s="90"/>
      <c r="U36" s="90"/>
      <c r="V36" s="90"/>
      <c r="W36" s="90"/>
      <c r="X36" s="90"/>
      <c r="Y36" s="90"/>
      <c r="Z36" s="90"/>
      <c r="AA36" s="90"/>
      <c r="AB36" s="90"/>
      <c r="AC36" s="90"/>
      <c r="AD36" s="90"/>
      <c r="AE36" s="90"/>
      <c r="AF36" s="90"/>
      <c r="AG36" s="90"/>
      <c r="AH36" s="90"/>
      <c r="AI36" s="90"/>
      <c r="AJ36" s="90"/>
      <c r="AK36" s="90"/>
    </row>
    <row r="37" spans="1:37">
      <c r="A37" s="689">
        <v>37</v>
      </c>
      <c r="B37" s="690" t="s">
        <v>1200</v>
      </c>
      <c r="C37" s="691" t="s">
        <v>1710</v>
      </c>
      <c r="D37" s="692" t="s">
        <v>1711</v>
      </c>
      <c r="E37" s="692" t="s">
        <v>1712</v>
      </c>
      <c r="F37" s="692"/>
      <c r="G37" s="708" t="s">
        <v>1713</v>
      </c>
      <c r="H37" s="693" t="s">
        <v>1714</v>
      </c>
      <c r="I37" s="689" t="s">
        <v>1555</v>
      </c>
      <c r="J37" s="694" t="s">
        <v>1556</v>
      </c>
      <c r="K37" s="694" t="s">
        <v>996</v>
      </c>
      <c r="L37" s="698">
        <v>45078</v>
      </c>
      <c r="M37" s="694" t="s">
        <v>1708</v>
      </c>
      <c r="N37" s="689" t="s">
        <v>1689</v>
      </c>
      <c r="O37" s="689">
        <v>3520</v>
      </c>
      <c r="P37" s="689"/>
      <c r="Q37" s="689"/>
      <c r="R37" s="696"/>
      <c r="S37" s="697"/>
      <c r="T37" s="90"/>
      <c r="U37" s="90"/>
      <c r="V37" s="90"/>
      <c r="W37" s="90"/>
      <c r="X37" s="90"/>
      <c r="Y37" s="90"/>
      <c r="Z37" s="90"/>
      <c r="AA37" s="90"/>
      <c r="AB37" s="90"/>
      <c r="AC37" s="90"/>
      <c r="AD37" s="90"/>
      <c r="AE37" s="90"/>
      <c r="AF37" s="90"/>
      <c r="AG37" s="90"/>
      <c r="AH37" s="90"/>
      <c r="AI37" s="90"/>
      <c r="AJ37" s="90"/>
      <c r="AK37" s="90"/>
    </row>
    <row r="38" spans="1:37">
      <c r="A38" s="689">
        <v>38</v>
      </c>
      <c r="B38" s="690" t="s">
        <v>1393</v>
      </c>
      <c r="C38" s="691" t="s">
        <v>1715</v>
      </c>
      <c r="D38" s="692" t="s">
        <v>1716</v>
      </c>
      <c r="E38" s="692" t="s">
        <v>1717</v>
      </c>
      <c r="F38" s="692"/>
      <c r="G38" s="708" t="s">
        <v>1718</v>
      </c>
      <c r="H38" s="693" t="s">
        <v>1719</v>
      </c>
      <c r="I38" s="701" t="s">
        <v>1555</v>
      </c>
      <c r="J38" s="694" t="s">
        <v>1556</v>
      </c>
      <c r="K38" s="694" t="s">
        <v>996</v>
      </c>
      <c r="L38" s="698">
        <v>45083</v>
      </c>
      <c r="M38" s="694" t="s">
        <v>1708</v>
      </c>
      <c r="N38" s="694" t="s">
        <v>1674</v>
      </c>
      <c r="O38" s="689">
        <v>5430</v>
      </c>
      <c r="P38" s="689"/>
      <c r="Q38" s="689"/>
      <c r="R38" s="696"/>
      <c r="S38" s="697"/>
      <c r="T38" s="90"/>
      <c r="U38" s="90"/>
      <c r="V38" s="90"/>
      <c r="W38" s="90"/>
      <c r="X38" s="90"/>
      <c r="Y38" s="90"/>
      <c r="Z38" s="90"/>
      <c r="AA38" s="90"/>
      <c r="AB38" s="90"/>
      <c r="AC38" s="90"/>
      <c r="AD38" s="90"/>
      <c r="AE38" s="90"/>
      <c r="AF38" s="90"/>
      <c r="AG38" s="90"/>
      <c r="AH38" s="90"/>
      <c r="AI38" s="90"/>
      <c r="AJ38" s="90"/>
      <c r="AK38" s="90"/>
    </row>
    <row r="39" spans="1:37">
      <c r="A39" s="689">
        <v>39</v>
      </c>
      <c r="B39" s="690" t="s">
        <v>1343</v>
      </c>
      <c r="C39" s="691" t="s">
        <v>1720</v>
      </c>
      <c r="D39" s="692" t="s">
        <v>1721</v>
      </c>
      <c r="E39" s="692" t="s">
        <v>1722</v>
      </c>
      <c r="F39" s="692"/>
      <c r="G39" s="708" t="s">
        <v>1723</v>
      </c>
      <c r="H39" s="708" t="s">
        <v>1724</v>
      </c>
      <c r="I39" s="689" t="s">
        <v>1555</v>
      </c>
      <c r="J39" s="694" t="s">
        <v>1556</v>
      </c>
      <c r="K39" s="694" t="s">
        <v>996</v>
      </c>
      <c r="L39" s="698">
        <v>45110</v>
      </c>
      <c r="M39" s="694" t="s">
        <v>1708</v>
      </c>
      <c r="N39" s="694" t="s">
        <v>1708</v>
      </c>
      <c r="O39" s="689">
        <v>5430</v>
      </c>
      <c r="P39" s="689"/>
      <c r="Q39" s="689"/>
      <c r="R39" s="696"/>
      <c r="S39" s="697"/>
      <c r="T39" s="90"/>
      <c r="U39" s="90"/>
      <c r="V39" s="90"/>
      <c r="W39" s="90"/>
      <c r="X39" s="90"/>
      <c r="Y39" s="90"/>
      <c r="Z39" s="90"/>
      <c r="AA39" s="90"/>
      <c r="AB39" s="90"/>
      <c r="AC39" s="90"/>
      <c r="AD39" s="90"/>
      <c r="AE39" s="90"/>
      <c r="AF39" s="90"/>
      <c r="AG39" s="90"/>
      <c r="AH39" s="90"/>
      <c r="AI39" s="90"/>
      <c r="AJ39" s="90"/>
      <c r="AK39" s="90"/>
    </row>
    <row r="40" spans="1:37">
      <c r="A40" s="689">
        <v>40</v>
      </c>
      <c r="B40" s="690" t="s">
        <v>1100</v>
      </c>
      <c r="C40" s="691" t="s">
        <v>1725</v>
      </c>
      <c r="D40" s="692" t="s">
        <v>1726</v>
      </c>
      <c r="E40" s="692" t="s">
        <v>1727</v>
      </c>
      <c r="F40" s="692"/>
      <c r="G40" s="697" t="s">
        <v>1728</v>
      </c>
      <c r="H40" s="697" t="s">
        <v>1729</v>
      </c>
      <c r="I40" s="701" t="s">
        <v>1730</v>
      </c>
      <c r="J40" s="694" t="s">
        <v>1556</v>
      </c>
      <c r="K40" s="694" t="s">
        <v>996</v>
      </c>
      <c r="L40" s="710">
        <v>45139</v>
      </c>
      <c r="M40" s="694" t="s">
        <v>1689</v>
      </c>
      <c r="N40" s="694" t="s">
        <v>1708</v>
      </c>
      <c r="O40" s="689" t="s">
        <v>1731</v>
      </c>
      <c r="P40" s="689"/>
      <c r="Q40" s="689"/>
      <c r="R40" s="696"/>
      <c r="S40" s="697"/>
      <c r="T40" s="90"/>
      <c r="U40" s="90"/>
      <c r="V40" s="90"/>
      <c r="W40" s="90"/>
      <c r="X40" s="90"/>
      <c r="Y40" s="90"/>
      <c r="Z40" s="90"/>
      <c r="AA40" s="90"/>
      <c r="AB40" s="90"/>
      <c r="AC40" s="90"/>
      <c r="AD40" s="90"/>
      <c r="AE40" s="90"/>
      <c r="AF40" s="90"/>
      <c r="AG40" s="90"/>
      <c r="AH40" s="90"/>
      <c r="AI40" s="90"/>
      <c r="AJ40" s="90"/>
      <c r="AK40" s="90"/>
    </row>
    <row r="41" spans="1:37">
      <c r="A41" s="689">
        <v>41</v>
      </c>
      <c r="B41" s="690" t="s">
        <v>1379</v>
      </c>
      <c r="C41" s="691" t="s">
        <v>1732</v>
      </c>
      <c r="D41" s="692" t="s">
        <v>1733</v>
      </c>
      <c r="E41" s="692" t="s">
        <v>1734</v>
      </c>
      <c r="F41" s="692"/>
      <c r="G41" s="697" t="s">
        <v>1718</v>
      </c>
      <c r="H41" s="697" t="s">
        <v>1735</v>
      </c>
      <c r="I41" s="701" t="s">
        <v>1555</v>
      </c>
      <c r="J41" s="694" t="s">
        <v>1556</v>
      </c>
      <c r="K41" s="694" t="s">
        <v>996</v>
      </c>
      <c r="L41" s="710">
        <v>45146</v>
      </c>
      <c r="M41" s="694" t="s">
        <v>1708</v>
      </c>
      <c r="N41" s="689" t="s">
        <v>1689</v>
      </c>
      <c r="O41" s="689"/>
      <c r="P41" s="689"/>
      <c r="Q41" s="689"/>
      <c r="R41" s="709" t="s">
        <v>1736</v>
      </c>
      <c r="S41" s="697"/>
      <c r="T41" s="90"/>
      <c r="U41" s="90"/>
      <c r="V41" s="90"/>
      <c r="W41" s="90"/>
      <c r="X41" s="90"/>
      <c r="Y41" s="90"/>
      <c r="Z41" s="90"/>
      <c r="AA41" s="90"/>
      <c r="AB41" s="90"/>
      <c r="AC41" s="90"/>
      <c r="AD41" s="90"/>
      <c r="AE41" s="90"/>
      <c r="AF41" s="90"/>
      <c r="AG41" s="90"/>
      <c r="AH41" s="90"/>
      <c r="AI41" s="90"/>
      <c r="AJ41" s="90"/>
      <c r="AK41" s="90"/>
    </row>
    <row r="42" spans="1:37">
      <c r="A42" s="689">
        <v>42</v>
      </c>
      <c r="B42" s="690" t="s">
        <v>1508</v>
      </c>
      <c r="C42" s="691" t="s">
        <v>1737</v>
      </c>
      <c r="D42" s="692" t="s">
        <v>1738</v>
      </c>
      <c r="E42" s="692" t="s">
        <v>1739</v>
      </c>
      <c r="F42" s="692"/>
      <c r="G42" s="708" t="s">
        <v>1740</v>
      </c>
      <c r="H42" s="693" t="s">
        <v>1741</v>
      </c>
      <c r="I42" s="701" t="s">
        <v>1555</v>
      </c>
      <c r="J42" s="694" t="s">
        <v>1556</v>
      </c>
      <c r="K42" s="694" t="s">
        <v>996</v>
      </c>
      <c r="L42" s="698">
        <v>45174</v>
      </c>
      <c r="M42" s="694" t="s">
        <v>1708</v>
      </c>
      <c r="N42" s="689" t="s">
        <v>1689</v>
      </c>
      <c r="O42" s="689">
        <v>5430</v>
      </c>
      <c r="P42" s="689" t="s">
        <v>1674</v>
      </c>
      <c r="Q42" s="689" t="s">
        <v>1674</v>
      </c>
      <c r="R42" s="696" t="s">
        <v>1742</v>
      </c>
      <c r="S42" s="697" t="s">
        <v>1741</v>
      </c>
      <c r="T42" s="90"/>
      <c r="U42" s="90"/>
      <c r="V42" s="90"/>
      <c r="W42" s="90"/>
      <c r="X42" s="90"/>
      <c r="Y42" s="90"/>
      <c r="Z42" s="90"/>
      <c r="AA42" s="90"/>
      <c r="AB42" s="90"/>
      <c r="AC42" s="90"/>
      <c r="AD42" s="90"/>
      <c r="AE42" s="90"/>
      <c r="AF42" s="90"/>
      <c r="AG42" s="90"/>
      <c r="AH42" s="90"/>
      <c r="AI42" s="90"/>
      <c r="AJ42" s="90"/>
      <c r="AK42" s="90"/>
    </row>
    <row r="43" spans="1:37" ht="15.75" customHeight="1">
      <c r="A43" s="689">
        <v>43</v>
      </c>
      <c r="B43" s="690" t="s">
        <v>1127</v>
      </c>
      <c r="C43" s="691" t="s">
        <v>1743</v>
      </c>
      <c r="D43" s="697" t="s">
        <v>1744</v>
      </c>
      <c r="E43" s="692" t="s">
        <v>1745</v>
      </c>
      <c r="F43" s="697"/>
      <c r="G43" s="692" t="s">
        <v>1746</v>
      </c>
      <c r="H43" s="693" t="s">
        <v>1584</v>
      </c>
      <c r="I43" s="702" t="s">
        <v>1555</v>
      </c>
      <c r="J43" s="694" t="s">
        <v>1556</v>
      </c>
      <c r="K43" s="694" t="s">
        <v>996</v>
      </c>
      <c r="L43" s="710">
        <v>45214</v>
      </c>
      <c r="M43" s="702"/>
      <c r="N43" s="694"/>
      <c r="O43" s="689"/>
      <c r="P43" s="689"/>
      <c r="Q43" s="689"/>
      <c r="R43" s="696"/>
      <c r="S43" s="697"/>
      <c r="T43" s="90"/>
      <c r="U43" s="90"/>
      <c r="V43" s="90"/>
      <c r="W43" s="90"/>
      <c r="X43" s="90"/>
      <c r="Y43" s="90"/>
      <c r="Z43" s="90"/>
      <c r="AA43" s="90"/>
      <c r="AB43" s="90"/>
      <c r="AC43" s="90"/>
      <c r="AD43" s="90"/>
      <c r="AE43" s="90"/>
      <c r="AF43" s="90"/>
      <c r="AG43" s="90"/>
      <c r="AH43" s="90"/>
      <c r="AI43" s="90"/>
      <c r="AJ43" s="90"/>
      <c r="AK43" s="90"/>
    </row>
    <row r="44" spans="1:37">
      <c r="A44" s="689">
        <v>44</v>
      </c>
      <c r="B44" s="690" t="s">
        <v>1256</v>
      </c>
      <c r="C44" s="691" t="s">
        <v>1747</v>
      </c>
      <c r="D44" s="711" t="s">
        <v>1748</v>
      </c>
      <c r="E44" s="692" t="s">
        <v>1749</v>
      </c>
      <c r="F44" s="697"/>
      <c r="G44" s="711" t="s">
        <v>270</v>
      </c>
      <c r="H44" s="711" t="s">
        <v>1750</v>
      </c>
      <c r="I44" s="712" t="s">
        <v>1555</v>
      </c>
      <c r="J44" s="694" t="s">
        <v>1556</v>
      </c>
      <c r="K44" s="694" t="s">
        <v>996</v>
      </c>
      <c r="L44" s="713">
        <v>45218</v>
      </c>
      <c r="M44" s="694" t="s">
        <v>1730</v>
      </c>
      <c r="N44" s="689" t="s">
        <v>1689</v>
      </c>
      <c r="O44" s="689">
        <v>7490</v>
      </c>
      <c r="P44" s="689"/>
      <c r="Q44" s="689"/>
      <c r="R44" s="696" t="s">
        <v>1751</v>
      </c>
      <c r="S44" s="697"/>
      <c r="T44" s="90"/>
      <c r="U44" s="90"/>
      <c r="V44" s="90"/>
      <c r="W44" s="90"/>
      <c r="X44" s="90"/>
      <c r="Y44" s="90"/>
      <c r="Z44" s="90"/>
      <c r="AA44" s="90"/>
      <c r="AB44" s="90"/>
      <c r="AC44" s="90"/>
      <c r="AD44" s="90"/>
      <c r="AE44" s="90"/>
      <c r="AF44" s="90"/>
      <c r="AG44" s="90"/>
      <c r="AH44" s="90"/>
      <c r="AI44" s="90"/>
      <c r="AJ44" s="90"/>
      <c r="AK44" s="90"/>
    </row>
    <row r="45" spans="1:37">
      <c r="A45" s="689">
        <v>45</v>
      </c>
      <c r="B45" s="690" t="s">
        <v>1188</v>
      </c>
      <c r="C45" s="691" t="s">
        <v>1752</v>
      </c>
      <c r="D45" s="711" t="s">
        <v>1753</v>
      </c>
      <c r="E45" s="692" t="s">
        <v>1754</v>
      </c>
      <c r="F45" s="697"/>
      <c r="G45" s="714" t="s">
        <v>1755</v>
      </c>
      <c r="H45" s="711" t="s">
        <v>1756</v>
      </c>
      <c r="I45" s="712" t="s">
        <v>1555</v>
      </c>
      <c r="J45" s="694" t="s">
        <v>1556</v>
      </c>
      <c r="K45" s="694" t="s">
        <v>996</v>
      </c>
      <c r="L45" s="713">
        <v>45219</v>
      </c>
      <c r="M45" s="694" t="s">
        <v>1674</v>
      </c>
      <c r="N45" s="689" t="s">
        <v>1689</v>
      </c>
      <c r="O45" s="689" t="s">
        <v>1757</v>
      </c>
      <c r="P45" s="689"/>
      <c r="Q45" s="689" t="s">
        <v>1674</v>
      </c>
      <c r="R45" s="696" t="s">
        <v>1758</v>
      </c>
      <c r="S45" s="697"/>
      <c r="T45" s="90"/>
      <c r="U45" s="90"/>
      <c r="V45" s="90"/>
      <c r="W45" s="90"/>
      <c r="X45" s="90"/>
      <c r="Y45" s="90"/>
      <c r="Z45" s="90"/>
      <c r="AA45" s="90"/>
      <c r="AB45" s="90"/>
      <c r="AC45" s="90"/>
      <c r="AD45" s="90"/>
      <c r="AE45" s="90"/>
      <c r="AF45" s="90"/>
      <c r="AG45" s="90"/>
      <c r="AH45" s="90"/>
      <c r="AI45" s="90"/>
      <c r="AJ45" s="90"/>
      <c r="AK45" s="90"/>
    </row>
    <row r="46" spans="1:37" ht="15.75" customHeight="1">
      <c r="A46" s="689">
        <v>46</v>
      </c>
      <c r="B46" s="690" t="s">
        <v>1250</v>
      </c>
      <c r="C46" s="691" t="s">
        <v>1759</v>
      </c>
      <c r="D46" s="697" t="s">
        <v>1760</v>
      </c>
      <c r="E46" s="692" t="s">
        <v>1761</v>
      </c>
      <c r="F46" s="692" t="s">
        <v>1762</v>
      </c>
      <c r="G46" s="692"/>
      <c r="H46" s="693" t="s">
        <v>1763</v>
      </c>
      <c r="I46" s="689" t="s">
        <v>1555</v>
      </c>
      <c r="J46" s="694" t="s">
        <v>1556</v>
      </c>
      <c r="K46" s="694" t="s">
        <v>996</v>
      </c>
      <c r="L46" s="710"/>
      <c r="M46" s="694"/>
      <c r="N46" s="694"/>
      <c r="O46" s="689"/>
      <c r="P46" s="689"/>
      <c r="Q46" s="689" t="s">
        <v>1674</v>
      </c>
      <c r="R46" s="696" t="s">
        <v>1764</v>
      </c>
      <c r="S46" s="697"/>
      <c r="T46" s="90"/>
      <c r="U46" s="90"/>
      <c r="V46" s="90"/>
      <c r="W46" s="90"/>
      <c r="X46" s="90"/>
      <c r="Y46" s="90"/>
      <c r="Z46" s="90"/>
      <c r="AA46" s="90"/>
      <c r="AB46" s="90"/>
      <c r="AC46" s="90"/>
      <c r="AD46" s="90"/>
      <c r="AE46" s="90"/>
      <c r="AF46" s="90"/>
      <c r="AG46" s="90"/>
      <c r="AH46" s="90"/>
      <c r="AI46" s="90"/>
      <c r="AJ46" s="90"/>
      <c r="AK46" s="90"/>
    </row>
    <row r="47" spans="1:37" ht="15.75" customHeight="1">
      <c r="A47" s="689">
        <v>47</v>
      </c>
      <c r="B47" s="690" t="s">
        <v>1244</v>
      </c>
      <c r="C47" s="715" t="s">
        <v>1765</v>
      </c>
      <c r="D47" s="716" t="s">
        <v>1766</v>
      </c>
      <c r="E47" s="697" t="s">
        <v>1767</v>
      </c>
      <c r="F47" s="697"/>
      <c r="G47" s="717" t="s">
        <v>1768</v>
      </c>
      <c r="H47" s="717" t="s">
        <v>1724</v>
      </c>
      <c r="I47" s="689" t="s">
        <v>1555</v>
      </c>
      <c r="J47" s="694" t="s">
        <v>1556</v>
      </c>
      <c r="K47" s="694" t="s">
        <v>996</v>
      </c>
      <c r="L47" s="710">
        <v>45229</v>
      </c>
      <c r="M47" s="694"/>
      <c r="N47" s="689" t="s">
        <v>1689</v>
      </c>
      <c r="O47" s="689"/>
      <c r="P47" s="689"/>
      <c r="Q47" s="689"/>
      <c r="R47" s="696"/>
      <c r="S47" s="697"/>
      <c r="T47" s="90"/>
      <c r="U47" s="90"/>
      <c r="V47" s="90"/>
      <c r="W47" s="90"/>
      <c r="X47" s="90"/>
      <c r="Y47" s="90"/>
      <c r="Z47" s="90"/>
      <c r="AA47" s="90"/>
      <c r="AB47" s="90"/>
      <c r="AC47" s="90"/>
      <c r="AD47" s="90"/>
      <c r="AE47" s="90"/>
      <c r="AF47" s="90"/>
      <c r="AG47" s="90"/>
      <c r="AH47" s="90"/>
      <c r="AI47" s="90"/>
      <c r="AJ47" s="90"/>
      <c r="AK47" s="90"/>
    </row>
    <row r="48" spans="1:37" ht="15.75" customHeight="1">
      <c r="A48" s="689">
        <v>48</v>
      </c>
      <c r="B48" s="718" t="s">
        <v>1262</v>
      </c>
      <c r="C48" s="715" t="s">
        <v>1769</v>
      </c>
      <c r="D48" s="697" t="s">
        <v>1770</v>
      </c>
      <c r="E48" s="697" t="s">
        <v>1771</v>
      </c>
      <c r="F48" s="697"/>
      <c r="G48" s="697" t="s">
        <v>1772</v>
      </c>
      <c r="H48" s="693" t="s">
        <v>1773</v>
      </c>
      <c r="I48" s="689" t="s">
        <v>1555</v>
      </c>
      <c r="J48" s="694" t="s">
        <v>1556</v>
      </c>
      <c r="K48" s="694" t="s">
        <v>996</v>
      </c>
      <c r="L48" s="710">
        <v>45243</v>
      </c>
      <c r="M48" s="694" t="s">
        <v>1774</v>
      </c>
      <c r="N48" s="694" t="s">
        <v>1775</v>
      </c>
      <c r="O48" s="689">
        <v>5420</v>
      </c>
      <c r="P48" s="689"/>
      <c r="Q48" s="689"/>
      <c r="R48" s="696" t="s">
        <v>1776</v>
      </c>
      <c r="S48" s="697"/>
      <c r="T48" s="90"/>
      <c r="U48" s="90"/>
      <c r="V48" s="90"/>
      <c r="W48" s="90"/>
      <c r="X48" s="90"/>
      <c r="Y48" s="90"/>
      <c r="Z48" s="90"/>
      <c r="AA48" s="90"/>
      <c r="AB48" s="90"/>
      <c r="AC48" s="90"/>
      <c r="AD48" s="90"/>
      <c r="AE48" s="90"/>
      <c r="AF48" s="90"/>
      <c r="AG48" s="90"/>
      <c r="AH48" s="90"/>
      <c r="AI48" s="90"/>
      <c r="AJ48" s="90"/>
      <c r="AK48" s="90"/>
    </row>
    <row r="49" spans="1:37" ht="15.75" customHeight="1">
      <c r="A49" s="689">
        <v>49</v>
      </c>
      <c r="B49" s="690" t="s">
        <v>1325</v>
      </c>
      <c r="C49" s="715" t="s">
        <v>1777</v>
      </c>
      <c r="D49" s="697" t="s">
        <v>1778</v>
      </c>
      <c r="E49" s="697" t="s">
        <v>1779</v>
      </c>
      <c r="F49" s="697"/>
      <c r="G49" s="697" t="s">
        <v>1780</v>
      </c>
      <c r="H49" s="693" t="s">
        <v>1781</v>
      </c>
      <c r="I49" s="689" t="s">
        <v>1555</v>
      </c>
      <c r="J49" s="694" t="s">
        <v>1556</v>
      </c>
      <c r="K49" s="694" t="s">
        <v>996</v>
      </c>
      <c r="L49" s="710">
        <v>45245</v>
      </c>
      <c r="M49" s="694" t="s">
        <v>1774</v>
      </c>
      <c r="N49" s="694" t="s">
        <v>1775</v>
      </c>
      <c r="O49" s="689">
        <v>5430</v>
      </c>
      <c r="P49" s="689"/>
      <c r="Q49" s="689"/>
      <c r="R49" s="696"/>
      <c r="S49" s="697"/>
      <c r="T49" s="90"/>
      <c r="U49" s="90"/>
      <c r="V49" s="90"/>
      <c r="W49" s="90"/>
      <c r="X49" s="90"/>
      <c r="Y49" s="90"/>
      <c r="Z49" s="90"/>
      <c r="AA49" s="90"/>
      <c r="AB49" s="90"/>
      <c r="AC49" s="90"/>
      <c r="AD49" s="90"/>
      <c r="AE49" s="90"/>
      <c r="AF49" s="90"/>
      <c r="AG49" s="90"/>
      <c r="AH49" s="90"/>
      <c r="AI49" s="90"/>
      <c r="AJ49" s="90"/>
      <c r="AK49" s="90"/>
    </row>
    <row r="50" spans="1:37" ht="15.75" customHeight="1">
      <c r="A50" s="689">
        <v>50</v>
      </c>
      <c r="B50" s="690" t="s">
        <v>1292</v>
      </c>
      <c r="C50" s="715" t="s">
        <v>1782</v>
      </c>
      <c r="D50" s="697" t="s">
        <v>1783</v>
      </c>
      <c r="E50" s="697" t="s">
        <v>1784</v>
      </c>
      <c r="F50" s="697"/>
      <c r="G50" s="697" t="s">
        <v>1785</v>
      </c>
      <c r="H50" s="693" t="s">
        <v>1786</v>
      </c>
      <c r="I50" s="689" t="s">
        <v>1555</v>
      </c>
      <c r="J50" s="694" t="s">
        <v>1556</v>
      </c>
      <c r="K50" s="694" t="s">
        <v>996</v>
      </c>
      <c r="L50" s="710">
        <v>45273</v>
      </c>
      <c r="M50" s="694" t="s">
        <v>1774</v>
      </c>
      <c r="N50" s="694" t="s">
        <v>1775</v>
      </c>
      <c r="O50" s="689">
        <v>5430</v>
      </c>
      <c r="P50" s="689"/>
      <c r="Q50" s="689"/>
      <c r="R50" s="696" t="s">
        <v>1787</v>
      </c>
      <c r="S50" s="697"/>
      <c r="T50" s="90"/>
      <c r="U50" s="90"/>
      <c r="V50" s="90"/>
      <c r="W50" s="90"/>
      <c r="X50" s="90"/>
      <c r="Y50" s="90"/>
      <c r="Z50" s="90"/>
      <c r="AA50" s="90"/>
      <c r="AB50" s="90"/>
      <c r="AC50" s="90"/>
      <c r="AD50" s="90"/>
      <c r="AE50" s="90"/>
      <c r="AF50" s="90"/>
      <c r="AG50" s="90"/>
      <c r="AH50" s="90"/>
      <c r="AI50" s="90"/>
      <c r="AJ50" s="90"/>
      <c r="AK50" s="90"/>
    </row>
    <row r="51" spans="1:37" ht="15.75" customHeight="1">
      <c r="A51" s="689">
        <v>51</v>
      </c>
      <c r="B51" s="690" t="s">
        <v>1373</v>
      </c>
      <c r="C51" s="715" t="s">
        <v>1788</v>
      </c>
      <c r="D51" s="697" t="s">
        <v>1789</v>
      </c>
      <c r="E51" s="697" t="s">
        <v>1374</v>
      </c>
      <c r="F51" s="697" t="s">
        <v>1790</v>
      </c>
      <c r="G51" s="697" t="s">
        <v>34</v>
      </c>
      <c r="H51" s="697" t="s">
        <v>1791</v>
      </c>
      <c r="I51" s="689" t="s">
        <v>1555</v>
      </c>
      <c r="J51" s="694" t="s">
        <v>1556</v>
      </c>
      <c r="K51" s="694" t="s">
        <v>996</v>
      </c>
      <c r="L51" s="710">
        <v>45293</v>
      </c>
      <c r="M51" s="694" t="s">
        <v>1674</v>
      </c>
      <c r="N51" s="694"/>
      <c r="O51" s="689">
        <v>5430</v>
      </c>
      <c r="P51" s="689"/>
      <c r="Q51" s="689"/>
      <c r="R51" s="696" t="s">
        <v>1792</v>
      </c>
      <c r="S51" s="697"/>
      <c r="T51" s="90"/>
      <c r="U51" s="90"/>
      <c r="V51" s="90"/>
      <c r="W51" s="90"/>
      <c r="X51" s="90"/>
      <c r="Y51" s="90"/>
      <c r="Z51" s="90"/>
      <c r="AA51" s="90"/>
      <c r="AB51" s="90"/>
      <c r="AC51" s="90"/>
      <c r="AD51" s="90"/>
      <c r="AE51" s="90"/>
      <c r="AF51" s="90"/>
      <c r="AG51" s="90"/>
      <c r="AH51" s="90"/>
      <c r="AI51" s="90"/>
      <c r="AJ51" s="90"/>
      <c r="AK51" s="90"/>
    </row>
    <row r="52" spans="1:37" ht="15.75" customHeight="1">
      <c r="A52" s="689">
        <v>52</v>
      </c>
      <c r="B52" s="690" t="s">
        <v>1307</v>
      </c>
      <c r="C52" s="715" t="s">
        <v>1793</v>
      </c>
      <c r="D52" s="697" t="s">
        <v>1794</v>
      </c>
      <c r="E52" s="697" t="s">
        <v>1795</v>
      </c>
      <c r="F52" s="697"/>
      <c r="G52" s="697" t="s">
        <v>1713</v>
      </c>
      <c r="H52" s="697" t="s">
        <v>1629</v>
      </c>
      <c r="I52" s="689" t="s">
        <v>1555</v>
      </c>
      <c r="J52" s="694" t="s">
        <v>1556</v>
      </c>
      <c r="K52" s="694" t="s">
        <v>996</v>
      </c>
      <c r="L52" s="710">
        <v>45376</v>
      </c>
      <c r="M52" s="694" t="s">
        <v>1708</v>
      </c>
      <c r="N52" s="694"/>
      <c r="O52" s="689"/>
      <c r="P52" s="689"/>
      <c r="Q52" s="689"/>
      <c r="R52" s="696" t="s">
        <v>1796</v>
      </c>
      <c r="S52" s="697"/>
      <c r="T52" s="90"/>
      <c r="U52" s="90"/>
      <c r="V52" s="90"/>
      <c r="W52" s="90"/>
      <c r="X52" s="90"/>
      <c r="Y52" s="90"/>
      <c r="Z52" s="90"/>
      <c r="AA52" s="90"/>
      <c r="AB52" s="90"/>
      <c r="AC52" s="90"/>
      <c r="AD52" s="90"/>
      <c r="AE52" s="90"/>
      <c r="AF52" s="90"/>
      <c r="AG52" s="90"/>
      <c r="AH52" s="90"/>
      <c r="AI52" s="90"/>
      <c r="AJ52" s="90"/>
      <c r="AK52" s="90"/>
    </row>
    <row r="53" spans="1:37" ht="15.75" customHeight="1">
      <c r="A53" s="689">
        <v>53</v>
      </c>
      <c r="B53" s="719" t="s">
        <v>1151</v>
      </c>
      <c r="C53" s="715" t="s">
        <v>1797</v>
      </c>
      <c r="D53" s="697" t="s">
        <v>1798</v>
      </c>
      <c r="E53" s="697" t="s">
        <v>1799</v>
      </c>
      <c r="F53" s="697"/>
      <c r="G53" s="697" t="s">
        <v>1800</v>
      </c>
      <c r="H53" s="693" t="s">
        <v>1801</v>
      </c>
      <c r="I53" s="689" t="s">
        <v>1802</v>
      </c>
      <c r="J53" s="694" t="s">
        <v>1556</v>
      </c>
      <c r="K53" s="694" t="s">
        <v>996</v>
      </c>
      <c r="L53" s="710">
        <v>45384</v>
      </c>
      <c r="M53" s="694" t="s">
        <v>1708</v>
      </c>
      <c r="N53" s="694"/>
      <c r="O53" s="689"/>
      <c r="P53" s="689"/>
      <c r="Q53" s="689"/>
      <c r="R53" s="696"/>
      <c r="S53" s="697"/>
      <c r="T53" s="90"/>
      <c r="U53" s="90"/>
      <c r="V53" s="90"/>
      <c r="W53" s="90"/>
      <c r="X53" s="90"/>
      <c r="Y53" s="90"/>
      <c r="Z53" s="90"/>
      <c r="AA53" s="90"/>
      <c r="AB53" s="90"/>
      <c r="AC53" s="90"/>
      <c r="AD53" s="90"/>
      <c r="AE53" s="90"/>
      <c r="AF53" s="90"/>
      <c r="AG53" s="90"/>
      <c r="AH53" s="90"/>
      <c r="AI53" s="90"/>
      <c r="AJ53" s="90"/>
      <c r="AK53" s="90"/>
    </row>
    <row r="54" spans="1:37" ht="15.75" customHeight="1">
      <c r="A54" s="689">
        <v>54</v>
      </c>
      <c r="B54" s="86"/>
      <c r="C54" s="715" t="s">
        <v>1803</v>
      </c>
      <c r="D54" s="697" t="s">
        <v>1804</v>
      </c>
      <c r="E54" s="697" t="s">
        <v>1805</v>
      </c>
      <c r="F54" s="697" t="s">
        <v>1806</v>
      </c>
      <c r="G54" s="697" t="s">
        <v>157</v>
      </c>
      <c r="H54" s="693" t="s">
        <v>157</v>
      </c>
      <c r="I54" s="689" t="s">
        <v>1802</v>
      </c>
      <c r="J54" s="694" t="s">
        <v>1556</v>
      </c>
      <c r="K54" s="694" t="s">
        <v>996</v>
      </c>
      <c r="L54" s="710">
        <v>45448</v>
      </c>
      <c r="M54" s="694" t="s">
        <v>1674</v>
      </c>
      <c r="N54" s="694"/>
      <c r="O54" s="689"/>
      <c r="P54" s="689"/>
      <c r="Q54" s="689"/>
      <c r="R54" s="696"/>
      <c r="S54" s="697"/>
      <c r="T54" s="90"/>
      <c r="U54" s="90"/>
      <c r="V54" s="90"/>
      <c r="W54" s="90"/>
      <c r="X54" s="90"/>
      <c r="Y54" s="90"/>
      <c r="Z54" s="90"/>
      <c r="AA54" s="90"/>
      <c r="AB54" s="90"/>
      <c r="AC54" s="90"/>
      <c r="AD54" s="90"/>
      <c r="AE54" s="90"/>
      <c r="AF54" s="90"/>
      <c r="AG54" s="90"/>
      <c r="AH54" s="90"/>
      <c r="AI54" s="90"/>
      <c r="AJ54" s="90"/>
      <c r="AK54" s="90"/>
    </row>
    <row r="55" spans="1:37" ht="15.75" customHeight="1">
      <c r="A55" s="689">
        <v>55</v>
      </c>
      <c r="B55" s="720" t="s">
        <v>1256</v>
      </c>
      <c r="C55" s="715" t="s">
        <v>1807</v>
      </c>
      <c r="D55" s="697" t="s">
        <v>1808</v>
      </c>
      <c r="E55" s="697" t="s">
        <v>1809</v>
      </c>
      <c r="F55" s="697"/>
      <c r="G55" s="721" t="s">
        <v>1785</v>
      </c>
      <c r="H55" s="721" t="s">
        <v>1810</v>
      </c>
      <c r="I55" s="689" t="s">
        <v>1555</v>
      </c>
      <c r="J55" s="694" t="s">
        <v>1556</v>
      </c>
      <c r="K55" s="694" t="s">
        <v>996</v>
      </c>
      <c r="L55" s="710">
        <v>45467</v>
      </c>
      <c r="M55" s="694" t="s">
        <v>1708</v>
      </c>
      <c r="N55" s="694"/>
      <c r="O55" s="689"/>
      <c r="P55" s="689"/>
      <c r="Q55" s="689"/>
      <c r="R55" s="696"/>
      <c r="S55" s="697"/>
      <c r="T55" s="90"/>
      <c r="U55" s="90"/>
      <c r="V55" s="90"/>
      <c r="W55" s="90"/>
      <c r="X55" s="90"/>
      <c r="Y55" s="90"/>
      <c r="Z55" s="90"/>
      <c r="AA55" s="90"/>
      <c r="AB55" s="90"/>
      <c r="AC55" s="90"/>
      <c r="AD55" s="90"/>
      <c r="AE55" s="90"/>
      <c r="AF55" s="90"/>
      <c r="AG55" s="90"/>
      <c r="AH55" s="90"/>
      <c r="AI55" s="90"/>
      <c r="AJ55" s="90"/>
      <c r="AK55" s="90"/>
    </row>
    <row r="56" spans="1:37" ht="15.75" customHeight="1">
      <c r="A56" s="689">
        <v>56</v>
      </c>
      <c r="B56" s="720" t="s">
        <v>1022</v>
      </c>
      <c r="C56" s="715" t="s">
        <v>1811</v>
      </c>
      <c r="D56" s="697" t="s">
        <v>1812</v>
      </c>
      <c r="E56" s="697" t="s">
        <v>1813</v>
      </c>
      <c r="F56" s="697"/>
      <c r="G56" s="697" t="s">
        <v>1814</v>
      </c>
      <c r="H56" s="697" t="s">
        <v>1815</v>
      </c>
      <c r="I56" s="689" t="s">
        <v>1555</v>
      </c>
      <c r="J56" s="694" t="s">
        <v>1556</v>
      </c>
      <c r="K56" s="694" t="s">
        <v>996</v>
      </c>
      <c r="L56" s="710">
        <v>45482</v>
      </c>
      <c r="M56" s="694" t="s">
        <v>1708</v>
      </c>
      <c r="N56" s="697"/>
      <c r="O56" s="697"/>
      <c r="P56" s="697"/>
      <c r="Q56" s="697"/>
      <c r="R56" s="697"/>
      <c r="S56" s="697"/>
      <c r="T56" s="90"/>
      <c r="U56" s="90"/>
      <c r="V56" s="90"/>
      <c r="W56" s="90"/>
      <c r="X56" s="90"/>
      <c r="Y56" s="90"/>
      <c r="Z56" s="90"/>
      <c r="AA56" s="90"/>
      <c r="AB56" s="90"/>
      <c r="AC56" s="90"/>
      <c r="AD56" s="90"/>
      <c r="AE56" s="90"/>
      <c r="AF56" s="90"/>
      <c r="AG56" s="90"/>
      <c r="AH56" s="90"/>
      <c r="AI56" s="90"/>
      <c r="AJ56" s="90"/>
      <c r="AK56" s="90"/>
    </row>
    <row r="57" spans="1:37" ht="15.75" customHeight="1">
      <c r="A57" s="689">
        <v>59</v>
      </c>
      <c r="B57" s="689" t="s">
        <v>1286</v>
      </c>
      <c r="C57" s="715" t="s">
        <v>1816</v>
      </c>
      <c r="D57" s="697" t="s">
        <v>1817</v>
      </c>
      <c r="E57" s="697" t="s">
        <v>1818</v>
      </c>
      <c r="F57" s="697"/>
      <c r="G57" s="697" t="s">
        <v>1819</v>
      </c>
      <c r="H57" s="697" t="s">
        <v>1287</v>
      </c>
      <c r="I57" s="689" t="s">
        <v>1555</v>
      </c>
      <c r="J57" s="694" t="s">
        <v>1556</v>
      </c>
      <c r="K57" s="694" t="s">
        <v>996</v>
      </c>
      <c r="L57" s="710">
        <v>45796</v>
      </c>
      <c r="M57" s="694" t="s">
        <v>1708</v>
      </c>
      <c r="N57" s="697"/>
      <c r="O57" s="697"/>
      <c r="P57" s="697"/>
      <c r="Q57" s="697"/>
      <c r="R57" s="697" t="s">
        <v>1820</v>
      </c>
      <c r="S57" s="697"/>
      <c r="T57" s="90"/>
      <c r="U57" s="90"/>
      <c r="V57" s="90"/>
      <c r="W57" s="90"/>
      <c r="X57" s="90"/>
      <c r="Y57" s="90"/>
      <c r="Z57" s="90"/>
      <c r="AA57" s="90"/>
      <c r="AB57" s="90"/>
      <c r="AC57" s="90"/>
      <c r="AD57" s="90"/>
      <c r="AE57" s="90"/>
      <c r="AF57" s="90"/>
      <c r="AG57" s="90"/>
      <c r="AH57" s="90"/>
      <c r="AI57" s="90"/>
      <c r="AJ57" s="90"/>
      <c r="AK57" s="90"/>
    </row>
    <row r="58" spans="1:37" ht="15.75" customHeight="1">
      <c r="A58" s="689">
        <v>61</v>
      </c>
      <c r="B58" s="689" t="s">
        <v>1311</v>
      </c>
      <c r="C58" s="715" t="s">
        <v>1821</v>
      </c>
      <c r="D58" s="697" t="s">
        <v>1822</v>
      </c>
      <c r="E58" s="697" t="s">
        <v>1822</v>
      </c>
      <c r="F58" s="697"/>
      <c r="G58" s="697" t="s">
        <v>34</v>
      </c>
      <c r="H58" s="693" t="s">
        <v>1823</v>
      </c>
      <c r="I58" s="689" t="s">
        <v>1555</v>
      </c>
      <c r="J58" s="694" t="s">
        <v>1556</v>
      </c>
      <c r="K58" s="694" t="s">
        <v>996</v>
      </c>
      <c r="L58" s="710">
        <v>45796</v>
      </c>
      <c r="M58" s="694" t="s">
        <v>1708</v>
      </c>
      <c r="N58" s="694"/>
      <c r="O58" s="689"/>
      <c r="P58" s="689"/>
      <c r="Q58" s="689"/>
      <c r="R58" s="696"/>
      <c r="S58" s="697"/>
      <c r="T58" s="90"/>
      <c r="U58" s="90"/>
      <c r="V58" s="90"/>
      <c r="W58" s="90"/>
      <c r="X58" s="90"/>
      <c r="Y58" s="90"/>
      <c r="Z58" s="90"/>
      <c r="AA58" s="90"/>
      <c r="AB58" s="90"/>
      <c r="AC58" s="90"/>
      <c r="AD58" s="90"/>
      <c r="AE58" s="90"/>
      <c r="AF58" s="90"/>
      <c r="AG58" s="90"/>
      <c r="AH58" s="90"/>
      <c r="AI58" s="90"/>
      <c r="AJ58" s="90"/>
      <c r="AK58" s="90"/>
    </row>
    <row r="59" spans="1:37" ht="15.75" customHeight="1">
      <c r="A59" s="689">
        <v>63</v>
      </c>
      <c r="B59" s="690" t="s">
        <v>1513</v>
      </c>
      <c r="C59" s="691" t="s">
        <v>1550</v>
      </c>
      <c r="D59" s="692" t="s">
        <v>1551</v>
      </c>
      <c r="E59" s="692" t="s">
        <v>1419</v>
      </c>
      <c r="F59" s="692" t="s">
        <v>1552</v>
      </c>
      <c r="G59" s="692" t="s">
        <v>1553</v>
      </c>
      <c r="H59" s="693" t="s">
        <v>1554</v>
      </c>
      <c r="I59" s="689" t="s">
        <v>1555</v>
      </c>
      <c r="J59" s="694" t="s">
        <v>1556</v>
      </c>
      <c r="K59" s="694" t="s">
        <v>996</v>
      </c>
      <c r="L59" s="695"/>
      <c r="M59" s="694"/>
      <c r="N59" s="694"/>
      <c r="O59" s="689"/>
      <c r="P59" s="689"/>
      <c r="Q59" s="689"/>
      <c r="R59" s="696"/>
      <c r="S59" s="693" t="s">
        <v>1557</v>
      </c>
      <c r="T59" s="90"/>
      <c r="U59" s="90"/>
      <c r="V59" s="90"/>
      <c r="W59" s="90"/>
      <c r="X59" s="90"/>
      <c r="Y59" s="90"/>
      <c r="Z59" s="90"/>
      <c r="AA59" s="90"/>
      <c r="AB59" s="90"/>
      <c r="AC59" s="90"/>
      <c r="AD59" s="90"/>
      <c r="AE59" s="90"/>
      <c r="AF59" s="90"/>
      <c r="AG59" s="90"/>
      <c r="AH59" s="90"/>
      <c r="AI59" s="90"/>
      <c r="AJ59" s="90"/>
      <c r="AK59" s="90"/>
    </row>
    <row r="60" spans="1:37" ht="15.75" customHeight="1">
      <c r="A60" s="689">
        <v>64</v>
      </c>
      <c r="B60" s="690" t="s">
        <v>1194</v>
      </c>
      <c r="C60" s="715" t="s">
        <v>1824</v>
      </c>
      <c r="D60" s="697" t="s">
        <v>1825</v>
      </c>
      <c r="E60" s="697" t="s">
        <v>1826</v>
      </c>
      <c r="F60" s="697"/>
      <c r="G60" s="697" t="s">
        <v>34</v>
      </c>
      <c r="H60" s="693" t="s">
        <v>1584</v>
      </c>
      <c r="I60" s="689" t="s">
        <v>1555</v>
      </c>
      <c r="J60" s="694" t="s">
        <v>1556</v>
      </c>
      <c r="K60" s="694" t="s">
        <v>996</v>
      </c>
      <c r="L60" s="723">
        <v>45880</v>
      </c>
      <c r="M60" s="694" t="s">
        <v>1708</v>
      </c>
      <c r="N60" s="697"/>
      <c r="O60" s="697"/>
      <c r="P60" s="697"/>
      <c r="Q60" s="697"/>
      <c r="R60" s="697"/>
      <c r="S60" s="697"/>
      <c r="T60" s="90"/>
      <c r="U60" s="90"/>
      <c r="V60" s="90"/>
      <c r="W60" s="90"/>
      <c r="X60" s="90"/>
      <c r="Y60" s="90"/>
      <c r="Z60" s="90"/>
      <c r="AA60" s="90"/>
      <c r="AB60" s="90"/>
      <c r="AC60" s="90"/>
      <c r="AD60" s="90"/>
      <c r="AE60" s="90"/>
      <c r="AF60" s="90"/>
      <c r="AG60" s="90"/>
      <c r="AH60" s="90"/>
      <c r="AI60" s="90"/>
      <c r="AJ60" s="90"/>
      <c r="AK60" s="90"/>
    </row>
    <row r="61" spans="1:37" ht="15.75" customHeight="1">
      <c r="A61" s="689">
        <v>65</v>
      </c>
      <c r="B61" s="71" t="s">
        <v>1161</v>
      </c>
      <c r="C61" s="164" t="s">
        <v>1827</v>
      </c>
      <c r="D61" s="90" t="s">
        <v>1828</v>
      </c>
      <c r="E61" s="90" t="s">
        <v>1829</v>
      </c>
      <c r="F61" s="90"/>
      <c r="G61" s="90" t="s">
        <v>1830</v>
      </c>
      <c r="H61" s="90" t="s">
        <v>1830</v>
      </c>
      <c r="I61" s="689" t="s">
        <v>1802</v>
      </c>
      <c r="J61" s="694" t="s">
        <v>1556</v>
      </c>
      <c r="K61" s="694" t="s">
        <v>996</v>
      </c>
      <c r="L61" s="723">
        <v>45880</v>
      </c>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row>
    <row r="62" spans="1:37" ht="15.75" customHeight="1">
      <c r="A62" s="689">
        <v>67</v>
      </c>
      <c r="B62" s="690" t="s">
        <v>1002</v>
      </c>
      <c r="C62" s="164" t="s">
        <v>1831</v>
      </c>
      <c r="D62" s="90" t="s">
        <v>1832</v>
      </c>
      <c r="E62" s="90" t="s">
        <v>1833</v>
      </c>
      <c r="F62" s="90"/>
      <c r="G62" s="697" t="s">
        <v>1819</v>
      </c>
      <c r="H62" s="90" t="s">
        <v>1834</v>
      </c>
      <c r="I62" s="689" t="s">
        <v>1555</v>
      </c>
      <c r="J62" s="694" t="s">
        <v>1556</v>
      </c>
      <c r="K62" s="694" t="s">
        <v>996</v>
      </c>
      <c r="L62" s="724">
        <v>45964</v>
      </c>
      <c r="M62" s="694" t="s">
        <v>1708</v>
      </c>
      <c r="N62" s="90"/>
      <c r="O62" s="90"/>
      <c r="P62" s="90"/>
      <c r="Q62" s="90"/>
      <c r="R62" s="90"/>
      <c r="S62" s="90"/>
      <c r="T62" s="90"/>
      <c r="U62" s="90"/>
      <c r="V62" s="90"/>
      <c r="W62" s="90"/>
      <c r="X62" s="90"/>
      <c r="Y62" s="90"/>
      <c r="Z62" s="90"/>
      <c r="AA62" s="90"/>
      <c r="AB62" s="90"/>
      <c r="AC62" s="90"/>
      <c r="AD62" s="90"/>
      <c r="AE62" s="90"/>
      <c r="AF62" s="90"/>
      <c r="AG62" s="90"/>
      <c r="AH62" s="90"/>
      <c r="AI62" s="90"/>
      <c r="AJ62" s="90"/>
      <c r="AK62" s="90"/>
    </row>
    <row r="63" spans="1:37" ht="15.75" customHeight="1">
      <c r="A63" s="689">
        <v>68</v>
      </c>
      <c r="B63" s="86" t="s">
        <v>1228</v>
      </c>
      <c r="C63" s="164" t="s">
        <v>1835</v>
      </c>
      <c r="D63" s="90" t="s">
        <v>1836</v>
      </c>
      <c r="E63" s="90" t="s">
        <v>1837</v>
      </c>
      <c r="F63" s="90"/>
      <c r="G63" s="90" t="s">
        <v>1785</v>
      </c>
      <c r="H63" s="90" t="s">
        <v>1724</v>
      </c>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row>
    <row r="64" spans="1:37" ht="15.75" customHeight="1">
      <c r="A64" s="689">
        <v>69</v>
      </c>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row>
    <row r="65" spans="1:37" ht="15.75" customHeight="1">
      <c r="A65" s="689">
        <v>70</v>
      </c>
      <c r="B65" s="90"/>
      <c r="C65" s="90"/>
      <c r="D65" s="90"/>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row>
    <row r="66" spans="1:37" ht="15.75" customHeight="1">
      <c r="A66" s="689">
        <v>71</v>
      </c>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row>
    <row r="67" spans="1:37" ht="15.75" customHeight="1">
      <c r="A67" s="86"/>
      <c r="B67" s="86"/>
      <c r="C67" s="90"/>
      <c r="D67" s="90"/>
      <c r="E67" s="90"/>
      <c r="F67" s="90"/>
      <c r="G67" s="90"/>
      <c r="H67" s="362"/>
      <c r="I67" s="86"/>
      <c r="J67" s="88"/>
      <c r="K67" s="88"/>
      <c r="L67" s="409"/>
      <c r="M67" s="88"/>
      <c r="N67" s="88"/>
      <c r="O67" s="86"/>
      <c r="P67" s="86"/>
      <c r="Q67" s="86"/>
      <c r="R67" s="408"/>
      <c r="S67" s="90"/>
      <c r="T67" s="90"/>
      <c r="U67" s="90"/>
      <c r="V67" s="90"/>
      <c r="W67" s="90"/>
      <c r="X67" s="90"/>
      <c r="Y67" s="90"/>
      <c r="Z67" s="90"/>
      <c r="AA67" s="90"/>
      <c r="AB67" s="90"/>
      <c r="AC67" s="90"/>
      <c r="AD67" s="90"/>
      <c r="AE67" s="90"/>
      <c r="AF67" s="90"/>
      <c r="AG67" s="90"/>
      <c r="AH67" s="90"/>
      <c r="AI67" s="90"/>
      <c r="AJ67" s="90"/>
      <c r="AK67" s="90"/>
    </row>
    <row r="68" spans="1:37" ht="15.75" customHeight="1">
      <c r="A68" s="86"/>
      <c r="B68" s="86"/>
      <c r="C68" s="90"/>
      <c r="D68" s="90"/>
      <c r="E68" s="90"/>
      <c r="F68" s="90"/>
      <c r="G68" s="90"/>
      <c r="H68" s="362"/>
      <c r="I68" s="86"/>
      <c r="J68" s="88"/>
      <c r="K68" s="88"/>
      <c r="L68" s="409"/>
      <c r="M68" s="88"/>
      <c r="N68" s="88"/>
      <c r="O68" s="86"/>
      <c r="P68" s="86"/>
      <c r="Q68" s="86"/>
      <c r="R68" s="408"/>
      <c r="S68" s="90"/>
      <c r="T68" s="90"/>
      <c r="U68" s="90"/>
      <c r="V68" s="90"/>
      <c r="W68" s="90"/>
      <c r="X68" s="90"/>
      <c r="Y68" s="90"/>
      <c r="Z68" s="90"/>
      <c r="AA68" s="90"/>
      <c r="AB68" s="90"/>
      <c r="AC68" s="90"/>
      <c r="AD68" s="90"/>
      <c r="AE68" s="90"/>
      <c r="AF68" s="90"/>
      <c r="AG68" s="90"/>
      <c r="AH68" s="90"/>
      <c r="AI68" s="90"/>
      <c r="AJ68" s="90"/>
      <c r="AK68" s="90"/>
    </row>
    <row r="69" spans="1:37" ht="15.75" customHeight="1">
      <c r="A69" s="86"/>
      <c r="B69" s="86"/>
      <c r="C69" s="90"/>
      <c r="D69" s="90"/>
      <c r="E69" s="90"/>
      <c r="F69" s="90"/>
      <c r="G69" s="90"/>
      <c r="H69" s="362"/>
      <c r="I69" s="86"/>
      <c r="J69" s="88"/>
      <c r="K69" s="88"/>
      <c r="L69" s="409"/>
      <c r="M69" s="88"/>
      <c r="N69" s="88"/>
      <c r="O69" s="86"/>
      <c r="P69" s="86"/>
      <c r="Q69" s="86"/>
      <c r="R69" s="408"/>
      <c r="S69" s="90"/>
      <c r="T69" s="90"/>
      <c r="U69" s="90"/>
      <c r="V69" s="90"/>
      <c r="W69" s="90"/>
      <c r="X69" s="90"/>
      <c r="Y69" s="90"/>
      <c r="Z69" s="90"/>
      <c r="AA69" s="90"/>
      <c r="AB69" s="90"/>
      <c r="AC69" s="90"/>
      <c r="AD69" s="90"/>
      <c r="AE69" s="90"/>
      <c r="AF69" s="90"/>
      <c r="AG69" s="90"/>
      <c r="AH69" s="90"/>
      <c r="AI69" s="90"/>
      <c r="AJ69" s="90"/>
      <c r="AK69" s="90"/>
    </row>
    <row r="70" spans="1:37" ht="15.75" customHeight="1">
      <c r="A70" s="86"/>
      <c r="B70" s="86"/>
      <c r="C70" s="90"/>
      <c r="D70" s="90"/>
      <c r="E70" s="90"/>
      <c r="F70" s="90"/>
      <c r="G70" s="90"/>
      <c r="H70" s="362"/>
      <c r="I70" s="86"/>
      <c r="J70" s="88"/>
      <c r="K70" s="88"/>
      <c r="L70" s="409"/>
      <c r="M70" s="88"/>
      <c r="N70" s="88"/>
      <c r="O70" s="86"/>
      <c r="P70" s="86"/>
      <c r="Q70" s="86"/>
      <c r="R70" s="408"/>
      <c r="S70" s="90"/>
      <c r="T70" s="90"/>
      <c r="U70" s="90"/>
      <c r="V70" s="90"/>
      <c r="W70" s="90"/>
      <c r="X70" s="90"/>
      <c r="Y70" s="90"/>
      <c r="Z70" s="90"/>
      <c r="AA70" s="90"/>
      <c r="AB70" s="90"/>
      <c r="AC70" s="90"/>
      <c r="AD70" s="90"/>
      <c r="AE70" s="90"/>
      <c r="AF70" s="90"/>
      <c r="AG70" s="90"/>
      <c r="AH70" s="90"/>
      <c r="AI70" s="90"/>
      <c r="AJ70" s="90"/>
      <c r="AK70" s="90"/>
    </row>
    <row r="71" spans="1:37" ht="15.75" customHeight="1">
      <c r="A71" s="86"/>
      <c r="B71" s="86"/>
      <c r="C71" s="90"/>
      <c r="D71" s="90"/>
      <c r="E71" s="90"/>
      <c r="F71" s="90"/>
      <c r="G71" s="90"/>
      <c r="H71" s="362"/>
      <c r="I71" s="86"/>
      <c r="J71" s="88"/>
      <c r="K71" s="88"/>
      <c r="L71" s="409"/>
      <c r="M71" s="88"/>
      <c r="N71" s="88"/>
      <c r="O71" s="86"/>
      <c r="P71" s="86"/>
      <c r="Q71" s="86"/>
      <c r="R71" s="408"/>
      <c r="S71" s="90"/>
      <c r="T71" s="90"/>
      <c r="U71" s="90"/>
      <c r="V71" s="90"/>
      <c r="W71" s="90"/>
      <c r="X71" s="90"/>
      <c r="Y71" s="90"/>
      <c r="Z71" s="90"/>
      <c r="AA71" s="90"/>
      <c r="AB71" s="90"/>
      <c r="AC71" s="90"/>
      <c r="AD71" s="90"/>
      <c r="AE71" s="90"/>
      <c r="AF71" s="90"/>
      <c r="AG71" s="90"/>
      <c r="AH71" s="90"/>
      <c r="AI71" s="90"/>
      <c r="AJ71" s="90"/>
      <c r="AK71" s="90"/>
    </row>
    <row r="72" spans="1:37" ht="15.75" customHeight="1">
      <c r="A72" s="86">
        <v>1</v>
      </c>
      <c r="B72" s="71"/>
      <c r="C72" s="153" t="s">
        <v>1838</v>
      </c>
      <c r="D72" s="90" t="s">
        <v>1839</v>
      </c>
      <c r="E72" s="154" t="s">
        <v>1840</v>
      </c>
      <c r="F72" s="90"/>
      <c r="G72" s="90" t="s">
        <v>1841</v>
      </c>
      <c r="H72" s="362" t="s">
        <v>1842</v>
      </c>
      <c r="I72" s="86"/>
      <c r="J72" s="88" t="s">
        <v>1556</v>
      </c>
      <c r="K72" s="88" t="s">
        <v>1843</v>
      </c>
      <c r="L72" s="409"/>
      <c r="M72" s="88"/>
      <c r="N72" s="88"/>
      <c r="O72" s="86"/>
      <c r="P72" s="86"/>
      <c r="Q72" s="86"/>
      <c r="R72" s="408"/>
      <c r="S72" s="90"/>
      <c r="T72" s="90"/>
      <c r="U72" s="90"/>
      <c r="V72" s="90"/>
      <c r="W72" s="90"/>
      <c r="X72" s="90"/>
      <c r="Y72" s="90"/>
      <c r="Z72" s="90"/>
      <c r="AA72" s="90"/>
      <c r="AB72" s="90"/>
      <c r="AC72" s="90"/>
      <c r="AD72" s="90"/>
      <c r="AE72" s="90"/>
      <c r="AF72" s="90"/>
      <c r="AG72" s="90"/>
      <c r="AH72" s="90"/>
      <c r="AI72" s="90"/>
      <c r="AJ72" s="90"/>
      <c r="AK72" s="90"/>
    </row>
    <row r="73" spans="1:37" ht="15.75" customHeight="1">
      <c r="A73" s="86">
        <v>2</v>
      </c>
      <c r="B73" s="71"/>
      <c r="C73" s="153" t="s">
        <v>1844</v>
      </c>
      <c r="D73" s="90" t="s">
        <v>1845</v>
      </c>
      <c r="E73" s="154" t="s">
        <v>1846</v>
      </c>
      <c r="F73" s="90"/>
      <c r="G73" s="90" t="s">
        <v>1841</v>
      </c>
      <c r="H73" s="362" t="s">
        <v>1847</v>
      </c>
      <c r="I73" s="86" t="s">
        <v>1555</v>
      </c>
      <c r="J73" s="88" t="s">
        <v>1556</v>
      </c>
      <c r="K73" s="88" t="s">
        <v>1843</v>
      </c>
      <c r="L73" s="409"/>
      <c r="M73" s="88"/>
      <c r="N73" s="88"/>
      <c r="O73" s="86"/>
      <c r="P73" s="86"/>
      <c r="Q73" s="86"/>
      <c r="R73" s="408"/>
      <c r="S73" s="90"/>
      <c r="T73" s="90"/>
      <c r="U73" s="90"/>
      <c r="V73" s="90"/>
      <c r="W73" s="90"/>
      <c r="X73" s="90"/>
      <c r="Y73" s="90"/>
      <c r="Z73" s="90"/>
      <c r="AA73" s="90"/>
      <c r="AB73" s="90"/>
      <c r="AC73" s="90"/>
      <c r="AD73" s="90"/>
      <c r="AE73" s="90"/>
      <c r="AF73" s="90"/>
      <c r="AG73" s="90"/>
      <c r="AH73" s="90"/>
      <c r="AI73" s="90"/>
      <c r="AJ73" s="90"/>
      <c r="AK73" s="90"/>
    </row>
    <row r="74" spans="1:37" ht="15.75" customHeight="1">
      <c r="A74" s="86">
        <v>3</v>
      </c>
      <c r="B74" s="71"/>
      <c r="C74" s="153" t="s">
        <v>1848</v>
      </c>
      <c r="D74" s="90" t="s">
        <v>1849</v>
      </c>
      <c r="E74" s="154" t="s">
        <v>1850</v>
      </c>
      <c r="F74" s="90"/>
      <c r="G74" s="90" t="s">
        <v>1841</v>
      </c>
      <c r="H74" s="362" t="s">
        <v>1842</v>
      </c>
      <c r="I74" s="86"/>
      <c r="J74" s="88" t="s">
        <v>1556</v>
      </c>
      <c r="K74" s="88" t="s">
        <v>1843</v>
      </c>
      <c r="L74" s="409"/>
      <c r="M74" s="88"/>
      <c r="N74" s="88"/>
      <c r="O74" s="86"/>
      <c r="P74" s="86"/>
      <c r="Q74" s="86"/>
      <c r="R74" s="408"/>
      <c r="S74" s="90"/>
      <c r="T74" s="90"/>
      <c r="U74" s="90"/>
      <c r="V74" s="90"/>
      <c r="W74" s="90"/>
      <c r="X74" s="90"/>
      <c r="Y74" s="90"/>
      <c r="Z74" s="90"/>
      <c r="AA74" s="90"/>
      <c r="AB74" s="90"/>
      <c r="AC74" s="90"/>
      <c r="AD74" s="90"/>
      <c r="AE74" s="90"/>
      <c r="AF74" s="90"/>
      <c r="AG74" s="90"/>
      <c r="AH74" s="90"/>
      <c r="AI74" s="90"/>
      <c r="AJ74" s="90"/>
      <c r="AK74" s="90"/>
    </row>
    <row r="75" spans="1:37" ht="15.75" customHeight="1">
      <c r="A75" s="86">
        <v>4</v>
      </c>
      <c r="B75" s="71"/>
      <c r="C75" s="153" t="s">
        <v>1851</v>
      </c>
      <c r="D75" s="90" t="s">
        <v>1852</v>
      </c>
      <c r="E75" s="154" t="s">
        <v>1853</v>
      </c>
      <c r="F75" s="90"/>
      <c r="G75" s="90" t="s">
        <v>1841</v>
      </c>
      <c r="H75" s="362" t="s">
        <v>1842</v>
      </c>
      <c r="I75" s="86"/>
      <c r="J75" s="88" t="s">
        <v>1556</v>
      </c>
      <c r="K75" s="88" t="s">
        <v>1843</v>
      </c>
      <c r="L75" s="409"/>
      <c r="M75" s="88"/>
      <c r="N75" s="88"/>
      <c r="O75" s="86"/>
      <c r="P75" s="86"/>
      <c r="Q75" s="86"/>
      <c r="R75" s="408"/>
      <c r="S75" s="90"/>
      <c r="T75" s="90"/>
      <c r="U75" s="90"/>
      <c r="V75" s="90"/>
      <c r="W75" s="90"/>
      <c r="X75" s="90"/>
      <c r="Y75" s="90"/>
      <c r="Z75" s="90"/>
      <c r="AA75" s="90"/>
      <c r="AB75" s="90"/>
      <c r="AC75" s="90"/>
      <c r="AD75" s="90"/>
      <c r="AE75" s="90"/>
      <c r="AF75" s="90"/>
      <c r="AG75" s="90"/>
      <c r="AH75" s="90"/>
      <c r="AI75" s="90"/>
      <c r="AJ75" s="90"/>
      <c r="AK75" s="90"/>
    </row>
    <row r="76" spans="1:37" ht="15.75" customHeight="1">
      <c r="A76" s="86">
        <v>5</v>
      </c>
      <c r="B76" s="71"/>
      <c r="C76" s="153" t="s">
        <v>1854</v>
      </c>
      <c r="D76" s="154" t="s">
        <v>1855</v>
      </c>
      <c r="E76" s="154" t="s">
        <v>1855</v>
      </c>
      <c r="F76" s="90"/>
      <c r="G76" s="90" t="s">
        <v>157</v>
      </c>
      <c r="H76" s="362"/>
      <c r="I76" s="86" t="s">
        <v>1856</v>
      </c>
      <c r="J76" s="88" t="s">
        <v>1556</v>
      </c>
      <c r="K76" s="88" t="s">
        <v>1857</v>
      </c>
      <c r="L76" s="409"/>
      <c r="M76" s="88"/>
      <c r="N76" s="88"/>
      <c r="O76" s="86"/>
      <c r="P76" s="86"/>
      <c r="Q76" s="86"/>
      <c r="R76" s="408" t="s">
        <v>1858</v>
      </c>
      <c r="S76" s="90"/>
      <c r="T76" s="90"/>
      <c r="U76" s="90"/>
      <c r="V76" s="90"/>
      <c r="W76" s="90"/>
      <c r="X76" s="90"/>
      <c r="Y76" s="90"/>
      <c r="Z76" s="90"/>
      <c r="AA76" s="90"/>
      <c r="AB76" s="90"/>
      <c r="AC76" s="90"/>
      <c r="AD76" s="90"/>
      <c r="AE76" s="90"/>
      <c r="AF76" s="90"/>
      <c r="AG76" s="90"/>
      <c r="AH76" s="90"/>
      <c r="AI76" s="90"/>
      <c r="AJ76" s="90"/>
      <c r="AK76" s="90"/>
    </row>
    <row r="77" spans="1:37" ht="15.75" customHeight="1">
      <c r="A77" s="86">
        <v>6</v>
      </c>
      <c r="B77" s="71"/>
      <c r="C77" s="153" t="s">
        <v>1859</v>
      </c>
      <c r="D77" s="154" t="s">
        <v>1860</v>
      </c>
      <c r="E77" s="154" t="s">
        <v>1860</v>
      </c>
      <c r="F77" s="90"/>
      <c r="G77" s="90" t="s">
        <v>34</v>
      </c>
      <c r="H77" s="362"/>
      <c r="I77" s="86" t="s">
        <v>1856</v>
      </c>
      <c r="J77" s="88" t="s">
        <v>1556</v>
      </c>
      <c r="K77" s="88" t="s">
        <v>1857</v>
      </c>
      <c r="L77" s="409"/>
      <c r="M77" s="88"/>
      <c r="N77" s="88"/>
      <c r="O77" s="86"/>
      <c r="P77" s="86"/>
      <c r="Q77" s="86"/>
      <c r="R77" s="408" t="s">
        <v>1861</v>
      </c>
      <c r="S77" s="90"/>
      <c r="T77" s="90"/>
      <c r="U77" s="90"/>
      <c r="V77" s="90"/>
      <c r="W77" s="90"/>
      <c r="X77" s="90"/>
      <c r="Y77" s="90"/>
      <c r="Z77" s="90"/>
      <c r="AA77" s="90"/>
      <c r="AB77" s="90"/>
      <c r="AC77" s="90"/>
      <c r="AD77" s="90"/>
      <c r="AE77" s="90"/>
      <c r="AF77" s="90"/>
      <c r="AG77" s="90"/>
      <c r="AH77" s="90"/>
      <c r="AI77" s="90"/>
      <c r="AJ77" s="90"/>
      <c r="AK77" s="90"/>
    </row>
    <row r="78" spans="1:37" ht="15.75" customHeight="1">
      <c r="A78" s="86">
        <v>7</v>
      </c>
      <c r="B78" s="71"/>
      <c r="C78" s="153" t="s">
        <v>1862</v>
      </c>
      <c r="D78" s="154" t="s">
        <v>1863</v>
      </c>
      <c r="E78" s="154" t="s">
        <v>1863</v>
      </c>
      <c r="F78" s="90"/>
      <c r="G78" s="90" t="s">
        <v>1864</v>
      </c>
      <c r="H78" s="362"/>
      <c r="I78" s="86" t="s">
        <v>1856</v>
      </c>
      <c r="J78" s="88" t="s">
        <v>1556</v>
      </c>
      <c r="K78" s="88" t="s">
        <v>1857</v>
      </c>
      <c r="L78" s="409"/>
      <c r="M78" s="88"/>
      <c r="N78" s="88"/>
      <c r="O78" s="86"/>
      <c r="P78" s="86"/>
      <c r="Q78" s="86"/>
      <c r="R78" s="408" t="s">
        <v>1865</v>
      </c>
      <c r="S78" s="90"/>
      <c r="T78" s="90"/>
      <c r="U78" s="90"/>
      <c r="V78" s="90"/>
      <c r="W78" s="90"/>
      <c r="X78" s="90"/>
      <c r="Y78" s="90"/>
      <c r="Z78" s="90"/>
      <c r="AA78" s="90"/>
      <c r="AB78" s="90"/>
      <c r="AC78" s="90"/>
      <c r="AD78" s="90"/>
      <c r="AE78" s="90"/>
      <c r="AF78" s="90"/>
      <c r="AG78" s="90"/>
      <c r="AH78" s="90"/>
      <c r="AI78" s="90"/>
      <c r="AJ78" s="90"/>
      <c r="AK78" s="90"/>
    </row>
    <row r="79" spans="1:37" ht="15.75" customHeight="1">
      <c r="A79" s="86">
        <v>8</v>
      </c>
      <c r="B79" s="71"/>
      <c r="C79" s="164" t="s">
        <v>1866</v>
      </c>
      <c r="D79" s="90" t="s">
        <v>1867</v>
      </c>
      <c r="E79" s="90" t="s">
        <v>1868</v>
      </c>
      <c r="F79" s="90"/>
      <c r="G79" s="90" t="s">
        <v>1718</v>
      </c>
      <c r="H79" s="90" t="s">
        <v>1869</v>
      </c>
      <c r="I79" s="86" t="s">
        <v>1555</v>
      </c>
      <c r="J79" s="88" t="s">
        <v>1556</v>
      </c>
      <c r="K79" s="88" t="s">
        <v>996</v>
      </c>
      <c r="L79" s="409">
        <v>45240</v>
      </c>
      <c r="M79" s="88" t="s">
        <v>1774</v>
      </c>
      <c r="N79" s="88" t="s">
        <v>1775</v>
      </c>
      <c r="O79" s="86">
        <v>3520</v>
      </c>
      <c r="P79" s="86"/>
      <c r="Q79" s="86"/>
      <c r="R79" s="408"/>
      <c r="S79" s="90"/>
      <c r="T79" s="90"/>
      <c r="U79" s="90"/>
      <c r="V79" s="90"/>
      <c r="W79" s="90"/>
      <c r="X79" s="90"/>
      <c r="Y79" s="90"/>
      <c r="Z79" s="90"/>
      <c r="AA79" s="90"/>
      <c r="AB79" s="90"/>
      <c r="AC79" s="90"/>
      <c r="AD79" s="90"/>
      <c r="AE79" s="90"/>
      <c r="AF79" s="90"/>
      <c r="AG79" s="90"/>
      <c r="AH79" s="90"/>
      <c r="AI79" s="90"/>
      <c r="AJ79" s="90"/>
      <c r="AK79" s="90"/>
    </row>
    <row r="80" spans="1:37" ht="15.75" customHeight="1">
      <c r="A80" s="86">
        <v>9</v>
      </c>
      <c r="B80" s="71"/>
      <c r="C80" s="164" t="s">
        <v>1870</v>
      </c>
      <c r="D80" s="90" t="s">
        <v>1871</v>
      </c>
      <c r="E80" s="90" t="s">
        <v>1871</v>
      </c>
      <c r="F80" s="90"/>
      <c r="G80" s="90" t="s">
        <v>1864</v>
      </c>
      <c r="H80" s="362"/>
      <c r="I80" s="86" t="s">
        <v>1856</v>
      </c>
      <c r="J80" s="88" t="s">
        <v>1556</v>
      </c>
      <c r="K80" s="88" t="s">
        <v>1857</v>
      </c>
      <c r="L80" s="409"/>
      <c r="M80" s="88"/>
      <c r="N80" s="88"/>
      <c r="O80" s="86"/>
      <c r="P80" s="86"/>
      <c r="Q80" s="86"/>
      <c r="R80" s="408"/>
      <c r="S80" s="90"/>
      <c r="T80" s="90"/>
      <c r="U80" s="90"/>
      <c r="V80" s="90"/>
      <c r="W80" s="90"/>
      <c r="X80" s="90"/>
      <c r="Y80" s="90"/>
      <c r="Z80" s="90"/>
      <c r="AA80" s="90"/>
      <c r="AB80" s="90"/>
      <c r="AC80" s="90"/>
      <c r="AD80" s="90"/>
      <c r="AE80" s="90"/>
      <c r="AF80" s="90"/>
      <c r="AG80" s="90"/>
      <c r="AH80" s="90"/>
      <c r="AI80" s="90"/>
      <c r="AJ80" s="90"/>
      <c r="AK80" s="90"/>
    </row>
    <row r="81" spans="1:37" ht="15.75" customHeight="1">
      <c r="A81" s="86">
        <v>10</v>
      </c>
      <c r="B81" s="71"/>
      <c r="C81" s="164" t="s">
        <v>1872</v>
      </c>
      <c r="D81" s="90" t="s">
        <v>1873</v>
      </c>
      <c r="E81" s="90" t="s">
        <v>1873</v>
      </c>
      <c r="F81" s="90"/>
      <c r="G81" s="90" t="s">
        <v>1864</v>
      </c>
      <c r="H81" s="362"/>
      <c r="I81" s="86" t="s">
        <v>1856</v>
      </c>
      <c r="J81" s="88" t="s">
        <v>1874</v>
      </c>
      <c r="K81" s="88" t="s">
        <v>1857</v>
      </c>
      <c r="L81" s="409"/>
      <c r="M81" s="88"/>
      <c r="N81" s="88"/>
      <c r="O81" s="86"/>
      <c r="P81" s="86"/>
      <c r="Q81" s="86"/>
      <c r="R81" s="408"/>
      <c r="S81" s="90"/>
      <c r="T81" s="90"/>
      <c r="U81" s="90"/>
      <c r="V81" s="90"/>
      <c r="W81" s="90"/>
      <c r="X81" s="90"/>
      <c r="Y81" s="90"/>
      <c r="Z81" s="90"/>
      <c r="AA81" s="90"/>
      <c r="AB81" s="90"/>
      <c r="AC81" s="90"/>
      <c r="AD81" s="90"/>
      <c r="AE81" s="90"/>
      <c r="AF81" s="90"/>
      <c r="AG81" s="90"/>
      <c r="AH81" s="90"/>
      <c r="AI81" s="90"/>
      <c r="AJ81" s="90"/>
      <c r="AK81" s="90"/>
    </row>
    <row r="82" spans="1:37" ht="15.75" customHeight="1">
      <c r="A82" s="86">
        <v>11</v>
      </c>
      <c r="B82" s="86"/>
      <c r="C82" s="162" t="s">
        <v>1870</v>
      </c>
      <c r="D82" s="154" t="s">
        <v>1569</v>
      </c>
      <c r="E82" s="154" t="s">
        <v>1570</v>
      </c>
      <c r="F82" s="154" t="s">
        <v>1571</v>
      </c>
      <c r="G82" s="154"/>
      <c r="H82" s="362" t="s">
        <v>1572</v>
      </c>
      <c r="I82" s="86" t="s">
        <v>1802</v>
      </c>
      <c r="J82" s="88" t="s">
        <v>1556</v>
      </c>
      <c r="K82" s="88" t="s">
        <v>996</v>
      </c>
      <c r="L82" s="409">
        <v>45250</v>
      </c>
      <c r="M82" s="88"/>
      <c r="N82" s="88"/>
      <c r="O82" s="86"/>
      <c r="P82" s="86"/>
      <c r="Q82" s="86"/>
      <c r="R82" s="408"/>
      <c r="S82" s="90"/>
      <c r="T82" s="90"/>
      <c r="U82" s="90"/>
      <c r="V82" s="90"/>
      <c r="W82" s="90"/>
      <c r="X82" s="90"/>
      <c r="Y82" s="90"/>
      <c r="Z82" s="90"/>
      <c r="AA82" s="90"/>
      <c r="AB82" s="90"/>
      <c r="AC82" s="90"/>
      <c r="AD82" s="90"/>
      <c r="AE82" s="90"/>
      <c r="AF82" s="90"/>
      <c r="AG82" s="90"/>
      <c r="AH82" s="90"/>
      <c r="AI82" s="90"/>
      <c r="AJ82" s="90"/>
      <c r="AK82" s="90"/>
    </row>
    <row r="83" spans="1:37" ht="15.75" customHeight="1">
      <c r="A83" s="86">
        <v>12</v>
      </c>
      <c r="B83" s="86"/>
      <c r="C83" s="162" t="s">
        <v>1872</v>
      </c>
      <c r="D83" s="90"/>
      <c r="E83" s="90" t="s">
        <v>1875</v>
      </c>
      <c r="F83" s="90"/>
      <c r="G83" s="90"/>
      <c r="H83" s="362" t="s">
        <v>1572</v>
      </c>
      <c r="I83" s="86" t="s">
        <v>1802</v>
      </c>
      <c r="J83" s="88" t="s">
        <v>1874</v>
      </c>
      <c r="K83" s="88" t="s">
        <v>996</v>
      </c>
      <c r="L83" s="409">
        <v>45250</v>
      </c>
      <c r="M83" s="88"/>
      <c r="N83" s="88"/>
      <c r="O83" s="86"/>
      <c r="P83" s="86"/>
      <c r="Q83" s="86"/>
      <c r="R83" s="408"/>
      <c r="S83" s="90"/>
      <c r="T83" s="90"/>
      <c r="U83" s="90"/>
      <c r="V83" s="90"/>
      <c r="W83" s="90"/>
      <c r="X83" s="90"/>
      <c r="Y83" s="90"/>
      <c r="Z83" s="90"/>
      <c r="AA83" s="90"/>
      <c r="AB83" s="90"/>
      <c r="AC83" s="90"/>
      <c r="AD83" s="90"/>
      <c r="AE83" s="90"/>
      <c r="AF83" s="90"/>
      <c r="AG83" s="90"/>
      <c r="AH83" s="90"/>
      <c r="AI83" s="90"/>
      <c r="AJ83" s="90"/>
      <c r="AK83" s="90"/>
    </row>
    <row r="84" spans="1:37" ht="15.75" customHeight="1">
      <c r="A84" s="86"/>
      <c r="B84" s="86"/>
      <c r="C84" s="90"/>
      <c r="D84" s="90"/>
      <c r="E84" s="90"/>
      <c r="F84" s="90"/>
      <c r="G84" s="90"/>
      <c r="H84" s="362"/>
      <c r="I84" s="86"/>
      <c r="J84" s="88"/>
      <c r="K84" s="88"/>
      <c r="L84" s="409"/>
      <c r="M84" s="88"/>
      <c r="N84" s="88"/>
      <c r="O84" s="86"/>
      <c r="P84" s="86"/>
      <c r="Q84" s="86"/>
      <c r="R84" s="408"/>
      <c r="S84" s="90"/>
      <c r="T84" s="90"/>
      <c r="U84" s="90"/>
      <c r="V84" s="90"/>
      <c r="W84" s="90"/>
      <c r="X84" s="90"/>
      <c r="Y84" s="90"/>
      <c r="Z84" s="90"/>
      <c r="AA84" s="90"/>
      <c r="AB84" s="90"/>
      <c r="AC84" s="90"/>
      <c r="AD84" s="90"/>
      <c r="AE84" s="90"/>
      <c r="AF84" s="90"/>
      <c r="AG84" s="90"/>
      <c r="AH84" s="90"/>
      <c r="AI84" s="90"/>
      <c r="AJ84" s="90"/>
      <c r="AK84" s="90"/>
    </row>
    <row r="85" spans="1:37" ht="15.75" customHeight="1">
      <c r="A85" s="86"/>
      <c r="B85" s="86"/>
      <c r="C85" s="90"/>
      <c r="D85" s="90"/>
      <c r="E85" s="90"/>
      <c r="F85" s="90"/>
      <c r="G85" s="90"/>
      <c r="H85" s="362"/>
      <c r="I85" s="86"/>
      <c r="J85" s="88"/>
      <c r="K85" s="88"/>
      <c r="L85" s="409"/>
      <c r="M85" s="88"/>
      <c r="N85" s="88"/>
      <c r="O85" s="86"/>
      <c r="P85" s="86"/>
      <c r="Q85" s="86"/>
      <c r="R85" s="408"/>
      <c r="S85" s="90"/>
      <c r="T85" s="90"/>
      <c r="U85" s="90"/>
      <c r="V85" s="90"/>
      <c r="W85" s="90"/>
      <c r="X85" s="90"/>
      <c r="Y85" s="90"/>
      <c r="Z85" s="90"/>
      <c r="AA85" s="90"/>
      <c r="AB85" s="90"/>
      <c r="AC85" s="90"/>
      <c r="AD85" s="90"/>
      <c r="AE85" s="90"/>
      <c r="AF85" s="90"/>
      <c r="AG85" s="90"/>
      <c r="AH85" s="90"/>
      <c r="AI85" s="90"/>
      <c r="AJ85" s="90"/>
      <c r="AK85" s="90"/>
    </row>
    <row r="86" spans="1:37" ht="15.75" customHeight="1">
      <c r="A86" s="86"/>
      <c r="B86" s="86"/>
      <c r="C86" s="90"/>
      <c r="D86" s="90"/>
      <c r="E86" s="90"/>
      <c r="F86" s="90"/>
      <c r="G86" s="90"/>
      <c r="H86" s="362"/>
      <c r="I86" s="86"/>
      <c r="J86" s="88"/>
      <c r="K86" s="88"/>
      <c r="L86" s="409"/>
      <c r="M86" s="88"/>
      <c r="N86" s="88"/>
      <c r="O86" s="86"/>
      <c r="P86" s="86"/>
      <c r="Q86" s="86"/>
      <c r="R86" s="408"/>
      <c r="S86" s="90"/>
      <c r="T86" s="90"/>
      <c r="U86" s="90"/>
      <c r="V86" s="90"/>
      <c r="W86" s="90"/>
      <c r="X86" s="90"/>
      <c r="Y86" s="90"/>
      <c r="Z86" s="90"/>
      <c r="AA86" s="90"/>
      <c r="AB86" s="90"/>
      <c r="AC86" s="90"/>
      <c r="AD86" s="90"/>
      <c r="AE86" s="90"/>
      <c r="AF86" s="90"/>
      <c r="AG86" s="90"/>
      <c r="AH86" s="90"/>
      <c r="AI86" s="90"/>
      <c r="AJ86" s="90"/>
      <c r="AK86" s="90"/>
    </row>
    <row r="87" spans="1:37" ht="15.75" customHeight="1">
      <c r="A87" s="86"/>
      <c r="B87" s="86"/>
      <c r="C87" s="90"/>
      <c r="D87" s="90"/>
      <c r="E87" s="90"/>
      <c r="F87" s="90"/>
      <c r="G87" s="90"/>
      <c r="H87" s="362"/>
      <c r="I87" s="86"/>
      <c r="J87" s="88"/>
      <c r="K87" s="88"/>
      <c r="L87" s="409"/>
      <c r="M87" s="88"/>
      <c r="N87" s="88"/>
      <c r="O87" s="86"/>
      <c r="P87" s="86"/>
      <c r="Q87" s="86"/>
      <c r="R87" s="408"/>
      <c r="S87" s="90"/>
      <c r="T87" s="90"/>
      <c r="U87" s="90"/>
      <c r="V87" s="90"/>
      <c r="W87" s="90"/>
      <c r="X87" s="90"/>
      <c r="Y87" s="90"/>
      <c r="Z87" s="90"/>
      <c r="AA87" s="90"/>
      <c r="AB87" s="90"/>
      <c r="AC87" s="90"/>
      <c r="AD87" s="90"/>
      <c r="AE87" s="90"/>
      <c r="AF87" s="90"/>
      <c r="AG87" s="90"/>
      <c r="AH87" s="90"/>
      <c r="AI87" s="90"/>
      <c r="AJ87" s="90"/>
      <c r="AK87" s="90"/>
    </row>
    <row r="88" spans="1:37" ht="15.75" customHeight="1">
      <c r="A88" s="86"/>
      <c r="B88" s="86"/>
      <c r="C88" s="90"/>
      <c r="D88" s="90"/>
      <c r="E88" s="90"/>
      <c r="F88" s="90"/>
      <c r="G88" s="90"/>
      <c r="H88" s="362"/>
      <c r="I88" s="86"/>
      <c r="J88" s="88"/>
      <c r="K88" s="88"/>
      <c r="L88" s="409"/>
      <c r="M88" s="88"/>
      <c r="N88" s="88"/>
      <c r="O88" s="86"/>
      <c r="P88" s="86"/>
      <c r="Q88" s="86"/>
      <c r="R88" s="408"/>
      <c r="S88" s="90"/>
      <c r="T88" s="90"/>
      <c r="U88" s="90"/>
      <c r="V88" s="90"/>
      <c r="W88" s="90"/>
      <c r="X88" s="90"/>
      <c r="Y88" s="90"/>
      <c r="Z88" s="90"/>
      <c r="AA88" s="90"/>
      <c r="AB88" s="90"/>
      <c r="AC88" s="90"/>
      <c r="AD88" s="90"/>
      <c r="AE88" s="90"/>
      <c r="AF88" s="90"/>
      <c r="AG88" s="90"/>
      <c r="AH88" s="90"/>
      <c r="AI88" s="90"/>
      <c r="AJ88" s="90"/>
      <c r="AK88" s="90"/>
    </row>
    <row r="89" spans="1:37" ht="15.75" customHeight="1">
      <c r="A89" s="86"/>
      <c r="B89" s="86"/>
      <c r="C89" s="90"/>
      <c r="D89" s="90"/>
      <c r="E89" s="90"/>
      <c r="F89" s="90"/>
      <c r="G89" s="90"/>
      <c r="H89" s="362"/>
      <c r="I89" s="86"/>
      <c r="J89" s="88"/>
      <c r="K89" s="88"/>
      <c r="L89" s="409"/>
      <c r="M89" s="88"/>
      <c r="N89" s="88"/>
      <c r="O89" s="86"/>
      <c r="P89" s="86"/>
      <c r="Q89" s="86"/>
      <c r="R89" s="408"/>
      <c r="S89" s="90"/>
      <c r="T89" s="90"/>
      <c r="U89" s="90"/>
      <c r="V89" s="90"/>
      <c r="W89" s="90"/>
      <c r="X89" s="90"/>
      <c r="Y89" s="90"/>
      <c r="Z89" s="90"/>
      <c r="AA89" s="90"/>
      <c r="AB89" s="90"/>
      <c r="AC89" s="90"/>
      <c r="AD89" s="90"/>
      <c r="AE89" s="90"/>
      <c r="AF89" s="90"/>
      <c r="AG89" s="90"/>
      <c r="AH89" s="90"/>
      <c r="AI89" s="90"/>
      <c r="AJ89" s="90"/>
      <c r="AK89" s="90"/>
    </row>
    <row r="90" spans="1:37" ht="15.75" customHeight="1">
      <c r="A90" s="86"/>
      <c r="B90" s="86"/>
      <c r="C90" s="90"/>
      <c r="D90" s="90"/>
      <c r="E90" s="90"/>
      <c r="F90" s="90"/>
      <c r="G90" s="90"/>
      <c r="H90" s="362"/>
      <c r="I90" s="86"/>
      <c r="J90" s="88"/>
      <c r="K90" s="88"/>
      <c r="L90" s="409"/>
      <c r="M90" s="88"/>
      <c r="N90" s="88"/>
      <c r="O90" s="86"/>
      <c r="P90" s="86"/>
      <c r="Q90" s="86"/>
      <c r="R90" s="408"/>
      <c r="S90" s="90"/>
      <c r="T90" s="90"/>
      <c r="U90" s="90"/>
      <c r="V90" s="90"/>
      <c r="W90" s="90"/>
      <c r="X90" s="90"/>
      <c r="Y90" s="90"/>
      <c r="Z90" s="90"/>
      <c r="AA90" s="90"/>
      <c r="AB90" s="90"/>
      <c r="AC90" s="90"/>
      <c r="AD90" s="90"/>
      <c r="AE90" s="90"/>
      <c r="AF90" s="90"/>
      <c r="AG90" s="90"/>
      <c r="AH90" s="90"/>
      <c r="AI90" s="90"/>
      <c r="AJ90" s="90"/>
      <c r="AK90" s="90"/>
    </row>
    <row r="91" spans="1:37" ht="15.75" customHeight="1">
      <c r="A91" s="86"/>
      <c r="B91" s="86"/>
      <c r="C91" s="90"/>
      <c r="D91" s="90"/>
      <c r="E91" s="90"/>
      <c r="F91" s="90"/>
      <c r="G91" s="90"/>
      <c r="H91" s="362"/>
      <c r="I91" s="86"/>
      <c r="J91" s="88"/>
      <c r="K91" s="88"/>
      <c r="L91" s="409"/>
      <c r="M91" s="88"/>
      <c r="N91" s="88"/>
      <c r="O91" s="86"/>
      <c r="P91" s="86"/>
      <c r="Q91" s="86"/>
      <c r="R91" s="408"/>
      <c r="S91" s="90"/>
      <c r="T91" s="90"/>
      <c r="U91" s="90"/>
      <c r="V91" s="90"/>
      <c r="W91" s="90"/>
      <c r="X91" s="90"/>
      <c r="Y91" s="90"/>
      <c r="Z91" s="90"/>
      <c r="AA91" s="90"/>
      <c r="AB91" s="90"/>
      <c r="AC91" s="90"/>
      <c r="AD91" s="90"/>
      <c r="AE91" s="90"/>
      <c r="AF91" s="90"/>
      <c r="AG91" s="90"/>
      <c r="AH91" s="90"/>
      <c r="AI91" s="90"/>
      <c r="AJ91" s="90"/>
      <c r="AK91" s="90"/>
    </row>
    <row r="92" spans="1:37" ht="15.75" customHeight="1">
      <c r="A92" s="86"/>
      <c r="B92" s="86"/>
      <c r="C92" s="90"/>
      <c r="D92" s="90"/>
      <c r="E92" s="90"/>
      <c r="F92" s="90"/>
      <c r="G92" s="90"/>
      <c r="H92" s="362"/>
      <c r="I92" s="86"/>
      <c r="J92" s="88"/>
      <c r="K92" s="88"/>
      <c r="L92" s="409"/>
      <c r="M92" s="88"/>
      <c r="N92" s="88"/>
      <c r="O92" s="86"/>
      <c r="P92" s="86"/>
      <c r="Q92" s="86"/>
      <c r="R92" s="408"/>
      <c r="S92" s="90"/>
      <c r="T92" s="90"/>
      <c r="U92" s="90"/>
      <c r="V92" s="90"/>
      <c r="W92" s="90"/>
      <c r="X92" s="90"/>
      <c r="Y92" s="90"/>
      <c r="Z92" s="90"/>
      <c r="AA92" s="90"/>
      <c r="AB92" s="90"/>
      <c r="AC92" s="90"/>
      <c r="AD92" s="90"/>
      <c r="AE92" s="90"/>
      <c r="AF92" s="90"/>
      <c r="AG92" s="90"/>
      <c r="AH92" s="90"/>
      <c r="AI92" s="90"/>
      <c r="AJ92" s="90"/>
      <c r="AK92" s="90"/>
    </row>
    <row r="93" spans="1:37" ht="15.75" customHeight="1">
      <c r="A93" s="86"/>
      <c r="B93" s="86"/>
      <c r="C93" s="90"/>
      <c r="D93" s="90"/>
      <c r="E93" s="90"/>
      <c r="F93" s="90"/>
      <c r="G93" s="90"/>
      <c r="H93" s="362"/>
      <c r="I93" s="86"/>
      <c r="J93" s="88"/>
      <c r="K93" s="88"/>
      <c r="L93" s="409"/>
      <c r="M93" s="88"/>
      <c r="N93" s="88"/>
      <c r="O93" s="86"/>
      <c r="P93" s="86"/>
      <c r="Q93" s="86"/>
      <c r="R93" s="408"/>
      <c r="S93" s="90"/>
      <c r="T93" s="90"/>
      <c r="U93" s="90"/>
      <c r="V93" s="90"/>
      <c r="W93" s="90"/>
      <c r="X93" s="90"/>
      <c r="Y93" s="90"/>
      <c r="Z93" s="90"/>
      <c r="AA93" s="90"/>
      <c r="AB93" s="90"/>
      <c r="AC93" s="90"/>
      <c r="AD93" s="90"/>
      <c r="AE93" s="90"/>
      <c r="AF93" s="90"/>
      <c r="AG93" s="90"/>
      <c r="AH93" s="90"/>
      <c r="AI93" s="90"/>
      <c r="AJ93" s="90"/>
      <c r="AK93" s="90"/>
    </row>
    <row r="94" spans="1:37" ht="15.75" customHeight="1">
      <c r="A94" s="86"/>
      <c r="B94" s="86"/>
      <c r="C94" s="90"/>
      <c r="D94" s="90"/>
      <c r="E94" s="90"/>
      <c r="F94" s="90"/>
      <c r="G94" s="90"/>
      <c r="H94" s="362"/>
      <c r="I94" s="86"/>
      <c r="J94" s="88"/>
      <c r="K94" s="88"/>
      <c r="L94" s="409"/>
      <c r="M94" s="88"/>
      <c r="N94" s="88"/>
      <c r="O94" s="86"/>
      <c r="P94" s="86"/>
      <c r="Q94" s="86"/>
      <c r="R94" s="408"/>
      <c r="S94" s="90"/>
      <c r="T94" s="90"/>
      <c r="U94" s="90"/>
      <c r="V94" s="90"/>
      <c r="W94" s="90"/>
      <c r="X94" s="90"/>
      <c r="Y94" s="90"/>
      <c r="Z94" s="90"/>
      <c r="AA94" s="90"/>
      <c r="AB94" s="90"/>
      <c r="AC94" s="90"/>
      <c r="AD94" s="90"/>
      <c r="AE94" s="90"/>
      <c r="AF94" s="90"/>
      <c r="AG94" s="90"/>
      <c r="AH94" s="90"/>
      <c r="AI94" s="90"/>
      <c r="AJ94" s="90"/>
      <c r="AK94" s="90"/>
    </row>
    <row r="95" spans="1:37" ht="15.75" customHeight="1">
      <c r="A95" s="86"/>
      <c r="B95" s="86"/>
      <c r="C95" s="90"/>
      <c r="D95" s="90"/>
      <c r="E95" s="90"/>
      <c r="F95" s="90"/>
      <c r="G95" s="90"/>
      <c r="H95" s="362"/>
      <c r="I95" s="86"/>
      <c r="J95" s="88"/>
      <c r="K95" s="88"/>
      <c r="L95" s="409"/>
      <c r="M95" s="88"/>
      <c r="N95" s="88"/>
      <c r="O95" s="86"/>
      <c r="P95" s="86"/>
      <c r="Q95" s="86"/>
      <c r="R95" s="408"/>
      <c r="S95" s="90"/>
      <c r="T95" s="90"/>
      <c r="U95" s="90"/>
      <c r="V95" s="90"/>
      <c r="W95" s="90"/>
      <c r="X95" s="90"/>
      <c r="Y95" s="90"/>
      <c r="Z95" s="90"/>
      <c r="AA95" s="90"/>
      <c r="AB95" s="90"/>
      <c r="AC95" s="90"/>
      <c r="AD95" s="90"/>
      <c r="AE95" s="90"/>
      <c r="AF95" s="90"/>
      <c r="AG95" s="90"/>
      <c r="AH95" s="90"/>
      <c r="AI95" s="90"/>
      <c r="AJ95" s="90"/>
      <c r="AK95" s="90"/>
    </row>
    <row r="96" spans="1:37" ht="15.75" customHeight="1">
      <c r="A96" s="86"/>
      <c r="B96" s="86"/>
      <c r="C96" s="90"/>
      <c r="D96" s="90"/>
      <c r="E96" s="90"/>
      <c r="F96" s="90"/>
      <c r="G96" s="90"/>
      <c r="H96" s="362"/>
      <c r="I96" s="86"/>
      <c r="J96" s="88"/>
      <c r="K96" s="88"/>
      <c r="L96" s="409"/>
      <c r="M96" s="88"/>
      <c r="N96" s="88"/>
      <c r="O96" s="86"/>
      <c r="P96" s="86"/>
      <c r="Q96" s="86"/>
      <c r="R96" s="408"/>
      <c r="S96" s="90"/>
      <c r="T96" s="90"/>
      <c r="U96" s="90"/>
      <c r="V96" s="90"/>
      <c r="W96" s="90"/>
      <c r="X96" s="90"/>
      <c r="Y96" s="90"/>
      <c r="Z96" s="90"/>
      <c r="AA96" s="90"/>
      <c r="AB96" s="90"/>
      <c r="AC96" s="90"/>
      <c r="AD96" s="90"/>
      <c r="AE96" s="90"/>
      <c r="AF96" s="90"/>
      <c r="AG96" s="90"/>
      <c r="AH96" s="90"/>
      <c r="AI96" s="90"/>
      <c r="AJ96" s="90"/>
      <c r="AK96" s="90"/>
    </row>
    <row r="97" spans="1:37" ht="15.75" customHeight="1">
      <c r="A97" s="86"/>
      <c r="B97" s="86"/>
      <c r="C97" s="90"/>
      <c r="D97" s="90"/>
      <c r="E97" s="90"/>
      <c r="F97" s="90"/>
      <c r="G97" s="90"/>
      <c r="H97" s="362"/>
      <c r="I97" s="86"/>
      <c r="J97" s="88"/>
      <c r="K97" s="88"/>
      <c r="L97" s="409"/>
      <c r="M97" s="88"/>
      <c r="N97" s="88"/>
      <c r="O97" s="86"/>
      <c r="P97" s="86"/>
      <c r="Q97" s="86"/>
      <c r="R97" s="408"/>
      <c r="S97" s="90"/>
      <c r="T97" s="90"/>
      <c r="U97" s="90"/>
      <c r="V97" s="90"/>
      <c r="W97" s="90"/>
      <c r="X97" s="90"/>
      <c r="Y97" s="90"/>
      <c r="Z97" s="90"/>
      <c r="AA97" s="90"/>
      <c r="AB97" s="90"/>
      <c r="AC97" s="90"/>
      <c r="AD97" s="90"/>
      <c r="AE97" s="90"/>
      <c r="AF97" s="90"/>
      <c r="AG97" s="90"/>
      <c r="AH97" s="90"/>
      <c r="AI97" s="90"/>
      <c r="AJ97" s="90"/>
      <c r="AK97" s="90"/>
    </row>
    <row r="98" spans="1:37" ht="15.75" customHeight="1">
      <c r="A98" s="86"/>
      <c r="B98" s="86"/>
      <c r="C98" s="90"/>
      <c r="D98" s="90"/>
      <c r="E98" s="90"/>
      <c r="F98" s="90"/>
      <c r="G98" s="90"/>
      <c r="H98" s="362"/>
      <c r="I98" s="86"/>
      <c r="J98" s="88"/>
      <c r="K98" s="88"/>
      <c r="L98" s="409"/>
      <c r="M98" s="88"/>
      <c r="N98" s="88"/>
      <c r="O98" s="86"/>
      <c r="P98" s="86"/>
      <c r="Q98" s="86"/>
      <c r="R98" s="408"/>
      <c r="S98" s="90"/>
      <c r="T98" s="90"/>
      <c r="U98" s="90"/>
      <c r="V98" s="90"/>
      <c r="W98" s="90"/>
      <c r="X98" s="90"/>
      <c r="Y98" s="90"/>
      <c r="Z98" s="90"/>
      <c r="AA98" s="90"/>
      <c r="AB98" s="90"/>
      <c r="AC98" s="90"/>
      <c r="AD98" s="90"/>
      <c r="AE98" s="90"/>
      <c r="AF98" s="90"/>
      <c r="AG98" s="90"/>
      <c r="AH98" s="90"/>
      <c r="AI98" s="90"/>
      <c r="AJ98" s="90"/>
      <c r="AK98" s="90"/>
    </row>
    <row r="99" spans="1:37" ht="15.75" customHeight="1">
      <c r="A99" s="86"/>
      <c r="B99" s="86"/>
      <c r="C99" s="90"/>
      <c r="D99" s="90"/>
      <c r="E99" s="90"/>
      <c r="F99" s="90"/>
      <c r="G99" s="90"/>
      <c r="H99" s="362"/>
      <c r="I99" s="86"/>
      <c r="J99" s="88"/>
      <c r="K99" s="88"/>
      <c r="L99" s="409"/>
      <c r="M99" s="88"/>
      <c r="N99" s="88"/>
      <c r="O99" s="86"/>
      <c r="P99" s="86"/>
      <c r="Q99" s="86"/>
      <c r="R99" s="408"/>
      <c r="S99" s="90"/>
      <c r="T99" s="90"/>
      <c r="U99" s="90"/>
      <c r="V99" s="90"/>
      <c r="W99" s="90"/>
      <c r="X99" s="90"/>
      <c r="Y99" s="90"/>
      <c r="Z99" s="90"/>
      <c r="AA99" s="90"/>
      <c r="AB99" s="90"/>
      <c r="AC99" s="90"/>
      <c r="AD99" s="90"/>
      <c r="AE99" s="90"/>
      <c r="AF99" s="90"/>
      <c r="AG99" s="90"/>
      <c r="AH99" s="90"/>
      <c r="AI99" s="90"/>
      <c r="AJ99" s="90"/>
      <c r="AK99" s="90"/>
    </row>
    <row r="100" spans="1:37" ht="15.75" customHeight="1">
      <c r="A100" s="86"/>
      <c r="B100" s="86"/>
      <c r="C100" s="90"/>
      <c r="D100" s="90"/>
      <c r="E100" s="90"/>
      <c r="F100" s="90"/>
      <c r="G100" s="90"/>
      <c r="H100" s="362"/>
      <c r="I100" s="86"/>
      <c r="J100" s="88"/>
      <c r="K100" s="88"/>
      <c r="L100" s="409"/>
      <c r="M100" s="88"/>
      <c r="N100" s="88"/>
      <c r="O100" s="86"/>
      <c r="P100" s="86"/>
      <c r="Q100" s="86"/>
      <c r="R100" s="408"/>
      <c r="S100" s="90"/>
      <c r="T100" s="90"/>
      <c r="U100" s="90"/>
      <c r="V100" s="90"/>
      <c r="W100" s="90"/>
      <c r="X100" s="90"/>
      <c r="Y100" s="90"/>
      <c r="Z100" s="90"/>
      <c r="AA100" s="90"/>
      <c r="AB100" s="90"/>
      <c r="AC100" s="90"/>
      <c r="AD100" s="90"/>
      <c r="AE100" s="90"/>
      <c r="AF100" s="90"/>
      <c r="AG100" s="90"/>
      <c r="AH100" s="90"/>
      <c r="AI100" s="90"/>
      <c r="AJ100" s="90"/>
      <c r="AK100" s="90"/>
    </row>
    <row r="101" spans="1:37" ht="15.75" customHeight="1">
      <c r="A101" s="86"/>
      <c r="B101" s="86"/>
      <c r="C101" s="90"/>
      <c r="D101" s="90"/>
      <c r="E101" s="90"/>
      <c r="F101" s="90"/>
      <c r="G101" s="90"/>
      <c r="H101" s="362"/>
      <c r="I101" s="86"/>
      <c r="J101" s="88"/>
      <c r="K101" s="88"/>
      <c r="L101" s="409"/>
      <c r="M101" s="88"/>
      <c r="N101" s="88"/>
      <c r="O101" s="86"/>
      <c r="P101" s="86"/>
      <c r="Q101" s="86"/>
      <c r="R101" s="408"/>
      <c r="S101" s="90"/>
      <c r="T101" s="90"/>
      <c r="U101" s="90"/>
      <c r="V101" s="90"/>
      <c r="W101" s="90"/>
      <c r="X101" s="90"/>
      <c r="Y101" s="90"/>
      <c r="Z101" s="90"/>
      <c r="AA101" s="90"/>
      <c r="AB101" s="90"/>
      <c r="AC101" s="90"/>
      <c r="AD101" s="90"/>
      <c r="AE101" s="90"/>
      <c r="AF101" s="90"/>
      <c r="AG101" s="90"/>
      <c r="AH101" s="90"/>
      <c r="AI101" s="90"/>
      <c r="AJ101" s="90"/>
      <c r="AK101" s="90"/>
    </row>
    <row r="102" spans="1:37" ht="15.75" customHeight="1">
      <c r="A102" s="86"/>
      <c r="B102" s="86"/>
      <c r="C102" s="90"/>
      <c r="D102" s="90"/>
      <c r="E102" s="90"/>
      <c r="F102" s="90"/>
      <c r="G102" s="90"/>
      <c r="H102" s="362"/>
      <c r="I102" s="86"/>
      <c r="J102" s="88"/>
      <c r="K102" s="88"/>
      <c r="L102" s="409"/>
      <c r="M102" s="88"/>
      <c r="N102" s="88"/>
      <c r="O102" s="86"/>
      <c r="P102" s="86"/>
      <c r="Q102" s="86"/>
      <c r="R102" s="408"/>
      <c r="S102" s="90"/>
      <c r="T102" s="90"/>
      <c r="U102" s="90"/>
      <c r="V102" s="90"/>
      <c r="W102" s="90"/>
      <c r="X102" s="90"/>
      <c r="Y102" s="90"/>
      <c r="Z102" s="90"/>
      <c r="AA102" s="90"/>
      <c r="AB102" s="90"/>
      <c r="AC102" s="90"/>
      <c r="AD102" s="90"/>
      <c r="AE102" s="90"/>
      <c r="AF102" s="90"/>
      <c r="AG102" s="90"/>
      <c r="AH102" s="90"/>
      <c r="AI102" s="90"/>
      <c r="AJ102" s="90"/>
      <c r="AK102" s="90"/>
    </row>
    <row r="103" spans="1:37" ht="15.75" customHeight="1">
      <c r="A103" s="86"/>
      <c r="B103" s="86"/>
      <c r="C103" s="90"/>
      <c r="D103" s="90"/>
      <c r="E103" s="90"/>
      <c r="F103" s="90"/>
      <c r="G103" s="90"/>
      <c r="H103" s="362"/>
      <c r="I103" s="86"/>
      <c r="J103" s="88"/>
      <c r="K103" s="88"/>
      <c r="L103" s="409"/>
      <c r="M103" s="88"/>
      <c r="N103" s="88"/>
      <c r="O103" s="86"/>
      <c r="P103" s="86"/>
      <c r="Q103" s="86"/>
      <c r="R103" s="408"/>
      <c r="S103" s="90"/>
      <c r="T103" s="90"/>
      <c r="U103" s="90"/>
      <c r="V103" s="90"/>
      <c r="W103" s="90"/>
      <c r="X103" s="90"/>
      <c r="Y103" s="90"/>
      <c r="Z103" s="90"/>
      <c r="AA103" s="90"/>
      <c r="AB103" s="90"/>
      <c r="AC103" s="90"/>
      <c r="AD103" s="90"/>
      <c r="AE103" s="90"/>
      <c r="AF103" s="90"/>
      <c r="AG103" s="90"/>
      <c r="AH103" s="90"/>
      <c r="AI103" s="90"/>
      <c r="AJ103" s="90"/>
      <c r="AK103" s="90"/>
    </row>
    <row r="104" spans="1:37" ht="15.75" customHeight="1">
      <c r="A104" s="86"/>
      <c r="B104" s="86"/>
      <c r="C104" s="90"/>
      <c r="D104" s="90"/>
      <c r="E104" s="90"/>
      <c r="F104" s="90"/>
      <c r="G104" s="90"/>
      <c r="H104" s="362"/>
      <c r="I104" s="86"/>
      <c r="J104" s="88"/>
      <c r="K104" s="88"/>
      <c r="L104" s="409"/>
      <c r="M104" s="88"/>
      <c r="N104" s="88"/>
      <c r="O104" s="86"/>
      <c r="P104" s="86"/>
      <c r="Q104" s="86"/>
      <c r="R104" s="408"/>
      <c r="S104" s="90"/>
      <c r="T104" s="90"/>
      <c r="U104" s="90"/>
      <c r="V104" s="90"/>
      <c r="W104" s="90"/>
      <c r="X104" s="90"/>
      <c r="Y104" s="90"/>
      <c r="Z104" s="90"/>
      <c r="AA104" s="90"/>
      <c r="AB104" s="90"/>
      <c r="AC104" s="90"/>
      <c r="AD104" s="90"/>
      <c r="AE104" s="90"/>
      <c r="AF104" s="90"/>
      <c r="AG104" s="90"/>
      <c r="AH104" s="90"/>
      <c r="AI104" s="90"/>
      <c r="AJ104" s="90"/>
      <c r="AK104" s="90"/>
    </row>
    <row r="105" spans="1:37" ht="15.75" customHeight="1">
      <c r="A105" s="86"/>
      <c r="B105" s="86"/>
      <c r="C105" s="90"/>
      <c r="D105" s="90"/>
      <c r="E105" s="90"/>
      <c r="F105" s="90"/>
      <c r="G105" s="90"/>
      <c r="H105" s="362"/>
      <c r="I105" s="86"/>
      <c r="J105" s="88"/>
      <c r="K105" s="88"/>
      <c r="L105" s="409"/>
      <c r="M105" s="88"/>
      <c r="N105" s="88"/>
      <c r="O105" s="86"/>
      <c r="P105" s="86"/>
      <c r="Q105" s="86"/>
      <c r="R105" s="408"/>
      <c r="S105" s="90"/>
      <c r="T105" s="90"/>
      <c r="U105" s="90"/>
      <c r="V105" s="90"/>
      <c r="W105" s="90"/>
      <c r="X105" s="90"/>
      <c r="Y105" s="90"/>
      <c r="Z105" s="90"/>
      <c r="AA105" s="90"/>
      <c r="AB105" s="90"/>
      <c r="AC105" s="90"/>
      <c r="AD105" s="90"/>
      <c r="AE105" s="90"/>
      <c r="AF105" s="90"/>
      <c r="AG105" s="90"/>
      <c r="AH105" s="90"/>
      <c r="AI105" s="90"/>
      <c r="AJ105" s="90"/>
      <c r="AK105" s="90"/>
    </row>
    <row r="106" spans="1:37" ht="15.75" customHeight="1">
      <c r="A106" s="86"/>
      <c r="B106" s="86"/>
      <c r="C106" s="90"/>
      <c r="D106" s="90"/>
      <c r="E106" s="90"/>
      <c r="F106" s="90"/>
      <c r="G106" s="90"/>
      <c r="H106" s="362"/>
      <c r="I106" s="86"/>
      <c r="J106" s="88"/>
      <c r="K106" s="88"/>
      <c r="L106" s="409"/>
      <c r="M106" s="88"/>
      <c r="N106" s="88"/>
      <c r="O106" s="86"/>
      <c r="P106" s="86"/>
      <c r="Q106" s="86"/>
      <c r="R106" s="408"/>
      <c r="S106" s="90"/>
      <c r="T106" s="90"/>
      <c r="U106" s="90"/>
      <c r="V106" s="90"/>
      <c r="W106" s="90"/>
      <c r="X106" s="90"/>
      <c r="Y106" s="90"/>
      <c r="Z106" s="90"/>
      <c r="AA106" s="90"/>
      <c r="AB106" s="90"/>
      <c r="AC106" s="90"/>
      <c r="AD106" s="90"/>
      <c r="AE106" s="90"/>
      <c r="AF106" s="90"/>
      <c r="AG106" s="90"/>
      <c r="AH106" s="90"/>
      <c r="AI106" s="90"/>
      <c r="AJ106" s="90"/>
      <c r="AK106" s="90"/>
    </row>
    <row r="107" spans="1:37" ht="15.75" customHeight="1">
      <c r="A107" s="86"/>
      <c r="B107" s="86"/>
      <c r="C107" s="90"/>
      <c r="D107" s="90"/>
      <c r="E107" s="90"/>
      <c r="F107" s="90"/>
      <c r="G107" s="90"/>
      <c r="H107" s="362"/>
      <c r="I107" s="86"/>
      <c r="J107" s="88"/>
      <c r="K107" s="88"/>
      <c r="L107" s="409"/>
      <c r="M107" s="88"/>
      <c r="N107" s="88"/>
      <c r="O107" s="86"/>
      <c r="P107" s="86"/>
      <c r="Q107" s="86"/>
      <c r="R107" s="408"/>
      <c r="S107" s="90"/>
      <c r="T107" s="90"/>
      <c r="U107" s="90"/>
      <c r="V107" s="90"/>
      <c r="W107" s="90"/>
      <c r="X107" s="90"/>
      <c r="Y107" s="90"/>
      <c r="Z107" s="90"/>
      <c r="AA107" s="90"/>
      <c r="AB107" s="90"/>
      <c r="AC107" s="90"/>
      <c r="AD107" s="90"/>
      <c r="AE107" s="90"/>
      <c r="AF107" s="90"/>
      <c r="AG107" s="90"/>
      <c r="AH107" s="90"/>
      <c r="AI107" s="90"/>
      <c r="AJ107" s="90"/>
      <c r="AK107" s="90"/>
    </row>
    <row r="108" spans="1:37" ht="15.75" customHeight="1">
      <c r="A108" s="86"/>
      <c r="B108" s="86"/>
      <c r="C108" s="90"/>
      <c r="D108" s="90"/>
      <c r="E108" s="90"/>
      <c r="F108" s="90"/>
      <c r="G108" s="90"/>
      <c r="H108" s="362"/>
      <c r="I108" s="86"/>
      <c r="J108" s="88"/>
      <c r="K108" s="88"/>
      <c r="L108" s="409"/>
      <c r="M108" s="88"/>
      <c r="N108" s="88"/>
      <c r="O108" s="86"/>
      <c r="P108" s="86"/>
      <c r="Q108" s="86"/>
      <c r="R108" s="408"/>
      <c r="S108" s="90"/>
      <c r="T108" s="90"/>
      <c r="U108" s="90"/>
      <c r="V108" s="90"/>
      <c r="W108" s="90"/>
      <c r="X108" s="90"/>
      <c r="Y108" s="90"/>
      <c r="Z108" s="90"/>
      <c r="AA108" s="90"/>
      <c r="AB108" s="90"/>
      <c r="AC108" s="90"/>
      <c r="AD108" s="90"/>
      <c r="AE108" s="90"/>
      <c r="AF108" s="90"/>
      <c r="AG108" s="90"/>
      <c r="AH108" s="90"/>
      <c r="AI108" s="90"/>
      <c r="AJ108" s="90"/>
      <c r="AK108" s="90"/>
    </row>
    <row r="109" spans="1:37" ht="15.75" customHeight="1">
      <c r="A109" s="86"/>
      <c r="B109" s="86"/>
      <c r="C109" s="90"/>
      <c r="D109" s="90"/>
      <c r="E109" s="90"/>
      <c r="F109" s="90"/>
      <c r="G109" s="90"/>
      <c r="H109" s="362"/>
      <c r="I109" s="86"/>
      <c r="J109" s="88"/>
      <c r="K109" s="88"/>
      <c r="L109" s="409"/>
      <c r="M109" s="88"/>
      <c r="N109" s="88"/>
      <c r="O109" s="86"/>
      <c r="P109" s="86"/>
      <c r="Q109" s="86"/>
      <c r="R109" s="408"/>
      <c r="S109" s="90"/>
      <c r="T109" s="90"/>
      <c r="U109" s="90"/>
      <c r="V109" s="90"/>
      <c r="W109" s="90"/>
      <c r="X109" s="90"/>
      <c r="Y109" s="90"/>
      <c r="Z109" s="90"/>
      <c r="AA109" s="90"/>
      <c r="AB109" s="90"/>
      <c r="AC109" s="90"/>
      <c r="AD109" s="90"/>
      <c r="AE109" s="90"/>
      <c r="AF109" s="90"/>
      <c r="AG109" s="90"/>
      <c r="AH109" s="90"/>
      <c r="AI109" s="90"/>
      <c r="AJ109" s="90"/>
      <c r="AK109" s="90"/>
    </row>
    <row r="110" spans="1:37" ht="15.75" customHeight="1">
      <c r="A110" s="86"/>
      <c r="B110" s="86"/>
      <c r="C110" s="90"/>
      <c r="D110" s="90"/>
      <c r="E110" s="90"/>
      <c r="F110" s="90"/>
      <c r="G110" s="90"/>
      <c r="H110" s="362"/>
      <c r="I110" s="86"/>
      <c r="J110" s="88"/>
      <c r="K110" s="88"/>
      <c r="L110" s="409"/>
      <c r="M110" s="88"/>
      <c r="N110" s="88"/>
      <c r="O110" s="86"/>
      <c r="P110" s="86"/>
      <c r="Q110" s="86"/>
      <c r="R110" s="408"/>
      <c r="S110" s="90"/>
      <c r="T110" s="90"/>
      <c r="U110" s="90"/>
      <c r="V110" s="90"/>
      <c r="W110" s="90"/>
      <c r="X110" s="90"/>
      <c r="Y110" s="90"/>
      <c r="Z110" s="90"/>
      <c r="AA110" s="90"/>
      <c r="AB110" s="90"/>
      <c r="AC110" s="90"/>
      <c r="AD110" s="90"/>
      <c r="AE110" s="90"/>
      <c r="AF110" s="90"/>
      <c r="AG110" s="90"/>
      <c r="AH110" s="90"/>
      <c r="AI110" s="90"/>
      <c r="AJ110" s="90"/>
      <c r="AK110" s="90"/>
    </row>
    <row r="111" spans="1:37" ht="15.75" customHeight="1">
      <c r="A111" s="86"/>
      <c r="B111" s="86"/>
      <c r="C111" s="90"/>
      <c r="D111" s="90"/>
      <c r="E111" s="90"/>
      <c r="F111" s="90"/>
      <c r="G111" s="90"/>
      <c r="H111" s="362"/>
      <c r="I111" s="86"/>
      <c r="J111" s="88"/>
      <c r="K111" s="88"/>
      <c r="L111" s="409"/>
      <c r="M111" s="88"/>
      <c r="N111" s="88"/>
      <c r="O111" s="86"/>
      <c r="P111" s="86"/>
      <c r="Q111" s="86"/>
      <c r="R111" s="408"/>
      <c r="S111" s="90"/>
      <c r="T111" s="90"/>
      <c r="U111" s="90"/>
      <c r="V111" s="90"/>
      <c r="W111" s="90"/>
      <c r="X111" s="90"/>
      <c r="Y111" s="90"/>
      <c r="Z111" s="90"/>
      <c r="AA111" s="90"/>
      <c r="AB111" s="90"/>
      <c r="AC111" s="90"/>
      <c r="AD111" s="90"/>
      <c r="AE111" s="90"/>
      <c r="AF111" s="90"/>
      <c r="AG111" s="90"/>
      <c r="AH111" s="90"/>
      <c r="AI111" s="90"/>
      <c r="AJ111" s="90"/>
      <c r="AK111" s="90"/>
    </row>
    <row r="112" spans="1:37" ht="15.75" customHeight="1">
      <c r="A112" s="86"/>
      <c r="B112" s="86"/>
      <c r="C112" s="90"/>
      <c r="D112" s="90"/>
      <c r="E112" s="90"/>
      <c r="F112" s="90"/>
      <c r="G112" s="90"/>
      <c r="H112" s="362"/>
      <c r="I112" s="86"/>
      <c r="J112" s="88"/>
      <c r="K112" s="88"/>
      <c r="L112" s="409"/>
      <c r="M112" s="88"/>
      <c r="N112" s="88"/>
      <c r="O112" s="86"/>
      <c r="P112" s="86"/>
      <c r="Q112" s="86"/>
      <c r="R112" s="408"/>
      <c r="S112" s="90"/>
      <c r="T112" s="90"/>
      <c r="U112" s="90"/>
      <c r="V112" s="90"/>
      <c r="W112" s="90"/>
      <c r="X112" s="90"/>
      <c r="Y112" s="90"/>
      <c r="Z112" s="90"/>
      <c r="AA112" s="90"/>
      <c r="AB112" s="90"/>
      <c r="AC112" s="90"/>
      <c r="AD112" s="90"/>
      <c r="AE112" s="90"/>
      <c r="AF112" s="90"/>
      <c r="AG112" s="90"/>
      <c r="AH112" s="90"/>
      <c r="AI112" s="90"/>
      <c r="AJ112" s="90"/>
      <c r="AK112" s="90"/>
    </row>
  </sheetData>
  <autoFilter ref="A1:S7" xr:uid="{36D287BF-B87F-41CC-BCCC-345662E9C89C}"/>
  <hyperlinks>
    <hyperlink ref="C5" r:id="rId1" xr:uid="{6491D097-5A76-4188-8833-928AB811263C}"/>
    <hyperlink ref="C6" r:id="rId2" xr:uid="{72F34A71-902B-4795-A85D-E94EF51CD8BB}"/>
    <hyperlink ref="C7" r:id="rId3" xr:uid="{1C0F12A5-4703-4374-8722-CBA1CB9386CE}"/>
    <hyperlink ref="C8" r:id="rId4" xr:uid="{50878423-8A0D-43A5-B6B0-6D5F11AEEF00}"/>
    <hyperlink ref="C11" r:id="rId5" xr:uid="{9A52D685-FC16-4790-A30C-5CB0445831F1}"/>
    <hyperlink ref="C12" r:id="rId6" xr:uid="{8831F1D2-D709-4AD2-9A15-37E2095D58A4}"/>
    <hyperlink ref="C14" r:id="rId7" xr:uid="{1C4B82BB-35F9-4568-BF8B-E26BB7C07725}"/>
    <hyperlink ref="C15" r:id="rId8" xr:uid="{452E75E1-F745-4D08-B1D3-4265C5CFCD79}"/>
    <hyperlink ref="C18" r:id="rId9" xr:uid="{E6B55BDA-1707-4AFA-A471-5C24AE6EBA88}"/>
    <hyperlink ref="C19" r:id="rId10" xr:uid="{F2528809-E5F8-4345-8064-911F7BCE93BF}"/>
    <hyperlink ref="C20" r:id="rId11" xr:uid="{1A204108-76DC-486C-9F2D-6F529995805A}"/>
    <hyperlink ref="C23" r:id="rId12" xr:uid="{4EFCC400-9CB2-4B8D-9DE4-014F94D42BD3}"/>
    <hyperlink ref="C25" r:id="rId13" xr:uid="{CD48F528-B93B-4C27-85DE-3A969B598B39}"/>
    <hyperlink ref="C26" r:id="rId14" xr:uid="{47B1804A-2449-4275-AE24-033373B33E72}"/>
    <hyperlink ref="C28" r:id="rId15" xr:uid="{5AC48E35-50A5-499E-83B7-8116B7670FF4}"/>
    <hyperlink ref="C30" r:id="rId16" xr:uid="{A038CF09-5D19-4953-AEE0-ECEE629EC818}"/>
    <hyperlink ref="C32" r:id="rId17" xr:uid="{AACD4E9F-4F47-4F28-BB5C-9FC072513966}"/>
    <hyperlink ref="C31" r:id="rId18" xr:uid="{19AACB6B-3C42-4179-80EE-50EDFB6EA03E}"/>
    <hyperlink ref="C34" r:id="rId19" xr:uid="{24BDAA7E-2D16-478F-B483-50E30FF06482}"/>
    <hyperlink ref="C33" r:id="rId20" xr:uid="{A2237A3B-BCD7-4461-AF2B-DA240CA914FD}"/>
    <hyperlink ref="C44" r:id="rId21" xr:uid="{9BF072B1-253A-4636-8C18-A5E70773E365}"/>
    <hyperlink ref="C3" r:id="rId22" xr:uid="{F83717FE-A46B-4BB2-A4B3-BEAEA3E0CF56}"/>
    <hyperlink ref="C59" r:id="rId23" xr:uid="{C930C741-211E-4B32-A3B4-872F2DE4E5E7}"/>
    <hyperlink ref="C43" r:id="rId24" xr:uid="{F6E0052E-5BCC-4F7C-8766-A2A5135481AD}"/>
    <hyperlink ref="C35" r:id="rId25" xr:uid="{3C3D07A0-DF8F-49A5-A307-975A3B274D36}"/>
    <hyperlink ref="C37" r:id="rId26" xr:uid="{CB962CEF-1183-42C5-A041-8BF938491754}"/>
    <hyperlink ref="C38" r:id="rId27" xr:uid="{EA981CC5-2FC0-446D-8390-4F5BEC3A68ED}"/>
    <hyperlink ref="C39" r:id="rId28" xr:uid="{CD8EA3DC-507F-4F27-895F-50A72E388706}"/>
    <hyperlink ref="C41" r:id="rId29" xr:uid="{4E9F4BC0-402B-4274-BB27-00C085A38A95}"/>
    <hyperlink ref="C42" r:id="rId30" xr:uid="{3CFBBB38-5D53-43BC-A57F-6CBF18916860}"/>
    <hyperlink ref="C76" r:id="rId31" xr:uid="{8632E027-0F91-4985-AAFC-12C62078B2F0}"/>
    <hyperlink ref="C77" r:id="rId32" xr:uid="{A8E4BB7F-93C2-4313-A6A7-0FAC0F730C40}"/>
    <hyperlink ref="C78" r:id="rId33" xr:uid="{3007C6C3-7868-48E3-9F69-42148BE121E8}"/>
    <hyperlink ref="C46" r:id="rId34" xr:uid="{B7461744-A162-400F-A8BB-7368A29539E6}"/>
    <hyperlink ref="C72" r:id="rId35" xr:uid="{FFBD595C-1752-4912-BC97-C3EA0658BFBE}"/>
    <hyperlink ref="C73" r:id="rId36" xr:uid="{E8199B37-6C12-409C-B705-CED80DE7289B}"/>
    <hyperlink ref="C74" r:id="rId37" xr:uid="{E442E484-259F-4296-B24A-4A07F377D7FA}"/>
    <hyperlink ref="C75" r:id="rId38" xr:uid="{2C126FB1-BA59-415F-AFB0-3637BB6EB05A}"/>
    <hyperlink ref="C45" r:id="rId39" xr:uid="{D8CCBA3A-0CFE-46E1-BC74-AB785C61051E}"/>
    <hyperlink ref="C48" r:id="rId40" xr:uid="{3700D985-C239-4E10-8337-70CAD7AD130F}"/>
    <hyperlink ref="C49" r:id="rId41" xr:uid="{D47ED026-F671-4F14-B77F-AF5FF7E317B4}"/>
    <hyperlink ref="C80" r:id="rId42" xr:uid="{007666F7-3CBB-4737-8FFC-752939E8080C}"/>
    <hyperlink ref="C81" r:id="rId43" xr:uid="{65144473-D01A-4112-883C-AEC24D6E0233}"/>
    <hyperlink ref="C51" r:id="rId44" xr:uid="{B2168CA8-B2AB-4F0C-AD3E-F347CECBF49F}"/>
    <hyperlink ref="C50" r:id="rId45" xr:uid="{43BF6CA6-F522-4F4C-8E72-9ED7CBC7C9F3}"/>
    <hyperlink ref="C82" r:id="rId46" xr:uid="{D438EF31-A9B6-4545-A50F-9FCDBF5332A8}"/>
    <hyperlink ref="C83" r:id="rId47" xr:uid="{1DFD7D3E-2920-4C9B-8B13-04329900D0E8}"/>
    <hyperlink ref="C54" r:id="rId48" xr:uid="{5F01AD2A-48F1-4292-8CF5-D67A3D8B3149}"/>
    <hyperlink ref="C55" r:id="rId49" xr:uid="{AB420EE8-5994-4179-9710-42948ECFA424}"/>
    <hyperlink ref="C56" r:id="rId50" xr:uid="{89D9FF4A-E7F6-4880-A0C2-39A3223B9A4E}"/>
    <hyperlink ref="C57" r:id="rId51" xr:uid="{1B1180BD-AE57-418F-A969-73C09C89B4AC}"/>
    <hyperlink ref="C58" r:id="rId52" xr:uid="{BCF143AD-C857-4ED3-81C7-A1D46E161BFC}"/>
    <hyperlink ref="C40" r:id="rId53" xr:uid="{80AEF6F1-DA83-43B4-A70E-FEC300C6B3B9}"/>
    <hyperlink ref="C79" r:id="rId54" xr:uid="{3CCD0640-CB88-4ADF-AE5E-741CAA7F9A51}"/>
    <hyperlink ref="C53" r:id="rId55" xr:uid="{2124CDFE-2D61-4D08-8F07-9BF518965049}"/>
    <hyperlink ref="C52" r:id="rId56" xr:uid="{14E9393B-1834-43AA-BAB5-F89D96789A12}"/>
    <hyperlink ref="C2" r:id="rId57" xr:uid="{603C6E53-65A1-4F13-BA92-BE9529E91F06}"/>
    <hyperlink ref="C60" r:id="rId58" xr:uid="{DCF9C174-1624-49D6-819C-E510A073FFA8}"/>
    <hyperlink ref="C61" r:id="rId59" xr:uid="{193E1409-A087-41D5-9B4D-76E5305322E2}"/>
    <hyperlink ref="C62" r:id="rId60" xr:uid="{F1A47608-E3F4-4EF1-A206-A07E4D4C3112}"/>
    <hyperlink ref="C63" r:id="rId61" xr:uid="{D95A8B54-8BF3-4475-929A-08A8718E437C}"/>
  </hyperlinks>
  <pageMargins left="0.7" right="0.7" top="0.75" bottom="0.75" header="0.3" footer="0.3"/>
  <pageSetup orientation="portrait" r:id="rId6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782F-8BB7-4471-A0A9-FC89DFEE1CFE}">
  <dimension ref="A1:AL80"/>
  <sheetViews>
    <sheetView topLeftCell="B1" zoomScale="85" zoomScaleNormal="85" workbookViewId="0">
      <pane ySplit="2" topLeftCell="A58" activePane="bottomLeft" state="frozen"/>
      <selection pane="bottomLeft" activeCell="A80" sqref="A80:AK80"/>
      <selection activeCell="E1" sqref="E1"/>
    </sheetView>
  </sheetViews>
  <sheetFormatPr defaultColWidth="9.75" defaultRowHeight="15.75" customHeight="1"/>
  <cols>
    <col min="1" max="1" width="59.5" style="82" customWidth="1"/>
    <col min="2" max="2" width="25.75" style="93" customWidth="1"/>
    <col min="3" max="3" width="41.625" style="82" customWidth="1"/>
    <col min="4" max="4" width="36.875" style="82" bestFit="1" customWidth="1"/>
    <col min="5" max="5" width="22.25" style="82" customWidth="1"/>
    <col min="6" max="6" width="23.625" style="82" customWidth="1"/>
    <col min="7" max="7" width="20.125" style="82" customWidth="1"/>
    <col min="8" max="8" width="20.75" style="82" customWidth="1"/>
    <col min="9" max="9" width="43.375" style="91" customWidth="1"/>
    <col min="10" max="10" width="17.25" style="93" customWidth="1"/>
    <col min="11" max="11" width="31.125" style="91" customWidth="1"/>
    <col min="12" max="12" width="16.5" style="91" customWidth="1"/>
    <col min="13" max="13" width="17.5" style="93" customWidth="1"/>
    <col min="14" max="15" width="10.625" style="92" customWidth="1"/>
    <col min="16" max="17" width="9.75" style="93"/>
    <col min="18" max="18" width="9.75" style="82"/>
    <col min="19" max="19" width="67.75" style="82" customWidth="1"/>
    <col min="20" max="20" width="17.5" style="82" customWidth="1"/>
    <col min="21" max="16384" width="9.75" style="82"/>
  </cols>
  <sheetData>
    <row r="1" spans="1:22" ht="15.6" customHeight="1">
      <c r="A1" s="782" t="s">
        <v>1876</v>
      </c>
      <c r="B1" s="780" t="s">
        <v>0</v>
      </c>
      <c r="C1" s="780" t="s">
        <v>1533</v>
      </c>
      <c r="D1" s="780" t="s">
        <v>1534</v>
      </c>
      <c r="E1" s="780" t="s">
        <v>1535</v>
      </c>
      <c r="F1" s="780" t="s">
        <v>1536</v>
      </c>
      <c r="G1" s="780" t="s">
        <v>1537</v>
      </c>
      <c r="H1" s="780" t="s">
        <v>1538</v>
      </c>
      <c r="I1" s="783" t="s">
        <v>1539</v>
      </c>
      <c r="J1" s="783" t="s">
        <v>1540</v>
      </c>
      <c r="K1" s="783" t="s">
        <v>1541</v>
      </c>
      <c r="L1" s="783" t="s">
        <v>1542</v>
      </c>
      <c r="M1" s="784" t="s">
        <v>1877</v>
      </c>
      <c r="N1" s="781" t="s">
        <v>1544</v>
      </c>
      <c r="O1" s="781" t="s">
        <v>1545</v>
      </c>
      <c r="P1" s="781" t="s">
        <v>1546</v>
      </c>
      <c r="Q1" s="781" t="s">
        <v>1547</v>
      </c>
      <c r="R1" s="781" t="s">
        <v>1548</v>
      </c>
      <c r="S1" s="782" t="s">
        <v>3</v>
      </c>
      <c r="T1" s="780" t="s">
        <v>1549</v>
      </c>
      <c r="U1" s="103"/>
      <c r="V1" s="103"/>
    </row>
    <row r="2" spans="1:22" ht="14.25">
      <c r="A2" s="782"/>
      <c r="B2" s="780"/>
      <c r="C2" s="780"/>
      <c r="D2" s="780"/>
      <c r="E2" s="780"/>
      <c r="F2" s="780"/>
      <c r="G2" s="780"/>
      <c r="H2" s="780"/>
      <c r="I2" s="783"/>
      <c r="J2" s="783"/>
      <c r="K2" s="783"/>
      <c r="L2" s="783"/>
      <c r="M2" s="784"/>
      <c r="N2" s="781"/>
      <c r="O2" s="781"/>
      <c r="P2" s="781"/>
      <c r="Q2" s="781"/>
      <c r="R2" s="781"/>
      <c r="S2" s="782"/>
      <c r="T2" s="780"/>
      <c r="U2" s="103"/>
      <c r="V2" s="103"/>
    </row>
    <row r="3" spans="1:22" ht="30">
      <c r="A3" s="423" t="s">
        <v>1878</v>
      </c>
      <c r="B3" s="98">
        <v>1</v>
      </c>
      <c r="C3" s="141"/>
      <c r="D3" s="140" t="s">
        <v>1879</v>
      </c>
      <c r="E3" s="141"/>
      <c r="F3" s="141" t="s">
        <v>1880</v>
      </c>
      <c r="G3" s="141"/>
      <c r="H3" s="141"/>
      <c r="I3" s="142"/>
      <c r="J3" s="142" t="s">
        <v>1881</v>
      </c>
      <c r="K3" s="142"/>
      <c r="L3" s="142"/>
      <c r="M3" s="143"/>
      <c r="N3" s="88"/>
      <c r="O3" s="88"/>
      <c r="P3" s="88"/>
      <c r="Q3" s="88"/>
      <c r="R3" s="88"/>
      <c r="S3" s="86"/>
      <c r="T3" s="141"/>
      <c r="U3" s="103"/>
      <c r="V3" s="103"/>
    </row>
    <row r="4" spans="1:22" ht="14.25">
      <c r="A4" s="90" t="s">
        <v>1882</v>
      </c>
      <c r="B4" s="98">
        <f>B3+1</f>
        <v>2</v>
      </c>
      <c r="C4" s="94"/>
      <c r="D4" s="133" t="s">
        <v>1883</v>
      </c>
      <c r="E4" s="83"/>
      <c r="F4" s="83"/>
      <c r="G4" s="83"/>
      <c r="H4" s="83"/>
      <c r="I4" s="101" t="s">
        <v>1884</v>
      </c>
      <c r="J4" s="98" t="s">
        <v>1555</v>
      </c>
      <c r="K4" s="101"/>
      <c r="L4" s="101"/>
      <c r="M4" s="176" t="s">
        <v>1885</v>
      </c>
      <c r="N4" s="88" t="s">
        <v>1674</v>
      </c>
      <c r="O4" s="88"/>
      <c r="P4" s="86">
        <v>3520</v>
      </c>
      <c r="Q4" s="86" t="s">
        <v>1674</v>
      </c>
      <c r="R4" s="90" t="s">
        <v>1674</v>
      </c>
      <c r="S4" s="95" t="s">
        <v>1886</v>
      </c>
      <c r="T4" s="89"/>
      <c r="U4" s="103"/>
      <c r="V4" s="103"/>
    </row>
    <row r="5" spans="1:22" ht="15">
      <c r="A5" s="90" t="s">
        <v>1674</v>
      </c>
      <c r="B5" s="98">
        <f>B4+1</f>
        <v>3</v>
      </c>
      <c r="C5" s="96"/>
      <c r="D5" s="134" t="s">
        <v>1887</v>
      </c>
      <c r="E5" s="97"/>
      <c r="F5" s="97"/>
      <c r="G5" s="97"/>
      <c r="H5" s="97"/>
      <c r="I5" s="101" t="s">
        <v>1888</v>
      </c>
      <c r="J5" s="98" t="s">
        <v>1555</v>
      </c>
      <c r="K5" s="101"/>
      <c r="L5" s="101"/>
      <c r="M5" s="98"/>
      <c r="N5" s="88"/>
      <c r="O5" s="88"/>
      <c r="P5" s="86"/>
      <c r="Q5" s="86"/>
      <c r="R5" s="90"/>
      <c r="S5" s="95" t="s">
        <v>1886</v>
      </c>
      <c r="T5" s="89" t="s">
        <v>1573</v>
      </c>
      <c r="U5" s="103"/>
      <c r="V5" s="103"/>
    </row>
    <row r="6" spans="1:22" ht="14.25">
      <c r="A6" s="90" t="s">
        <v>1674</v>
      </c>
      <c r="B6" s="98">
        <f t="shared" ref="B6:B23" si="0">B5+1</f>
        <v>4</v>
      </c>
      <c r="C6" s="99"/>
      <c r="D6" s="133" t="s">
        <v>1889</v>
      </c>
      <c r="E6" s="100" t="s">
        <v>1890</v>
      </c>
      <c r="F6" s="100" t="s">
        <v>1891</v>
      </c>
      <c r="G6" s="100"/>
      <c r="H6" s="100" t="s">
        <v>1892</v>
      </c>
      <c r="I6" s="101" t="s">
        <v>1893</v>
      </c>
      <c r="J6" s="98" t="s">
        <v>1555</v>
      </c>
      <c r="K6" s="87" t="s">
        <v>1556</v>
      </c>
      <c r="L6" s="87"/>
      <c r="M6" s="176" t="s">
        <v>1894</v>
      </c>
      <c r="N6" s="88" t="s">
        <v>1674</v>
      </c>
      <c r="O6" s="88" t="s">
        <v>1674</v>
      </c>
      <c r="P6" s="86">
        <v>5430</v>
      </c>
      <c r="Q6" s="102"/>
      <c r="R6" s="90"/>
      <c r="S6" s="95" t="s">
        <v>1886</v>
      </c>
      <c r="T6" s="89"/>
      <c r="U6" s="103"/>
      <c r="V6" s="103"/>
    </row>
    <row r="7" spans="1:22" ht="14.25">
      <c r="A7" s="90" t="s">
        <v>1674</v>
      </c>
      <c r="B7" s="98">
        <f t="shared" si="0"/>
        <v>5</v>
      </c>
      <c r="C7" s="104"/>
      <c r="D7" s="134" t="s">
        <v>1895</v>
      </c>
      <c r="E7" s="100" t="s">
        <v>1896</v>
      </c>
      <c r="F7" s="100" t="s">
        <v>1897</v>
      </c>
      <c r="G7" s="100"/>
      <c r="H7" s="100" t="s">
        <v>1898</v>
      </c>
      <c r="I7" s="101" t="s">
        <v>1899</v>
      </c>
      <c r="J7" s="98" t="s">
        <v>1555</v>
      </c>
      <c r="K7" s="87" t="s">
        <v>1556</v>
      </c>
      <c r="L7" s="87"/>
      <c r="M7" s="176" t="s">
        <v>1900</v>
      </c>
      <c r="N7" s="88"/>
      <c r="O7" s="88"/>
      <c r="P7" s="86"/>
      <c r="Q7" s="86"/>
      <c r="R7" s="90"/>
      <c r="S7" s="95" t="s">
        <v>1886</v>
      </c>
      <c r="T7" s="89" t="s">
        <v>1630</v>
      </c>
      <c r="U7" s="103"/>
      <c r="V7" s="103"/>
    </row>
    <row r="8" spans="1:22" ht="14.25">
      <c r="A8" s="90" t="s">
        <v>1674</v>
      </c>
      <c r="B8" s="98">
        <f t="shared" si="0"/>
        <v>6</v>
      </c>
      <c r="C8" s="105"/>
      <c r="D8" s="134" t="s">
        <v>1901</v>
      </c>
      <c r="E8" s="100" t="s">
        <v>1902</v>
      </c>
      <c r="F8" s="100" t="s">
        <v>1903</v>
      </c>
      <c r="G8" s="100"/>
      <c r="H8" s="100" t="s">
        <v>1706</v>
      </c>
      <c r="I8" s="101" t="s">
        <v>1904</v>
      </c>
      <c r="J8" s="98" t="s">
        <v>1555</v>
      </c>
      <c r="K8" s="87" t="s">
        <v>1556</v>
      </c>
      <c r="L8" s="87"/>
      <c r="M8" s="176" t="s">
        <v>1900</v>
      </c>
      <c r="N8" s="88"/>
      <c r="O8" s="88"/>
      <c r="P8" s="86"/>
      <c r="Q8" s="86"/>
      <c r="R8" s="90"/>
      <c r="S8" s="95" t="s">
        <v>1886</v>
      </c>
      <c r="T8" s="89" t="s">
        <v>1585</v>
      </c>
      <c r="U8" s="103"/>
      <c r="V8" s="103"/>
    </row>
    <row r="9" spans="1:22" ht="14.25">
      <c r="A9" s="90" t="s">
        <v>1674</v>
      </c>
      <c r="B9" s="98">
        <f t="shared" si="0"/>
        <v>7</v>
      </c>
      <c r="C9" s="99"/>
      <c r="D9" s="133" t="s">
        <v>1905</v>
      </c>
      <c r="E9" s="100" t="s">
        <v>1906</v>
      </c>
      <c r="F9" s="100" t="s">
        <v>1907</v>
      </c>
      <c r="G9" s="100"/>
      <c r="H9" s="100" t="s">
        <v>1694</v>
      </c>
      <c r="I9" s="100" t="s">
        <v>1694</v>
      </c>
      <c r="J9" s="98"/>
      <c r="K9" s="87" t="s">
        <v>1556</v>
      </c>
      <c r="L9" s="87"/>
      <c r="M9" s="176" t="s">
        <v>1900</v>
      </c>
      <c r="N9" s="88"/>
      <c r="O9" s="88"/>
      <c r="P9" s="86"/>
      <c r="Q9" s="102"/>
      <c r="R9" s="90"/>
      <c r="S9" s="95" t="s">
        <v>1886</v>
      </c>
      <c r="T9" s="89"/>
      <c r="U9" s="103"/>
      <c r="V9" s="103"/>
    </row>
    <row r="10" spans="1:22" s="85" customFormat="1" ht="42">
      <c r="A10" s="90" t="s">
        <v>1674</v>
      </c>
      <c r="B10" s="98">
        <f t="shared" si="0"/>
        <v>8</v>
      </c>
      <c r="C10" s="106"/>
      <c r="D10" s="133" t="s">
        <v>1908</v>
      </c>
      <c r="E10" s="84" t="s">
        <v>1909</v>
      </c>
      <c r="F10" s="84" t="s">
        <v>1910</v>
      </c>
      <c r="G10" s="84"/>
      <c r="H10" s="84" t="s">
        <v>1694</v>
      </c>
      <c r="I10" s="101" t="s">
        <v>1642</v>
      </c>
      <c r="J10" s="98"/>
      <c r="K10" s="87" t="s">
        <v>1556</v>
      </c>
      <c r="L10" s="87"/>
      <c r="M10" s="424" t="s">
        <v>1911</v>
      </c>
      <c r="N10" s="87" t="s">
        <v>1674</v>
      </c>
      <c r="O10" s="87" t="s">
        <v>1674</v>
      </c>
      <c r="P10" s="87" t="s">
        <v>1912</v>
      </c>
      <c r="Q10" s="98"/>
      <c r="R10" s="89"/>
      <c r="S10" s="95" t="s">
        <v>1886</v>
      </c>
      <c r="T10" s="89"/>
      <c r="U10" s="425"/>
      <c r="V10" s="425"/>
    </row>
    <row r="11" spans="1:22" s="85" customFormat="1" ht="14.25">
      <c r="A11" s="90" t="s">
        <v>1674</v>
      </c>
      <c r="B11" s="98">
        <f t="shared" si="0"/>
        <v>9</v>
      </c>
      <c r="C11" s="94"/>
      <c r="D11" s="133" t="s">
        <v>1913</v>
      </c>
      <c r="E11" s="84" t="s">
        <v>1914</v>
      </c>
      <c r="F11" s="84" t="s">
        <v>1915</v>
      </c>
      <c r="G11" s="84"/>
      <c r="H11" s="84" t="s">
        <v>1700</v>
      </c>
      <c r="I11" s="101" t="s">
        <v>1916</v>
      </c>
      <c r="J11" s="98" t="s">
        <v>1555</v>
      </c>
      <c r="K11" s="87" t="s">
        <v>1556</v>
      </c>
      <c r="L11" s="87"/>
      <c r="M11" s="176" t="s">
        <v>1894</v>
      </c>
      <c r="N11" s="87" t="s">
        <v>1674</v>
      </c>
      <c r="O11" s="87" t="s">
        <v>1674</v>
      </c>
      <c r="P11" s="98">
        <v>5430</v>
      </c>
      <c r="Q11" s="98"/>
      <c r="R11" s="89"/>
      <c r="S11" s="95" t="s">
        <v>1886</v>
      </c>
      <c r="T11" s="89"/>
      <c r="U11" s="425"/>
      <c r="V11" s="425"/>
    </row>
    <row r="12" spans="1:22" s="85" customFormat="1" ht="56.25">
      <c r="A12" s="90" t="s">
        <v>1674</v>
      </c>
      <c r="B12" s="98">
        <f t="shared" si="0"/>
        <v>10</v>
      </c>
      <c r="C12" s="106"/>
      <c r="D12" s="133" t="s">
        <v>1917</v>
      </c>
      <c r="E12" s="84" t="s">
        <v>1918</v>
      </c>
      <c r="F12" s="84" t="s">
        <v>1919</v>
      </c>
      <c r="G12" s="84"/>
      <c r="H12" s="84" t="s">
        <v>1706</v>
      </c>
      <c r="I12" s="101" t="s">
        <v>1707</v>
      </c>
      <c r="J12" s="98"/>
      <c r="K12" s="87" t="s">
        <v>1556</v>
      </c>
      <c r="L12" s="87"/>
      <c r="M12" s="424" t="s">
        <v>1920</v>
      </c>
      <c r="N12" s="87" t="s">
        <v>1674</v>
      </c>
      <c r="O12" s="87" t="s">
        <v>1674</v>
      </c>
      <c r="P12" s="87" t="s">
        <v>1921</v>
      </c>
      <c r="Q12" s="87" t="s">
        <v>1921</v>
      </c>
      <c r="R12" s="89"/>
      <c r="S12" s="95" t="s">
        <v>1886</v>
      </c>
      <c r="T12" s="89"/>
      <c r="U12" s="425"/>
      <c r="V12" s="425"/>
    </row>
    <row r="13" spans="1:22" ht="60.75" customHeight="1">
      <c r="A13" s="90" t="s">
        <v>1674</v>
      </c>
      <c r="B13" s="98">
        <f t="shared" si="0"/>
        <v>11</v>
      </c>
      <c r="C13" s="106"/>
      <c r="D13" s="133" t="s">
        <v>1922</v>
      </c>
      <c r="E13" s="521"/>
      <c r="F13" s="521"/>
      <c r="G13" s="521"/>
      <c r="H13" s="521"/>
      <c r="I13" s="362" t="s">
        <v>1923</v>
      </c>
      <c r="J13" s="86" t="s">
        <v>1555</v>
      </c>
      <c r="K13" s="88" t="s">
        <v>1556</v>
      </c>
      <c r="L13" s="88"/>
      <c r="M13" s="143" t="s">
        <v>1924</v>
      </c>
      <c r="N13" s="88" t="s">
        <v>1674</v>
      </c>
      <c r="O13" s="88" t="s">
        <v>1674</v>
      </c>
      <c r="P13" s="86">
        <v>5430</v>
      </c>
      <c r="Q13" s="86" t="s">
        <v>1674</v>
      </c>
      <c r="R13" s="90" t="s">
        <v>1674</v>
      </c>
      <c r="S13" s="95" t="s">
        <v>1886</v>
      </c>
      <c r="T13" s="90"/>
      <c r="U13" s="103"/>
      <c r="V13" s="103"/>
    </row>
    <row r="14" spans="1:22" ht="14.25">
      <c r="A14" s="90" t="s">
        <v>1674</v>
      </c>
      <c r="B14" s="98">
        <f t="shared" si="0"/>
        <v>12</v>
      </c>
      <c r="C14" s="105"/>
      <c r="D14" s="134" t="s">
        <v>1925</v>
      </c>
      <c r="E14" s="105"/>
      <c r="F14" s="105"/>
      <c r="G14" s="105"/>
      <c r="H14" s="105"/>
      <c r="I14" s="109" t="s">
        <v>1926</v>
      </c>
      <c r="J14" s="102" t="s">
        <v>1555</v>
      </c>
      <c r="K14" s="110" t="s">
        <v>1556</v>
      </c>
      <c r="L14" s="110"/>
      <c r="M14" s="505" t="s">
        <v>1927</v>
      </c>
      <c r="N14" s="110" t="s">
        <v>1674</v>
      </c>
      <c r="O14" s="110" t="s">
        <v>1674</v>
      </c>
      <c r="P14" s="102">
        <v>3520</v>
      </c>
      <c r="Q14" s="102"/>
      <c r="R14" s="95"/>
      <c r="S14" s="95" t="s">
        <v>1928</v>
      </c>
      <c r="T14" s="95" t="s">
        <v>1611</v>
      </c>
      <c r="U14" s="103"/>
      <c r="V14" s="103"/>
    </row>
    <row r="15" spans="1:22" s="136" customFormat="1" ht="15">
      <c r="A15" s="90" t="s">
        <v>1674</v>
      </c>
      <c r="B15" s="98">
        <f t="shared" si="0"/>
        <v>13</v>
      </c>
      <c r="C15" s="99"/>
      <c r="D15" s="133" t="s">
        <v>1929</v>
      </c>
      <c r="E15" s="107" t="s">
        <v>1930</v>
      </c>
      <c r="F15" s="108" t="s">
        <v>1931</v>
      </c>
      <c r="G15" s="108"/>
      <c r="H15" s="108" t="s">
        <v>1718</v>
      </c>
      <c r="I15" s="109" t="s">
        <v>1735</v>
      </c>
      <c r="J15" s="102"/>
      <c r="K15" s="110" t="s">
        <v>1932</v>
      </c>
      <c r="L15" s="110"/>
      <c r="M15" s="177" t="s">
        <v>1933</v>
      </c>
      <c r="N15" s="110" t="s">
        <v>1708</v>
      </c>
      <c r="O15" s="110" t="s">
        <v>1708</v>
      </c>
      <c r="P15" s="102" t="s">
        <v>883</v>
      </c>
      <c r="Q15" s="102"/>
      <c r="R15" s="95"/>
      <c r="S15" s="95" t="s">
        <v>1886</v>
      </c>
      <c r="T15" s="95"/>
      <c r="U15" s="135"/>
      <c r="V15" s="135"/>
    </row>
    <row r="16" spans="1:22" s="136" customFormat="1" ht="15">
      <c r="A16" s="426" t="s">
        <v>1934</v>
      </c>
      <c r="B16" s="98">
        <f t="shared" si="0"/>
        <v>14</v>
      </c>
      <c r="C16" s="522"/>
      <c r="D16" s="133" t="s">
        <v>1935</v>
      </c>
      <c r="E16" s="522"/>
      <c r="F16" s="522"/>
      <c r="G16" s="522"/>
      <c r="H16" s="522"/>
      <c r="I16" s="109" t="s">
        <v>1592</v>
      </c>
      <c r="J16" s="102" t="s">
        <v>1555</v>
      </c>
      <c r="K16" s="110" t="s">
        <v>1556</v>
      </c>
      <c r="L16" s="110"/>
      <c r="M16" s="505"/>
      <c r="N16" s="110"/>
      <c r="O16" s="110"/>
      <c r="P16" s="102"/>
      <c r="Q16" s="102"/>
      <c r="R16" s="95"/>
      <c r="S16" s="95" t="s">
        <v>1886</v>
      </c>
      <c r="T16" s="95" t="s">
        <v>1593</v>
      </c>
      <c r="U16" s="135"/>
      <c r="V16" s="135"/>
    </row>
    <row r="17" spans="1:21" s="495" customFormat="1" ht="15">
      <c r="A17" s="95" t="s">
        <v>1674</v>
      </c>
      <c r="B17" s="102">
        <f t="shared" si="0"/>
        <v>15</v>
      </c>
      <c r="C17" s="523"/>
      <c r="D17" s="523" t="s">
        <v>1936</v>
      </c>
      <c r="E17" s="96"/>
      <c r="F17" s="96"/>
      <c r="G17" s="96"/>
      <c r="H17" s="96"/>
      <c r="I17" s="109" t="s">
        <v>1937</v>
      </c>
      <c r="J17" s="102" t="s">
        <v>1555</v>
      </c>
      <c r="K17" s="110" t="s">
        <v>1556</v>
      </c>
      <c r="L17" s="110"/>
      <c r="M17" s="505"/>
      <c r="N17" s="110"/>
      <c r="O17" s="110"/>
      <c r="P17" s="102"/>
      <c r="Q17" s="102"/>
      <c r="R17" s="95"/>
      <c r="S17" s="95" t="s">
        <v>1886</v>
      </c>
      <c r="T17" s="95" t="s">
        <v>1573</v>
      </c>
      <c r="U17" s="514"/>
    </row>
    <row r="18" spans="1:21" s="495" customFormat="1" ht="15">
      <c r="A18" s="95" t="s">
        <v>1938</v>
      </c>
      <c r="B18" s="102">
        <f t="shared" si="0"/>
        <v>16</v>
      </c>
      <c r="C18" s="96"/>
      <c r="D18" s="134" t="s">
        <v>1939</v>
      </c>
      <c r="E18" s="96"/>
      <c r="F18" s="96"/>
      <c r="G18" s="96"/>
      <c r="H18" s="96"/>
      <c r="I18" s="109" t="s">
        <v>1940</v>
      </c>
      <c r="J18" s="102" t="s">
        <v>1555</v>
      </c>
      <c r="K18" s="110" t="s">
        <v>1556</v>
      </c>
      <c r="L18" s="110"/>
      <c r="M18" s="505"/>
      <c r="N18" s="110"/>
      <c r="O18" s="110"/>
      <c r="P18" s="102"/>
      <c r="Q18" s="102"/>
      <c r="R18" s="95"/>
      <c r="S18" s="95" t="s">
        <v>1886</v>
      </c>
      <c r="T18" s="95" t="s">
        <v>1573</v>
      </c>
      <c r="U18" s="514"/>
    </row>
    <row r="19" spans="1:21" s="496" customFormat="1" ht="15">
      <c r="A19" s="497" t="s">
        <v>1941</v>
      </c>
      <c r="B19" s="498">
        <f t="shared" si="0"/>
        <v>17</v>
      </c>
      <c r="C19" s="524"/>
      <c r="D19" s="508" t="s">
        <v>1942</v>
      </c>
      <c r="E19" s="525" t="s">
        <v>1943</v>
      </c>
      <c r="F19" s="525" t="s">
        <v>1944</v>
      </c>
      <c r="G19" s="525"/>
      <c r="H19" s="525"/>
      <c r="I19" s="499" t="s">
        <v>1724</v>
      </c>
      <c r="J19" s="498" t="s">
        <v>1555</v>
      </c>
      <c r="K19" s="500" t="s">
        <v>1556</v>
      </c>
      <c r="L19" s="500"/>
      <c r="M19" s="526"/>
      <c r="N19" s="500"/>
      <c r="O19" s="500"/>
      <c r="P19" s="498"/>
      <c r="Q19" s="498"/>
      <c r="R19" s="497"/>
      <c r="S19" s="497" t="s">
        <v>1886</v>
      </c>
      <c r="T19" s="527" t="s">
        <v>1585</v>
      </c>
      <c r="U19" s="536"/>
    </row>
    <row r="20" spans="1:21" s="495" customFormat="1" ht="15.6" customHeight="1">
      <c r="A20" s="95" t="s">
        <v>1674</v>
      </c>
      <c r="B20" s="102">
        <f t="shared" si="0"/>
        <v>18</v>
      </c>
      <c r="C20" s="501"/>
      <c r="D20" s="502" t="s">
        <v>1945</v>
      </c>
      <c r="E20" s="95" t="s">
        <v>1946</v>
      </c>
      <c r="F20" s="95" t="s">
        <v>1947</v>
      </c>
      <c r="G20" s="95"/>
      <c r="H20" s="95"/>
      <c r="I20" s="109" t="s">
        <v>1584</v>
      </c>
      <c r="J20" s="102" t="s">
        <v>1555</v>
      </c>
      <c r="K20" s="110" t="s">
        <v>1556</v>
      </c>
      <c r="L20" s="110"/>
      <c r="M20" s="102"/>
      <c r="N20" s="110"/>
      <c r="O20" s="110"/>
      <c r="P20" s="102"/>
      <c r="Q20" s="102"/>
      <c r="R20" s="95"/>
      <c r="S20" s="95" t="s">
        <v>1886</v>
      </c>
      <c r="T20" s="503" t="s">
        <v>1585</v>
      </c>
      <c r="U20" s="514"/>
    </row>
    <row r="21" spans="1:21" s="495" customFormat="1" ht="14.25">
      <c r="A21" s="95" t="s">
        <v>1674</v>
      </c>
      <c r="B21" s="102">
        <f t="shared" si="0"/>
        <v>19</v>
      </c>
      <c r="C21" s="81"/>
      <c r="D21" s="133" t="s">
        <v>1948</v>
      </c>
      <c r="E21" s="504"/>
      <c r="F21" s="504" t="s">
        <v>1949</v>
      </c>
      <c r="G21" s="504"/>
      <c r="H21" s="504"/>
      <c r="I21" s="109" t="s">
        <v>1950</v>
      </c>
      <c r="J21" s="102" t="s">
        <v>1555</v>
      </c>
      <c r="K21" s="110" t="s">
        <v>1556</v>
      </c>
      <c r="L21" s="110"/>
      <c r="M21" s="505"/>
      <c r="N21" s="110"/>
      <c r="O21" s="110"/>
      <c r="P21" s="102"/>
      <c r="Q21" s="102"/>
      <c r="R21" s="102"/>
      <c r="S21" s="506"/>
      <c r="T21" s="95" t="s">
        <v>1562</v>
      </c>
      <c r="U21" s="514"/>
    </row>
    <row r="22" spans="1:21" s="496" customFormat="1" ht="14.25">
      <c r="A22" s="497" t="s">
        <v>1951</v>
      </c>
      <c r="B22" s="498">
        <f t="shared" si="0"/>
        <v>20</v>
      </c>
      <c r="C22" s="507"/>
      <c r="D22" s="508" t="s">
        <v>1952</v>
      </c>
      <c r="E22" s="509" t="s">
        <v>1953</v>
      </c>
      <c r="F22" s="509" t="s">
        <v>1954</v>
      </c>
      <c r="G22" s="509"/>
      <c r="H22" s="509" t="s">
        <v>1800</v>
      </c>
      <c r="I22" s="499" t="s">
        <v>1801</v>
      </c>
      <c r="J22" s="498" t="s">
        <v>1555</v>
      </c>
      <c r="K22" s="500" t="s">
        <v>1556</v>
      </c>
      <c r="L22" s="500"/>
      <c r="M22" s="510" t="s">
        <v>1955</v>
      </c>
      <c r="N22" s="500" t="s">
        <v>1674</v>
      </c>
      <c r="O22" s="498" t="s">
        <v>1689</v>
      </c>
      <c r="P22" s="498" t="s">
        <v>1689</v>
      </c>
      <c r="Q22" s="498"/>
      <c r="R22" s="498"/>
      <c r="S22" s="511" t="s">
        <v>1956</v>
      </c>
      <c r="T22" s="497"/>
      <c r="U22" s="536"/>
    </row>
    <row r="23" spans="1:21" s="495" customFormat="1" ht="14.25">
      <c r="A23" s="95" t="s">
        <v>1709</v>
      </c>
      <c r="B23" s="102">
        <f t="shared" si="0"/>
        <v>21</v>
      </c>
      <c r="C23" s="81"/>
      <c r="D23" s="133" t="s">
        <v>1957</v>
      </c>
      <c r="E23" s="504" t="s">
        <v>1958</v>
      </c>
      <c r="F23" s="504" t="s">
        <v>1958</v>
      </c>
      <c r="G23" s="504"/>
      <c r="H23" s="504" t="s">
        <v>1700</v>
      </c>
      <c r="I23" s="109" t="s">
        <v>1959</v>
      </c>
      <c r="J23" s="102" t="s">
        <v>1555</v>
      </c>
      <c r="K23" s="110" t="s">
        <v>1874</v>
      </c>
      <c r="L23" s="110"/>
      <c r="M23" s="505"/>
      <c r="N23" s="110" t="s">
        <v>1674</v>
      </c>
      <c r="O23" s="110"/>
      <c r="P23" s="102"/>
      <c r="Q23" s="102" t="s">
        <v>1674</v>
      </c>
      <c r="R23" s="102"/>
      <c r="S23" s="506"/>
      <c r="T23" s="95"/>
      <c r="U23" s="514"/>
    </row>
    <row r="24" spans="1:21" s="495" customFormat="1" ht="14.25">
      <c r="A24" s="95" t="s">
        <v>1709</v>
      </c>
      <c r="B24" s="102">
        <f>B23+1</f>
        <v>22</v>
      </c>
      <c r="C24" s="81"/>
      <c r="D24" s="133" t="s">
        <v>1960</v>
      </c>
      <c r="E24" s="504"/>
      <c r="F24" s="504" t="s">
        <v>1961</v>
      </c>
      <c r="G24" s="504"/>
      <c r="H24" s="504"/>
      <c r="I24" s="109" t="s">
        <v>1629</v>
      </c>
      <c r="J24" s="102" t="s">
        <v>1555</v>
      </c>
      <c r="K24" s="110" t="s">
        <v>1556</v>
      </c>
      <c r="L24" s="110"/>
      <c r="M24" s="528"/>
      <c r="N24" s="110"/>
      <c r="O24" s="110"/>
      <c r="P24" s="102"/>
      <c r="Q24" s="102"/>
      <c r="R24" s="102"/>
      <c r="S24" s="506"/>
      <c r="T24" s="95" t="s">
        <v>1630</v>
      </c>
      <c r="U24" s="514"/>
    </row>
    <row r="25" spans="1:21" ht="15">
      <c r="A25" s="90"/>
      <c r="B25" s="86">
        <v>1</v>
      </c>
      <c r="C25" s="71"/>
      <c r="D25" s="153" t="s">
        <v>1962</v>
      </c>
      <c r="E25" s="154" t="s">
        <v>1963</v>
      </c>
      <c r="F25" s="154" t="s">
        <v>1964</v>
      </c>
      <c r="G25" s="154"/>
      <c r="H25" s="163" t="s">
        <v>1718</v>
      </c>
      <c r="I25" s="163" t="s">
        <v>1869</v>
      </c>
      <c r="J25" s="86" t="s">
        <v>1555</v>
      </c>
      <c r="K25" s="88" t="s">
        <v>1556</v>
      </c>
      <c r="L25" s="88" t="s">
        <v>1965</v>
      </c>
      <c r="M25" s="178" t="s">
        <v>1966</v>
      </c>
      <c r="N25" s="88" t="s">
        <v>1708</v>
      </c>
      <c r="O25" s="88" t="s">
        <v>1708</v>
      </c>
      <c r="P25" s="86">
        <v>3520</v>
      </c>
      <c r="Q25" s="86"/>
      <c r="R25" s="86"/>
      <c r="S25" s="408"/>
      <c r="T25" s="90"/>
      <c r="U25" s="103"/>
    </row>
    <row r="26" spans="1:21" s="495" customFormat="1" ht="15">
      <c r="A26" s="95" t="s">
        <v>1674</v>
      </c>
      <c r="B26" s="102">
        <v>2</v>
      </c>
      <c r="C26" s="81"/>
      <c r="D26" s="133" t="s">
        <v>1967</v>
      </c>
      <c r="E26" s="504" t="s">
        <v>1968</v>
      </c>
      <c r="F26" s="504" t="s">
        <v>1969</v>
      </c>
      <c r="G26" s="504"/>
      <c r="H26" s="504" t="s">
        <v>1718</v>
      </c>
      <c r="I26" s="512" t="s">
        <v>1926</v>
      </c>
      <c r="J26" s="102" t="s">
        <v>1555</v>
      </c>
      <c r="K26" s="110" t="s">
        <v>1556</v>
      </c>
      <c r="L26" s="110" t="s">
        <v>996</v>
      </c>
      <c r="M26" s="513">
        <v>45270</v>
      </c>
      <c r="N26" s="110" t="s">
        <v>1708</v>
      </c>
      <c r="O26" s="102" t="s">
        <v>1689</v>
      </c>
      <c r="P26" s="102" t="s">
        <v>1757</v>
      </c>
      <c r="Q26" s="102"/>
      <c r="R26" s="102" t="s">
        <v>1674</v>
      </c>
      <c r="S26" s="95" t="s">
        <v>1970</v>
      </c>
      <c r="T26" s="95"/>
      <c r="U26" s="514"/>
    </row>
    <row r="27" spans="1:21" ht="14.25">
      <c r="A27" s="86" t="s">
        <v>1971</v>
      </c>
      <c r="B27" s="86">
        <v>3</v>
      </c>
      <c r="C27" s="71" t="s">
        <v>867</v>
      </c>
      <c r="D27" s="153" t="s">
        <v>1972</v>
      </c>
      <c r="E27" s="154" t="s">
        <v>1973</v>
      </c>
      <c r="F27" s="154" t="s">
        <v>1974</v>
      </c>
      <c r="G27" s="154"/>
      <c r="H27" s="90" t="s">
        <v>1718</v>
      </c>
      <c r="I27" s="90" t="s">
        <v>1869</v>
      </c>
      <c r="J27" s="86" t="s">
        <v>1555</v>
      </c>
      <c r="K27" s="88" t="s">
        <v>1556</v>
      </c>
      <c r="L27" s="88" t="s">
        <v>996</v>
      </c>
      <c r="M27" s="409">
        <v>45140</v>
      </c>
      <c r="N27" s="88" t="s">
        <v>1674</v>
      </c>
      <c r="O27" s="88" t="s">
        <v>1708</v>
      </c>
      <c r="P27" s="86">
        <v>3520</v>
      </c>
      <c r="Q27" s="86" t="s">
        <v>1674</v>
      </c>
      <c r="R27" s="86" t="s">
        <v>1674</v>
      </c>
      <c r="S27" s="408"/>
      <c r="T27" s="90"/>
      <c r="U27" s="103"/>
    </row>
    <row r="28" spans="1:21" s="495" customFormat="1" ht="14.25">
      <c r="A28" s="95" t="s">
        <v>1674</v>
      </c>
      <c r="B28" s="102">
        <v>4</v>
      </c>
      <c r="C28" s="81" t="s">
        <v>1228</v>
      </c>
      <c r="D28" s="133" t="s">
        <v>1975</v>
      </c>
      <c r="E28" s="504" t="s">
        <v>1976</v>
      </c>
      <c r="F28" s="504" t="s">
        <v>1977</v>
      </c>
      <c r="G28" s="504"/>
      <c r="H28" s="504"/>
      <c r="I28" s="109" t="s">
        <v>1724</v>
      </c>
      <c r="J28" s="102" t="s">
        <v>1555</v>
      </c>
      <c r="K28" s="110" t="s">
        <v>1556</v>
      </c>
      <c r="L28" s="110" t="s">
        <v>996</v>
      </c>
      <c r="M28" s="528"/>
      <c r="N28" s="110"/>
      <c r="O28" s="110"/>
      <c r="P28" s="102"/>
      <c r="Q28" s="102"/>
      <c r="R28" s="102"/>
      <c r="S28" s="506"/>
      <c r="T28" s="95"/>
      <c r="U28" s="514"/>
    </row>
    <row r="29" spans="1:21" s="495" customFormat="1" ht="14.25">
      <c r="A29" s="95" t="s">
        <v>1674</v>
      </c>
      <c r="B29" s="102">
        <v>5</v>
      </c>
      <c r="C29" s="81" t="s">
        <v>1363</v>
      </c>
      <c r="D29" s="133" t="s">
        <v>1978</v>
      </c>
      <c r="E29" s="504" t="s">
        <v>1979</v>
      </c>
      <c r="F29" s="504" t="s">
        <v>1980</v>
      </c>
      <c r="G29" s="504"/>
      <c r="H29" s="504"/>
      <c r="I29" s="109" t="s">
        <v>1810</v>
      </c>
      <c r="J29" s="102" t="s">
        <v>1555</v>
      </c>
      <c r="K29" s="110" t="s">
        <v>1556</v>
      </c>
      <c r="L29" s="110" t="s">
        <v>996</v>
      </c>
      <c r="M29" s="102"/>
      <c r="N29" s="110"/>
      <c r="O29" s="110"/>
      <c r="P29" s="102"/>
      <c r="Q29" s="102"/>
      <c r="R29" s="95"/>
      <c r="S29" s="95"/>
      <c r="T29" s="95"/>
      <c r="U29" s="514"/>
    </row>
    <row r="30" spans="1:21" ht="28.5">
      <c r="A30" s="90" t="s">
        <v>1981</v>
      </c>
      <c r="B30" s="86">
        <v>6</v>
      </c>
      <c r="C30" s="71" t="s">
        <v>1182</v>
      </c>
      <c r="D30" s="154" t="s">
        <v>1982</v>
      </c>
      <c r="E30" s="154" t="s">
        <v>1983</v>
      </c>
      <c r="F30" s="154" t="s">
        <v>1984</v>
      </c>
      <c r="G30" s="154"/>
      <c r="H30" s="362" t="s">
        <v>1985</v>
      </c>
      <c r="I30" s="86" t="s">
        <v>1555</v>
      </c>
      <c r="J30" s="88" t="s">
        <v>1556</v>
      </c>
      <c r="K30" s="88" t="s">
        <v>996</v>
      </c>
      <c r="L30" s="529"/>
      <c r="M30" s="88"/>
      <c r="N30" s="88"/>
      <c r="O30" s="86"/>
      <c r="P30" s="86"/>
      <c r="Q30" s="86"/>
      <c r="R30" s="408"/>
      <c r="S30" s="90" t="s">
        <v>1562</v>
      </c>
      <c r="T30" s="90"/>
      <c r="U30" s="103"/>
    </row>
    <row r="31" spans="1:21" s="495" customFormat="1" ht="14.25">
      <c r="A31" s="102" t="s">
        <v>1674</v>
      </c>
      <c r="B31" s="102">
        <v>7</v>
      </c>
      <c r="C31" s="81" t="s">
        <v>1418</v>
      </c>
      <c r="D31" s="133" t="s">
        <v>1986</v>
      </c>
      <c r="E31" s="504" t="s">
        <v>1987</v>
      </c>
      <c r="F31" s="504" t="s">
        <v>1988</v>
      </c>
      <c r="G31" s="504"/>
      <c r="H31" s="504" t="s">
        <v>1746</v>
      </c>
      <c r="I31" s="504" t="s">
        <v>1989</v>
      </c>
      <c r="J31" s="102" t="s">
        <v>1555</v>
      </c>
      <c r="K31" s="110" t="s">
        <v>1556</v>
      </c>
      <c r="L31" s="110" t="s">
        <v>996</v>
      </c>
      <c r="M31" s="530">
        <v>45152</v>
      </c>
      <c r="N31" s="110" t="s">
        <v>1708</v>
      </c>
      <c r="O31" s="110" t="s">
        <v>1708</v>
      </c>
      <c r="P31" s="102">
        <v>5430</v>
      </c>
      <c r="Q31" s="102"/>
      <c r="R31" s="102"/>
      <c r="S31" s="506" t="s">
        <v>1990</v>
      </c>
      <c r="T31" s="95"/>
      <c r="U31" s="514"/>
    </row>
    <row r="32" spans="1:21" s="495" customFormat="1" ht="14.25">
      <c r="A32" s="102" t="s">
        <v>1674</v>
      </c>
      <c r="B32" s="102">
        <v>22</v>
      </c>
      <c r="C32" s="81" t="s">
        <v>1133</v>
      </c>
      <c r="D32" s="133" t="s">
        <v>1991</v>
      </c>
      <c r="E32" s="504" t="s">
        <v>1992</v>
      </c>
      <c r="F32" s="504" t="s">
        <v>1993</v>
      </c>
      <c r="G32" s="504"/>
      <c r="H32" s="504"/>
      <c r="I32" s="109" t="s">
        <v>1801</v>
      </c>
      <c r="J32" s="102" t="s">
        <v>1555</v>
      </c>
      <c r="K32" s="110" t="s">
        <v>1556</v>
      </c>
      <c r="L32" s="110" t="s">
        <v>996</v>
      </c>
      <c r="M32" s="528"/>
      <c r="N32" s="110"/>
      <c r="O32" s="110"/>
      <c r="P32" s="102"/>
      <c r="Q32" s="102"/>
      <c r="R32" s="102"/>
      <c r="S32" s="506"/>
      <c r="T32" s="95" t="s">
        <v>1630</v>
      </c>
      <c r="U32" s="514"/>
    </row>
    <row r="33" spans="1:37" ht="14.25">
      <c r="A33" s="86"/>
      <c r="B33" s="86">
        <v>11</v>
      </c>
      <c r="C33" s="71" t="s">
        <v>1115</v>
      </c>
      <c r="D33" s="153" t="s">
        <v>1994</v>
      </c>
      <c r="E33" s="154" t="s">
        <v>1995</v>
      </c>
      <c r="F33" s="154" t="s">
        <v>1996</v>
      </c>
      <c r="G33" s="154"/>
      <c r="H33" s="154"/>
      <c r="I33" s="362" t="s">
        <v>1997</v>
      </c>
      <c r="J33" s="86" t="s">
        <v>1555</v>
      </c>
      <c r="K33" s="88" t="s">
        <v>1556</v>
      </c>
      <c r="L33" s="88" t="s">
        <v>996</v>
      </c>
      <c r="M33" s="529"/>
      <c r="N33" s="88"/>
      <c r="O33" s="88"/>
      <c r="P33" s="86"/>
      <c r="Q33" s="86"/>
      <c r="R33" s="86"/>
      <c r="S33" s="408"/>
      <c r="T33" s="90" t="s">
        <v>1602</v>
      </c>
      <c r="U33" s="103"/>
      <c r="V33" s="103"/>
      <c r="W33" s="103"/>
      <c r="X33" s="103"/>
      <c r="Y33" s="103"/>
      <c r="Z33" s="103"/>
      <c r="AA33" s="103"/>
      <c r="AB33" s="103"/>
      <c r="AC33" s="103"/>
      <c r="AD33" s="103"/>
      <c r="AE33" s="103"/>
      <c r="AF33" s="103"/>
      <c r="AG33" s="103"/>
      <c r="AH33" s="103"/>
      <c r="AI33" s="103"/>
      <c r="AJ33" s="103"/>
      <c r="AK33" s="103"/>
    </row>
    <row r="34" spans="1:37" s="495" customFormat="1" ht="14.25">
      <c r="A34" s="102" t="s">
        <v>1674</v>
      </c>
      <c r="B34" s="102"/>
      <c r="C34" s="81" t="s">
        <v>1240</v>
      </c>
      <c r="D34" s="133" t="s">
        <v>1998</v>
      </c>
      <c r="E34" s="504" t="s">
        <v>1999</v>
      </c>
      <c r="F34" s="504" t="s">
        <v>2000</v>
      </c>
      <c r="G34" s="504"/>
      <c r="H34" s="504" t="s">
        <v>1718</v>
      </c>
      <c r="I34" s="109" t="s">
        <v>2001</v>
      </c>
      <c r="J34" s="102" t="s">
        <v>1555</v>
      </c>
      <c r="K34" s="110" t="s">
        <v>1556</v>
      </c>
      <c r="L34" s="110" t="s">
        <v>996</v>
      </c>
      <c r="M34" s="530">
        <v>45078</v>
      </c>
      <c r="N34" s="110" t="s">
        <v>1708</v>
      </c>
      <c r="O34" s="102" t="s">
        <v>1689</v>
      </c>
      <c r="P34" s="102">
        <v>3520</v>
      </c>
      <c r="Q34" s="102"/>
      <c r="R34" s="102"/>
      <c r="S34" s="506"/>
      <c r="T34" s="95"/>
      <c r="U34" s="514"/>
      <c r="V34" s="514"/>
      <c r="W34" s="514"/>
      <c r="X34" s="514"/>
      <c r="Y34" s="514"/>
      <c r="Z34" s="514"/>
      <c r="AA34" s="514"/>
      <c r="AB34" s="514"/>
      <c r="AC34" s="514"/>
      <c r="AD34" s="514"/>
      <c r="AE34" s="514"/>
      <c r="AF34" s="514"/>
      <c r="AG34" s="514"/>
      <c r="AH34" s="514"/>
      <c r="AI34" s="514"/>
      <c r="AJ34" s="514"/>
      <c r="AK34" s="514"/>
    </row>
    <row r="35" spans="1:37" s="495" customFormat="1" ht="14.25">
      <c r="A35" s="102" t="s">
        <v>1674</v>
      </c>
      <c r="B35" s="102"/>
      <c r="C35" s="81" t="s">
        <v>1329</v>
      </c>
      <c r="D35" s="133" t="s">
        <v>2002</v>
      </c>
      <c r="E35" s="504" t="s">
        <v>2003</v>
      </c>
      <c r="F35" s="504" t="s">
        <v>2004</v>
      </c>
      <c r="G35" s="504"/>
      <c r="H35" s="504"/>
      <c r="I35" s="109" t="s">
        <v>2005</v>
      </c>
      <c r="J35" s="102" t="s">
        <v>1555</v>
      </c>
      <c r="K35" s="110" t="s">
        <v>1556</v>
      </c>
      <c r="L35" s="110" t="s">
        <v>996</v>
      </c>
      <c r="M35" s="528">
        <v>45012</v>
      </c>
      <c r="N35" s="110" t="s">
        <v>1674</v>
      </c>
      <c r="O35" s="110" t="s">
        <v>1674</v>
      </c>
      <c r="P35" s="102">
        <v>3520</v>
      </c>
      <c r="Q35" s="110" t="s">
        <v>1674</v>
      </c>
      <c r="R35" s="102" t="s">
        <v>1674</v>
      </c>
      <c r="S35" s="506"/>
      <c r="T35" s="95"/>
      <c r="U35" s="535"/>
      <c r="V35" s="514"/>
      <c r="W35" s="514"/>
      <c r="X35" s="514"/>
      <c r="Y35" s="514"/>
      <c r="Z35" s="514"/>
      <c r="AA35" s="514"/>
      <c r="AB35" s="514"/>
      <c r="AC35" s="514"/>
      <c r="AD35" s="514"/>
      <c r="AE35" s="514"/>
      <c r="AF35" s="514"/>
      <c r="AG35" s="514"/>
      <c r="AH35" s="514"/>
      <c r="AI35" s="514"/>
      <c r="AJ35" s="514"/>
      <c r="AK35" s="514"/>
    </row>
    <row r="36" spans="1:37" ht="15.75" customHeight="1">
      <c r="A36" s="90"/>
      <c r="B36" s="86">
        <f>Office_Resigned!A57+1</f>
        <v>19</v>
      </c>
      <c r="C36" s="71" t="s">
        <v>1256</v>
      </c>
      <c r="D36" s="153" t="s">
        <v>2006</v>
      </c>
      <c r="E36" s="154" t="s">
        <v>2007</v>
      </c>
      <c r="F36" s="154" t="s">
        <v>2008</v>
      </c>
      <c r="G36" s="154"/>
      <c r="H36" s="154"/>
      <c r="I36" s="362" t="s">
        <v>1638</v>
      </c>
      <c r="J36" s="86" t="s">
        <v>1555</v>
      </c>
      <c r="K36" s="88" t="s">
        <v>1556</v>
      </c>
      <c r="L36" s="88" t="s">
        <v>996</v>
      </c>
      <c r="M36" s="529"/>
      <c r="N36" s="88"/>
      <c r="O36" s="88"/>
      <c r="P36" s="86"/>
      <c r="Q36" s="86"/>
      <c r="R36" s="86"/>
      <c r="S36" s="408"/>
      <c r="T36" s="90" t="s">
        <v>1593</v>
      </c>
      <c r="U36" s="103"/>
      <c r="V36" s="103"/>
      <c r="W36" s="103"/>
      <c r="X36" s="103"/>
      <c r="Y36" s="103"/>
      <c r="Z36" s="103"/>
      <c r="AA36" s="103"/>
      <c r="AB36" s="103"/>
      <c r="AC36" s="103"/>
      <c r="AD36" s="103"/>
      <c r="AE36" s="103"/>
      <c r="AF36" s="103"/>
      <c r="AG36" s="103"/>
      <c r="AH36" s="103"/>
      <c r="AI36" s="103"/>
      <c r="AJ36" s="103"/>
      <c r="AK36" s="103"/>
    </row>
    <row r="37" spans="1:37" ht="15" customHeight="1">
      <c r="A37" s="90"/>
      <c r="B37" s="86">
        <v>32</v>
      </c>
      <c r="C37" s="71" t="s">
        <v>873</v>
      </c>
      <c r="D37" s="153" t="s">
        <v>2009</v>
      </c>
      <c r="E37" s="154" t="s">
        <v>2010</v>
      </c>
      <c r="F37" s="154" t="s">
        <v>2011</v>
      </c>
      <c r="G37" s="154"/>
      <c r="H37" s="154" t="s">
        <v>1694</v>
      </c>
      <c r="I37" s="362" t="s">
        <v>1584</v>
      </c>
      <c r="J37" s="86" t="s">
        <v>1555</v>
      </c>
      <c r="K37" s="88" t="s">
        <v>1556</v>
      </c>
      <c r="L37" s="88" t="s">
        <v>996</v>
      </c>
      <c r="M37" s="529">
        <v>45012</v>
      </c>
      <c r="N37" s="88" t="s">
        <v>1674</v>
      </c>
      <c r="O37" s="88" t="s">
        <v>1689</v>
      </c>
      <c r="P37" s="88">
        <v>3520</v>
      </c>
      <c r="Q37" s="88" t="s">
        <v>1689</v>
      </c>
      <c r="R37" s="86" t="s">
        <v>1674</v>
      </c>
      <c r="S37" s="423" t="s">
        <v>2012</v>
      </c>
      <c r="T37" s="90"/>
      <c r="U37" s="103"/>
      <c r="V37" s="103"/>
      <c r="W37" s="103"/>
      <c r="X37" s="103"/>
      <c r="Y37" s="103"/>
      <c r="Z37" s="103"/>
      <c r="AA37" s="103"/>
      <c r="AB37" s="103"/>
      <c r="AC37" s="103"/>
      <c r="AD37" s="103"/>
      <c r="AE37" s="103"/>
      <c r="AF37" s="103"/>
      <c r="AG37" s="103"/>
      <c r="AH37" s="103"/>
      <c r="AI37" s="103"/>
      <c r="AJ37" s="103"/>
      <c r="AK37" s="103"/>
    </row>
    <row r="38" spans="1:37" ht="15.75" customHeight="1">
      <c r="A38" s="90"/>
      <c r="B38" s="86">
        <f>Office_Resigned!A64+1</f>
        <v>20</v>
      </c>
      <c r="C38" s="71" t="s">
        <v>1036</v>
      </c>
      <c r="D38" s="153" t="s">
        <v>2013</v>
      </c>
      <c r="E38" s="154" t="s">
        <v>2014</v>
      </c>
      <c r="F38" s="154" t="s">
        <v>2015</v>
      </c>
      <c r="G38" s="154" t="s">
        <v>2016</v>
      </c>
      <c r="H38" s="154"/>
      <c r="I38" s="362" t="s">
        <v>2017</v>
      </c>
      <c r="J38" s="86" t="s">
        <v>1555</v>
      </c>
      <c r="K38" s="88" t="s">
        <v>1556</v>
      </c>
      <c r="L38" s="88" t="s">
        <v>996</v>
      </c>
      <c r="M38" s="529"/>
      <c r="N38" s="88"/>
      <c r="O38" s="88"/>
      <c r="P38" s="86"/>
      <c r="Q38" s="86"/>
      <c r="R38" s="86"/>
      <c r="S38" s="408"/>
      <c r="T38" s="90" t="s">
        <v>1593</v>
      </c>
      <c r="U38" s="103"/>
      <c r="V38" s="103"/>
      <c r="W38" s="103"/>
      <c r="X38" s="103"/>
      <c r="Y38" s="103"/>
      <c r="Z38" s="103"/>
      <c r="AA38" s="103"/>
      <c r="AB38" s="103"/>
      <c r="AC38" s="103"/>
      <c r="AD38" s="103"/>
      <c r="AE38" s="103"/>
      <c r="AF38" s="103"/>
      <c r="AG38" s="103"/>
      <c r="AH38" s="103"/>
      <c r="AI38" s="103"/>
      <c r="AJ38" s="103"/>
      <c r="AK38" s="103"/>
    </row>
    <row r="39" spans="1:37" ht="14.25">
      <c r="A39" s="86"/>
      <c r="B39" s="86" t="e">
        <f>Office_Resigned!B45+1</f>
        <v>#VALUE!</v>
      </c>
      <c r="C39" s="71" t="s">
        <v>1458</v>
      </c>
      <c r="D39" s="153" t="s">
        <v>2018</v>
      </c>
      <c r="E39" s="154" t="s">
        <v>2019</v>
      </c>
      <c r="F39" s="154" t="s">
        <v>2020</v>
      </c>
      <c r="G39" s="154"/>
      <c r="H39" s="163" t="s">
        <v>2021</v>
      </c>
      <c r="I39" s="163" t="s">
        <v>2022</v>
      </c>
      <c r="J39" s="86" t="s">
        <v>1555</v>
      </c>
      <c r="K39" s="88" t="s">
        <v>1556</v>
      </c>
      <c r="L39" s="88" t="s">
        <v>996</v>
      </c>
      <c r="M39" s="531">
        <v>45136</v>
      </c>
      <c r="N39" s="88" t="s">
        <v>1708</v>
      </c>
      <c r="O39" s="88" t="s">
        <v>1708</v>
      </c>
      <c r="P39" s="86">
        <v>5430</v>
      </c>
      <c r="Q39" s="86"/>
      <c r="R39" s="86"/>
      <c r="S39" s="408"/>
      <c r="T39" s="90"/>
      <c r="U39" s="103"/>
      <c r="V39" s="103"/>
      <c r="W39" s="103"/>
      <c r="X39" s="103"/>
      <c r="Y39" s="103"/>
      <c r="Z39" s="103"/>
      <c r="AA39" s="103"/>
      <c r="AB39" s="103"/>
      <c r="AC39" s="103"/>
      <c r="AD39" s="103"/>
      <c r="AE39" s="103"/>
      <c r="AF39" s="103"/>
      <c r="AG39" s="103"/>
      <c r="AH39" s="103"/>
      <c r="AI39" s="103"/>
      <c r="AJ39" s="103"/>
      <c r="AK39" s="103"/>
    </row>
    <row r="40" spans="1:37" ht="14.25">
      <c r="A40" s="86"/>
      <c r="B40" s="86">
        <f>VN_Emails!A26+1</f>
        <v>27</v>
      </c>
      <c r="C40" s="71" t="s">
        <v>1188</v>
      </c>
      <c r="D40" s="153" t="s">
        <v>2023</v>
      </c>
      <c r="E40" s="154" t="s">
        <v>2024</v>
      </c>
      <c r="F40" s="154" t="s">
        <v>2025</v>
      </c>
      <c r="G40" s="154"/>
      <c r="H40" s="154"/>
      <c r="I40" s="362" t="s">
        <v>1592</v>
      </c>
      <c r="J40" s="86" t="s">
        <v>1555</v>
      </c>
      <c r="K40" s="88" t="s">
        <v>1556</v>
      </c>
      <c r="L40" s="88" t="s">
        <v>996</v>
      </c>
      <c r="M40" s="529"/>
      <c r="N40" s="88"/>
      <c r="O40" s="88"/>
      <c r="P40" s="86"/>
      <c r="Q40" s="86"/>
      <c r="R40" s="86"/>
      <c r="S40" s="408"/>
      <c r="T40" s="532" t="s">
        <v>1593</v>
      </c>
      <c r="U40" s="103"/>
      <c r="V40" s="103"/>
      <c r="W40" s="103"/>
      <c r="X40" s="103"/>
      <c r="Y40" s="103"/>
      <c r="Z40" s="103"/>
      <c r="AA40" s="103"/>
      <c r="AB40" s="103"/>
      <c r="AC40" s="103"/>
      <c r="AD40" s="103"/>
      <c r="AE40" s="103"/>
      <c r="AF40" s="103"/>
      <c r="AG40" s="103"/>
      <c r="AH40" s="103"/>
      <c r="AI40" s="103"/>
      <c r="AJ40" s="103"/>
      <c r="AK40" s="103"/>
    </row>
    <row r="41" spans="1:37" ht="14.25">
      <c r="A41" s="86"/>
      <c r="B41" s="86">
        <f>Office_Resigned!A48+1</f>
        <v>21</v>
      </c>
      <c r="C41" s="71" t="s">
        <v>1302</v>
      </c>
      <c r="D41" s="153" t="s">
        <v>2026</v>
      </c>
      <c r="E41" s="154" t="s">
        <v>2027</v>
      </c>
      <c r="F41" s="154" t="s">
        <v>2028</v>
      </c>
      <c r="G41" s="154"/>
      <c r="H41" s="154"/>
      <c r="I41" s="362" t="s">
        <v>1638</v>
      </c>
      <c r="J41" s="86" t="s">
        <v>1555</v>
      </c>
      <c r="K41" s="88" t="s">
        <v>1556</v>
      </c>
      <c r="L41" s="88" t="s">
        <v>996</v>
      </c>
      <c r="M41" s="529">
        <v>44984</v>
      </c>
      <c r="N41" s="88" t="s">
        <v>1674</v>
      </c>
      <c r="O41" s="88" t="s">
        <v>1674</v>
      </c>
      <c r="P41" s="86">
        <v>3520</v>
      </c>
      <c r="Q41" s="86" t="s">
        <v>1674</v>
      </c>
      <c r="R41" s="86" t="s">
        <v>1674</v>
      </c>
      <c r="S41" s="90"/>
      <c r="T41" s="90"/>
      <c r="U41" s="103"/>
      <c r="V41" s="103"/>
      <c r="W41" s="103"/>
      <c r="X41" s="103"/>
      <c r="Y41" s="103"/>
      <c r="Z41" s="103"/>
      <c r="AA41" s="103"/>
      <c r="AB41" s="103"/>
      <c r="AC41" s="103"/>
      <c r="AD41" s="103"/>
      <c r="AE41" s="103"/>
      <c r="AF41" s="103"/>
      <c r="AG41" s="103"/>
      <c r="AH41" s="103"/>
      <c r="AI41" s="103"/>
      <c r="AJ41" s="103"/>
      <c r="AK41" s="103"/>
    </row>
    <row r="42" spans="1:37" s="495" customFormat="1" ht="15.75" customHeight="1">
      <c r="A42" s="102" t="s">
        <v>1674</v>
      </c>
      <c r="B42" s="102" t="e">
        <f>VN_Emails!#REF!+1</f>
        <v>#REF!</v>
      </c>
      <c r="C42" s="102"/>
      <c r="D42" s="133" t="s">
        <v>2029</v>
      </c>
      <c r="E42" s="95" t="s">
        <v>2030</v>
      </c>
      <c r="F42" s="95" t="s">
        <v>2031</v>
      </c>
      <c r="G42" s="95"/>
      <c r="H42" s="95" t="s">
        <v>157</v>
      </c>
      <c r="I42" s="109" t="s">
        <v>1997</v>
      </c>
      <c r="J42" s="102" t="s">
        <v>1802</v>
      </c>
      <c r="K42" s="110" t="s">
        <v>1556</v>
      </c>
      <c r="L42" s="110" t="s">
        <v>996</v>
      </c>
      <c r="M42" s="515">
        <v>45383</v>
      </c>
      <c r="N42" s="110" t="s">
        <v>1708</v>
      </c>
      <c r="O42" s="110"/>
      <c r="P42" s="102"/>
      <c r="Q42" s="102"/>
      <c r="R42" s="102"/>
      <c r="S42" s="506"/>
      <c r="T42" s="95"/>
      <c r="U42" s="514"/>
      <c r="V42" s="514"/>
      <c r="W42" s="514"/>
      <c r="X42" s="514"/>
      <c r="Y42" s="514"/>
      <c r="Z42" s="514"/>
      <c r="AA42" s="514"/>
      <c r="AB42" s="514"/>
      <c r="AC42" s="514"/>
      <c r="AD42" s="514"/>
      <c r="AE42" s="514"/>
      <c r="AF42" s="514"/>
      <c r="AG42" s="514"/>
      <c r="AH42" s="514"/>
      <c r="AI42" s="514"/>
      <c r="AJ42" s="514"/>
      <c r="AK42" s="514"/>
    </row>
    <row r="43" spans="1:37" ht="28.5">
      <c r="A43" s="86"/>
      <c r="B43" s="71" t="s">
        <v>1373</v>
      </c>
      <c r="C43" s="153" t="s">
        <v>2032</v>
      </c>
      <c r="D43" s="154" t="s">
        <v>2033</v>
      </c>
      <c r="E43" s="154" t="s">
        <v>2034</v>
      </c>
      <c r="F43" s="154"/>
      <c r="G43" s="163" t="s">
        <v>2035</v>
      </c>
      <c r="H43" s="362" t="s">
        <v>2036</v>
      </c>
      <c r="I43" s="98" t="s">
        <v>1555</v>
      </c>
      <c r="J43" s="88" t="s">
        <v>1556</v>
      </c>
      <c r="K43" s="88" t="s">
        <v>996</v>
      </c>
      <c r="L43" s="531">
        <v>45075</v>
      </c>
      <c r="M43" s="88" t="s">
        <v>1708</v>
      </c>
      <c r="N43" s="88" t="s">
        <v>1709</v>
      </c>
      <c r="O43" s="86">
        <v>5430</v>
      </c>
      <c r="P43" s="86"/>
      <c r="Q43" s="86"/>
      <c r="R43" s="408"/>
      <c r="S43" s="90"/>
      <c r="T43" s="90"/>
      <c r="U43" s="103"/>
      <c r="V43" s="103"/>
      <c r="W43" s="103"/>
      <c r="X43" s="103"/>
      <c r="Y43" s="103"/>
      <c r="Z43" s="103"/>
      <c r="AA43" s="103"/>
      <c r="AB43" s="103"/>
      <c r="AC43" s="103"/>
      <c r="AD43" s="103"/>
      <c r="AE43" s="103"/>
      <c r="AF43" s="103"/>
      <c r="AG43" s="103"/>
      <c r="AH43" s="103"/>
      <c r="AI43" s="103"/>
      <c r="AJ43" s="103"/>
      <c r="AK43" s="103"/>
    </row>
    <row r="44" spans="1:37" ht="15">
      <c r="A44" s="86" t="s">
        <v>2037</v>
      </c>
      <c r="B44" s="71" t="s">
        <v>1413</v>
      </c>
      <c r="C44" s="153" t="s">
        <v>2038</v>
      </c>
      <c r="D44" s="154" t="s">
        <v>2039</v>
      </c>
      <c r="E44" s="154" t="s">
        <v>2040</v>
      </c>
      <c r="F44" s="154"/>
      <c r="G44" s="163" t="s">
        <v>2041</v>
      </c>
      <c r="H44" s="165" t="s">
        <v>2042</v>
      </c>
      <c r="I44" s="86" t="s">
        <v>1555</v>
      </c>
      <c r="J44" s="88" t="s">
        <v>1556</v>
      </c>
      <c r="K44" s="88" t="s">
        <v>996</v>
      </c>
      <c r="L44" s="531">
        <v>45118</v>
      </c>
      <c r="M44" s="88" t="s">
        <v>1708</v>
      </c>
      <c r="N44" s="88" t="s">
        <v>1708</v>
      </c>
      <c r="O44" s="86">
        <v>3520</v>
      </c>
      <c r="P44" s="86"/>
      <c r="Q44" s="86"/>
      <c r="R44" s="408"/>
      <c r="S44" s="90"/>
      <c r="T44" s="90"/>
      <c r="U44" s="103"/>
      <c r="V44" s="103"/>
      <c r="W44" s="103"/>
      <c r="X44" s="103"/>
      <c r="Y44" s="103"/>
      <c r="Z44" s="103"/>
      <c r="AA44" s="103"/>
      <c r="AB44" s="103"/>
      <c r="AC44" s="103"/>
      <c r="AD44" s="103"/>
      <c r="AE44" s="103"/>
      <c r="AF44" s="103"/>
      <c r="AG44" s="103"/>
      <c r="AH44" s="103"/>
      <c r="AI44" s="103"/>
      <c r="AJ44" s="103"/>
      <c r="AK44" s="103"/>
    </row>
    <row r="45" spans="1:37" ht="14.25">
      <c r="A45" s="86"/>
      <c r="B45" s="71" t="s">
        <v>1408</v>
      </c>
      <c r="C45" s="153" t="s">
        <v>1824</v>
      </c>
      <c r="D45" s="154" t="s">
        <v>2043</v>
      </c>
      <c r="E45" s="154" t="s">
        <v>2044</v>
      </c>
      <c r="F45" s="154"/>
      <c r="G45" s="163" t="s">
        <v>2045</v>
      </c>
      <c r="H45" s="163" t="s">
        <v>2046</v>
      </c>
      <c r="I45" s="98" t="s">
        <v>1555</v>
      </c>
      <c r="J45" s="88" t="s">
        <v>1556</v>
      </c>
      <c r="K45" s="88" t="s">
        <v>996</v>
      </c>
      <c r="L45" s="531">
        <v>45124</v>
      </c>
      <c r="M45" s="88" t="s">
        <v>1708</v>
      </c>
      <c r="N45" s="88" t="s">
        <v>1708</v>
      </c>
      <c r="O45" s="86">
        <v>3520</v>
      </c>
      <c r="P45" s="86"/>
      <c r="Q45" s="86"/>
      <c r="R45" s="408"/>
      <c r="S45" s="90"/>
      <c r="T45" s="90"/>
      <c r="U45" s="103"/>
      <c r="V45" s="103"/>
      <c r="W45" s="103"/>
      <c r="X45" s="103"/>
      <c r="Y45" s="103"/>
      <c r="Z45" s="103"/>
      <c r="AA45" s="103"/>
      <c r="AB45" s="103"/>
      <c r="AC45" s="103"/>
      <c r="AD45" s="103"/>
      <c r="AE45" s="103"/>
      <c r="AF45" s="103"/>
      <c r="AG45" s="103"/>
      <c r="AH45" s="103"/>
      <c r="AI45" s="103"/>
      <c r="AJ45" s="103"/>
      <c r="AK45" s="103"/>
    </row>
    <row r="46" spans="1:37" ht="15.75" customHeight="1">
      <c r="A46" s="86">
        <f>Office_Resigned!A47+1</f>
        <v>44</v>
      </c>
      <c r="B46" s="71" t="s">
        <v>1311</v>
      </c>
      <c r="C46" s="153" t="s">
        <v>2047</v>
      </c>
      <c r="D46" s="90" t="s">
        <v>2048</v>
      </c>
      <c r="E46" s="154" t="s">
        <v>2049</v>
      </c>
      <c r="F46" s="90"/>
      <c r="G46" s="90" t="s">
        <v>2021</v>
      </c>
      <c r="H46" s="362" t="s">
        <v>2050</v>
      </c>
      <c r="I46" s="98" t="s">
        <v>1555</v>
      </c>
      <c r="J46" s="88" t="s">
        <v>1556</v>
      </c>
      <c r="K46" s="88" t="s">
        <v>996</v>
      </c>
      <c r="L46" s="409">
        <v>45180</v>
      </c>
      <c r="M46" s="88" t="s">
        <v>1708</v>
      </c>
      <c r="N46" s="88" t="s">
        <v>1708</v>
      </c>
      <c r="O46" s="86">
        <v>5430</v>
      </c>
      <c r="P46" s="86" t="s">
        <v>1674</v>
      </c>
      <c r="Q46" s="86" t="s">
        <v>1674</v>
      </c>
      <c r="R46" s="408"/>
      <c r="S46" s="90"/>
      <c r="T46" s="90"/>
      <c r="U46" s="103"/>
      <c r="V46" s="103"/>
      <c r="W46" s="103"/>
      <c r="X46" s="103"/>
      <c r="Y46" s="103"/>
      <c r="Z46" s="103"/>
      <c r="AA46" s="103"/>
      <c r="AB46" s="103"/>
      <c r="AC46" s="103"/>
      <c r="AD46" s="103"/>
      <c r="AE46" s="103"/>
      <c r="AF46" s="103"/>
      <c r="AG46" s="103"/>
      <c r="AH46" s="103"/>
      <c r="AI46" s="103"/>
      <c r="AJ46" s="103"/>
      <c r="AK46" s="103"/>
    </row>
    <row r="47" spans="1:37" ht="15.75" customHeight="1">
      <c r="A47" s="86">
        <f>VN_Emails!A42+1</f>
        <v>43</v>
      </c>
      <c r="B47" s="81" t="s">
        <v>971</v>
      </c>
      <c r="C47" s="153"/>
      <c r="D47" s="154" t="s">
        <v>2051</v>
      </c>
      <c r="E47" s="154" t="s">
        <v>2052</v>
      </c>
      <c r="F47" s="154"/>
      <c r="G47" s="165" t="s">
        <v>1718</v>
      </c>
      <c r="H47" s="362" t="s">
        <v>1444</v>
      </c>
      <c r="I47" s="98" t="s">
        <v>1730</v>
      </c>
      <c r="J47" s="88" t="s">
        <v>1556</v>
      </c>
      <c r="K47" s="88" t="s">
        <v>996</v>
      </c>
      <c r="L47" s="531">
        <v>45176</v>
      </c>
      <c r="M47" s="88" t="s">
        <v>1730</v>
      </c>
      <c r="N47" s="86" t="s">
        <v>1689</v>
      </c>
      <c r="O47" s="86" t="s">
        <v>1731</v>
      </c>
      <c r="P47" s="86"/>
      <c r="Q47" s="86"/>
      <c r="R47" s="408"/>
      <c r="S47" s="90"/>
      <c r="T47" s="90"/>
      <c r="U47" s="103"/>
      <c r="V47" s="103"/>
      <c r="W47" s="103"/>
      <c r="X47" s="103"/>
      <c r="Y47" s="103"/>
      <c r="Z47" s="103"/>
      <c r="AA47" s="103"/>
      <c r="AB47" s="103"/>
      <c r="AC47" s="103"/>
      <c r="AD47" s="103"/>
      <c r="AE47" s="103"/>
      <c r="AF47" s="103"/>
      <c r="AG47" s="103"/>
      <c r="AH47" s="103"/>
      <c r="AI47" s="103"/>
      <c r="AJ47" s="103"/>
      <c r="AK47" s="103"/>
    </row>
    <row r="48" spans="1:37" ht="15.75" customHeight="1">
      <c r="A48" s="86">
        <f>Office_Resigned!A64+1</f>
        <v>20</v>
      </c>
      <c r="B48" s="86"/>
      <c r="C48" s="153" t="s">
        <v>2053</v>
      </c>
      <c r="D48" s="154" t="s">
        <v>2054</v>
      </c>
      <c r="E48" s="154" t="s">
        <v>2055</v>
      </c>
      <c r="F48" s="154"/>
      <c r="G48" s="154"/>
      <c r="H48" s="362" t="s">
        <v>1629</v>
      </c>
      <c r="I48" s="86" t="s">
        <v>1555</v>
      </c>
      <c r="J48" s="88" t="s">
        <v>1556</v>
      </c>
      <c r="K48" s="88" t="s">
        <v>996</v>
      </c>
      <c r="L48" s="529">
        <v>44980</v>
      </c>
      <c r="M48" s="88" t="s">
        <v>1674</v>
      </c>
      <c r="N48" s="88" t="s">
        <v>1674</v>
      </c>
      <c r="O48" s="86">
        <v>3520</v>
      </c>
      <c r="P48" s="86" t="s">
        <v>1674</v>
      </c>
      <c r="Q48" s="86" t="s">
        <v>1674</v>
      </c>
      <c r="R48" s="408"/>
      <c r="S48" s="90"/>
      <c r="T48" s="90"/>
      <c r="U48" s="103"/>
      <c r="V48" s="103"/>
      <c r="W48" s="103"/>
      <c r="X48" s="103"/>
      <c r="Y48" s="103"/>
      <c r="Z48" s="103"/>
      <c r="AA48" s="103"/>
      <c r="AB48" s="103"/>
      <c r="AC48" s="103"/>
      <c r="AD48" s="103"/>
      <c r="AE48" s="103"/>
      <c r="AF48" s="103"/>
      <c r="AG48" s="103"/>
      <c r="AH48" s="103"/>
      <c r="AI48" s="103"/>
      <c r="AJ48" s="103"/>
      <c r="AK48" s="103"/>
    </row>
    <row r="49" spans="1:37" ht="15.75" customHeight="1">
      <c r="A49" s="86">
        <f>VN_Emails!A28+1</f>
        <v>29</v>
      </c>
      <c r="B49" s="71" t="s">
        <v>1040</v>
      </c>
      <c r="C49" s="153" t="s">
        <v>2056</v>
      </c>
      <c r="D49" s="154" t="s">
        <v>2057</v>
      </c>
      <c r="E49" s="154" t="s">
        <v>2058</v>
      </c>
      <c r="F49" s="154"/>
      <c r="G49" s="154"/>
      <c r="H49" s="362" t="s">
        <v>2059</v>
      </c>
      <c r="I49" s="86" t="s">
        <v>1555</v>
      </c>
      <c r="J49" s="88" t="s">
        <v>1556</v>
      </c>
      <c r="K49" s="88" t="s">
        <v>996</v>
      </c>
      <c r="L49" s="529"/>
      <c r="M49" s="88"/>
      <c r="N49" s="88"/>
      <c r="O49" s="86"/>
      <c r="P49" s="86"/>
      <c r="Q49" s="86"/>
      <c r="R49" s="408"/>
      <c r="S49" s="90" t="s">
        <v>1630</v>
      </c>
      <c r="T49" s="90"/>
      <c r="U49" s="103"/>
      <c r="V49" s="103"/>
      <c r="W49" s="103"/>
      <c r="X49" s="103"/>
      <c r="Y49" s="103"/>
      <c r="Z49" s="103"/>
      <c r="AA49" s="103"/>
      <c r="AB49" s="103"/>
      <c r="AC49" s="103"/>
      <c r="AD49" s="103"/>
      <c r="AE49" s="103"/>
      <c r="AF49" s="103"/>
      <c r="AG49" s="103"/>
      <c r="AH49" s="103"/>
      <c r="AI49" s="103"/>
      <c r="AJ49" s="103"/>
      <c r="AK49" s="103"/>
    </row>
    <row r="50" spans="1:37" ht="15.75" customHeight="1">
      <c r="A50" s="86">
        <f>VN_Emails!A33+1</f>
        <v>34</v>
      </c>
      <c r="B50" s="71" t="s">
        <v>1343</v>
      </c>
      <c r="C50" s="153" t="s">
        <v>2060</v>
      </c>
      <c r="D50" s="154" t="s">
        <v>2061</v>
      </c>
      <c r="E50" s="154" t="s">
        <v>2062</v>
      </c>
      <c r="F50" s="154"/>
      <c r="G50" s="84" t="s">
        <v>157</v>
      </c>
      <c r="H50" s="101" t="s">
        <v>2063</v>
      </c>
      <c r="I50" s="98" t="s">
        <v>1555</v>
      </c>
      <c r="J50" s="88" t="s">
        <v>1556</v>
      </c>
      <c r="K50" s="88" t="s">
        <v>996</v>
      </c>
      <c r="L50" s="533">
        <v>45026</v>
      </c>
      <c r="M50" s="87" t="s">
        <v>1674</v>
      </c>
      <c r="N50" s="87" t="s">
        <v>1674</v>
      </c>
      <c r="O50" s="98">
        <v>5430</v>
      </c>
      <c r="P50" s="98"/>
      <c r="Q50" s="98"/>
      <c r="R50" s="534"/>
      <c r="S50" s="89"/>
      <c r="T50" s="90"/>
      <c r="U50" s="103"/>
      <c r="V50" s="103"/>
      <c r="W50" s="103"/>
      <c r="X50" s="103"/>
      <c r="Y50" s="103"/>
      <c r="Z50" s="103"/>
      <c r="AA50" s="103"/>
      <c r="AB50" s="103"/>
      <c r="AC50" s="103"/>
      <c r="AD50" s="103"/>
      <c r="AE50" s="103"/>
      <c r="AF50" s="103"/>
      <c r="AG50" s="103"/>
      <c r="AH50" s="103"/>
      <c r="AI50" s="103"/>
      <c r="AJ50" s="103"/>
      <c r="AK50" s="103"/>
    </row>
    <row r="51" spans="1:37" ht="40.5" customHeight="1">
      <c r="A51" s="86">
        <f>Office_Resigned!A57+1</f>
        <v>19</v>
      </c>
      <c r="B51" s="71" t="s">
        <v>1111</v>
      </c>
      <c r="C51" s="153" t="s">
        <v>2064</v>
      </c>
      <c r="D51" s="154" t="s">
        <v>2065</v>
      </c>
      <c r="E51" s="154" t="s">
        <v>2066</v>
      </c>
      <c r="F51" s="154"/>
      <c r="G51" s="154"/>
      <c r="H51" s="362" t="s">
        <v>2067</v>
      </c>
      <c r="I51" s="86" t="s">
        <v>1555</v>
      </c>
      <c r="J51" s="88" t="s">
        <v>1556</v>
      </c>
      <c r="K51" s="88" t="s">
        <v>996</v>
      </c>
      <c r="L51" s="529"/>
      <c r="M51" s="88"/>
      <c r="N51" s="88"/>
      <c r="O51" s="86"/>
      <c r="P51" s="86"/>
      <c r="Q51" s="86"/>
      <c r="R51" s="408"/>
      <c r="S51" s="90" t="s">
        <v>1573</v>
      </c>
      <c r="T51" s="90"/>
      <c r="U51" s="103"/>
      <c r="V51" s="103"/>
      <c r="W51" s="103"/>
      <c r="X51" s="103"/>
      <c r="Y51" s="103"/>
      <c r="Z51" s="103"/>
      <c r="AA51" s="103"/>
      <c r="AB51" s="103"/>
      <c r="AC51" s="103"/>
      <c r="AD51" s="103"/>
      <c r="AE51" s="103"/>
      <c r="AF51" s="103"/>
      <c r="AG51" s="103"/>
      <c r="AH51" s="103"/>
      <c r="AI51" s="103"/>
      <c r="AJ51" s="103"/>
      <c r="AK51" s="103"/>
    </row>
    <row r="52" spans="1:37" ht="15.75" customHeight="1">
      <c r="A52" s="86">
        <f>VN_Emails!A41+1</f>
        <v>42</v>
      </c>
      <c r="B52" s="71" t="s">
        <v>1427</v>
      </c>
      <c r="C52" s="153" t="s">
        <v>2068</v>
      </c>
      <c r="D52" s="154" t="s">
        <v>2069</v>
      </c>
      <c r="E52" s="154" t="s">
        <v>2070</v>
      </c>
      <c r="F52" s="154" t="s">
        <v>2071</v>
      </c>
      <c r="G52" s="163" t="s">
        <v>1746</v>
      </c>
      <c r="H52" s="163" t="s">
        <v>1584</v>
      </c>
      <c r="I52" s="98" t="s">
        <v>1555</v>
      </c>
      <c r="J52" s="88" t="s">
        <v>1556</v>
      </c>
      <c r="K52" s="88" t="s">
        <v>996</v>
      </c>
      <c r="L52" s="531">
        <v>45159</v>
      </c>
      <c r="M52" s="88" t="s">
        <v>1708</v>
      </c>
      <c r="N52" s="88" t="s">
        <v>1708</v>
      </c>
      <c r="O52" s="86">
        <v>3520</v>
      </c>
      <c r="P52" s="86" t="s">
        <v>1674</v>
      </c>
      <c r="Q52" s="86" t="s">
        <v>1674</v>
      </c>
      <c r="R52" s="408"/>
      <c r="S52" s="90"/>
      <c r="T52" s="90"/>
      <c r="U52" s="103"/>
      <c r="V52" s="103"/>
      <c r="W52" s="103"/>
      <c r="X52" s="103"/>
      <c r="Y52" s="103"/>
      <c r="Z52" s="103"/>
      <c r="AA52" s="103"/>
      <c r="AB52" s="103"/>
      <c r="AC52" s="103"/>
      <c r="AD52" s="103"/>
      <c r="AE52" s="103"/>
      <c r="AF52" s="103"/>
      <c r="AG52" s="103"/>
      <c r="AH52" s="103"/>
      <c r="AI52" s="103"/>
      <c r="AJ52" s="103"/>
      <c r="AK52" s="103"/>
    </row>
    <row r="53" spans="1:37" ht="15.75" customHeight="1">
      <c r="A53" s="86">
        <f>VN_Emails!A54+1</f>
        <v>55</v>
      </c>
      <c r="B53" s="479" t="s">
        <v>1413</v>
      </c>
      <c r="C53" s="164" t="s">
        <v>2072</v>
      </c>
      <c r="D53" s="90" t="s">
        <v>2073</v>
      </c>
      <c r="E53" s="90" t="s">
        <v>2074</v>
      </c>
      <c r="F53" s="90"/>
      <c r="G53" s="90" t="s">
        <v>2041</v>
      </c>
      <c r="H53" s="74" t="s">
        <v>2075</v>
      </c>
      <c r="I53" s="86" t="s">
        <v>1802</v>
      </c>
      <c r="J53" s="88" t="s">
        <v>1556</v>
      </c>
      <c r="K53" s="88" t="s">
        <v>996</v>
      </c>
      <c r="L53" s="409">
        <v>45453</v>
      </c>
      <c r="M53" s="88" t="s">
        <v>1708</v>
      </c>
      <c r="N53" s="88"/>
      <c r="O53" s="86"/>
      <c r="P53" s="86"/>
      <c r="Q53" s="86"/>
      <c r="R53" s="408"/>
      <c r="S53" s="90"/>
      <c r="T53" s="90"/>
      <c r="U53" s="103"/>
      <c r="V53" s="103"/>
      <c r="W53" s="103"/>
      <c r="X53" s="103"/>
      <c r="Y53" s="103"/>
      <c r="Z53" s="103"/>
      <c r="AA53" s="103"/>
      <c r="AB53" s="103"/>
      <c r="AC53" s="103"/>
      <c r="AD53" s="103"/>
      <c r="AE53" s="103"/>
      <c r="AF53" s="103"/>
      <c r="AG53" s="103"/>
      <c r="AH53" s="103"/>
      <c r="AI53" s="103"/>
      <c r="AJ53" s="103"/>
      <c r="AK53" s="103"/>
    </row>
    <row r="54" spans="1:37" ht="15.75" customHeight="1">
      <c r="A54" s="86">
        <v>19</v>
      </c>
      <c r="B54" s="71" t="s">
        <v>1321</v>
      </c>
      <c r="C54" s="153" t="s">
        <v>2076</v>
      </c>
      <c r="D54" s="154" t="s">
        <v>2077</v>
      </c>
      <c r="E54" s="154" t="s">
        <v>2078</v>
      </c>
      <c r="F54" s="154"/>
      <c r="G54" s="154" t="s">
        <v>1687</v>
      </c>
      <c r="H54" s="362" t="s">
        <v>1601</v>
      </c>
      <c r="I54" s="86" t="s">
        <v>1555</v>
      </c>
      <c r="J54" s="88" t="s">
        <v>1556</v>
      </c>
      <c r="K54" s="88" t="s">
        <v>996</v>
      </c>
      <c r="L54" s="529">
        <v>44986</v>
      </c>
      <c r="M54" s="88" t="s">
        <v>1674</v>
      </c>
      <c r="N54" s="88" t="s">
        <v>1674</v>
      </c>
      <c r="O54" s="86">
        <v>3520</v>
      </c>
      <c r="P54" s="86" t="s">
        <v>1674</v>
      </c>
      <c r="Q54" s="86" t="s">
        <v>1674</v>
      </c>
      <c r="R54" s="423" t="s">
        <v>2079</v>
      </c>
      <c r="S54" s="90"/>
      <c r="T54" s="90"/>
      <c r="U54" s="103"/>
      <c r="V54" s="103"/>
      <c r="W54" s="103"/>
      <c r="X54" s="103"/>
      <c r="Y54" s="103"/>
      <c r="Z54" s="103"/>
      <c r="AA54" s="103"/>
      <c r="AB54" s="103"/>
      <c r="AC54" s="103"/>
      <c r="AD54" s="103"/>
      <c r="AE54" s="103"/>
      <c r="AF54" s="103"/>
      <c r="AG54" s="103"/>
      <c r="AH54" s="103"/>
      <c r="AI54" s="103"/>
      <c r="AJ54" s="103"/>
      <c r="AK54" s="103"/>
    </row>
    <row r="55" spans="1:37" ht="15.75" customHeight="1">
      <c r="A55" s="86" t="e">
        <f>VN_Emails!#REF!+1</f>
        <v>#REF!</v>
      </c>
      <c r="B55" s="489" t="s">
        <v>1040</v>
      </c>
      <c r="C55" s="162" t="s">
        <v>2080</v>
      </c>
      <c r="D55" s="90" t="s">
        <v>2081</v>
      </c>
      <c r="E55" s="90" t="s">
        <v>2082</v>
      </c>
      <c r="F55" s="90"/>
      <c r="G55" s="90" t="s">
        <v>2083</v>
      </c>
      <c r="H55" s="90" t="s">
        <v>2084</v>
      </c>
      <c r="I55" s="86" t="s">
        <v>1555</v>
      </c>
      <c r="J55" s="88" t="s">
        <v>1556</v>
      </c>
      <c r="K55" s="88" t="s">
        <v>996</v>
      </c>
      <c r="L55" s="409">
        <v>45484</v>
      </c>
      <c r="M55" s="88" t="s">
        <v>1708</v>
      </c>
      <c r="N55" s="88"/>
      <c r="O55" s="86"/>
      <c r="P55" s="86"/>
      <c r="Q55" s="86"/>
      <c r="R55" s="408"/>
      <c r="S55" s="90"/>
      <c r="T55" s="90"/>
      <c r="U55" s="103"/>
      <c r="V55" s="103"/>
      <c r="W55" s="103"/>
      <c r="X55" s="103"/>
      <c r="Y55" s="103"/>
      <c r="Z55" s="103"/>
      <c r="AA55" s="103"/>
      <c r="AB55" s="103"/>
      <c r="AC55" s="103"/>
      <c r="AD55" s="103"/>
      <c r="AE55" s="103"/>
      <c r="AF55" s="103"/>
      <c r="AG55" s="103"/>
      <c r="AH55" s="103"/>
      <c r="AI55" s="103"/>
      <c r="AJ55" s="103"/>
      <c r="AK55" s="103"/>
    </row>
    <row r="56" spans="1:37" ht="15.75" customHeight="1">
      <c r="A56" s="86">
        <f>VN_Emails!A20+1</f>
        <v>21</v>
      </c>
      <c r="B56" s="71" t="s">
        <v>1329</v>
      </c>
      <c r="C56" s="153" t="s">
        <v>2085</v>
      </c>
      <c r="D56" s="154" t="s">
        <v>2086</v>
      </c>
      <c r="E56" s="154" t="s">
        <v>2087</v>
      </c>
      <c r="F56" s="154"/>
      <c r="G56" s="154"/>
      <c r="H56" s="362" t="s">
        <v>2088</v>
      </c>
      <c r="I56" s="86" t="s">
        <v>1555</v>
      </c>
      <c r="J56" s="88" t="s">
        <v>1556</v>
      </c>
      <c r="K56" s="88" t="s">
        <v>996</v>
      </c>
      <c r="L56" s="529">
        <v>45596</v>
      </c>
      <c r="M56" s="88"/>
      <c r="N56" s="88"/>
      <c r="O56" s="86"/>
      <c r="P56" s="86"/>
      <c r="Q56" s="86"/>
      <c r="R56" s="408"/>
      <c r="S56" s="90" t="s">
        <v>1630</v>
      </c>
      <c r="T56" s="90"/>
      <c r="U56" s="103"/>
      <c r="V56" s="103"/>
      <c r="W56" s="103"/>
      <c r="X56" s="103"/>
      <c r="Y56" s="103"/>
      <c r="Z56" s="103"/>
      <c r="AA56" s="103"/>
      <c r="AB56" s="103"/>
      <c r="AC56" s="103"/>
      <c r="AD56" s="103"/>
      <c r="AE56" s="103"/>
      <c r="AF56" s="103"/>
      <c r="AG56" s="103"/>
      <c r="AH56" s="103"/>
      <c r="AI56" s="103"/>
      <c r="AJ56" s="103"/>
      <c r="AK56" s="103"/>
    </row>
    <row r="57" spans="1:37" ht="15.75" customHeight="1">
      <c r="A57" s="86">
        <v>18</v>
      </c>
      <c r="B57" s="28" t="s">
        <v>1458</v>
      </c>
      <c r="C57" s="153" t="s">
        <v>2089</v>
      </c>
      <c r="D57" s="154" t="s">
        <v>2090</v>
      </c>
      <c r="E57" s="154" t="s">
        <v>2091</v>
      </c>
      <c r="F57" s="154"/>
      <c r="G57" s="154"/>
      <c r="H57" s="362" t="s">
        <v>1621</v>
      </c>
      <c r="I57" s="86" t="s">
        <v>1555</v>
      </c>
      <c r="J57" s="88" t="s">
        <v>1556</v>
      </c>
      <c r="K57" s="88" t="s">
        <v>996</v>
      </c>
      <c r="L57" s="529">
        <v>45597</v>
      </c>
      <c r="M57" s="88"/>
      <c r="N57" s="88"/>
      <c r="O57" s="86"/>
      <c r="P57" s="86"/>
      <c r="Q57" s="86"/>
      <c r="R57" s="408"/>
      <c r="S57" s="90" t="s">
        <v>1630</v>
      </c>
      <c r="T57" s="90"/>
      <c r="U57" s="103"/>
      <c r="V57" s="103"/>
      <c r="W57" s="103"/>
      <c r="X57" s="103"/>
      <c r="Y57" s="103"/>
      <c r="Z57" s="103"/>
      <c r="AA57" s="103"/>
      <c r="AB57" s="103"/>
      <c r="AC57" s="103"/>
      <c r="AD57" s="103"/>
      <c r="AE57" s="103"/>
      <c r="AF57" s="103"/>
      <c r="AG57" s="103"/>
      <c r="AH57" s="103"/>
      <c r="AI57" s="103"/>
      <c r="AJ57" s="103"/>
      <c r="AK57" s="103"/>
    </row>
    <row r="58" spans="1:37" ht="29.25" customHeight="1">
      <c r="A58" s="86">
        <v>19</v>
      </c>
      <c r="B58" s="28" t="s">
        <v>1463</v>
      </c>
      <c r="C58" s="90" t="s">
        <v>2092</v>
      </c>
      <c r="D58" s="74" t="s">
        <v>2093</v>
      </c>
      <c r="E58" s="74" t="s">
        <v>2093</v>
      </c>
      <c r="F58" s="90"/>
      <c r="G58" s="90" t="s">
        <v>2094</v>
      </c>
      <c r="H58" s="90" t="s">
        <v>2094</v>
      </c>
      <c r="I58" s="88" t="s">
        <v>1802</v>
      </c>
      <c r="J58" s="88" t="s">
        <v>1556</v>
      </c>
      <c r="K58" s="88" t="s">
        <v>996</v>
      </c>
      <c r="L58" s="537">
        <v>45590</v>
      </c>
      <c r="M58" s="86"/>
      <c r="N58" s="88"/>
      <c r="O58" s="88"/>
      <c r="P58" s="86"/>
      <c r="Q58" s="86"/>
      <c r="R58" s="90"/>
      <c r="S58" s="90"/>
      <c r="T58" s="90"/>
      <c r="U58" s="103"/>
      <c r="V58" s="103"/>
      <c r="W58" s="103"/>
      <c r="X58" s="103"/>
      <c r="Y58" s="103"/>
      <c r="Z58" s="103"/>
      <c r="AA58" s="103"/>
      <c r="AB58" s="103"/>
      <c r="AC58" s="103"/>
      <c r="AD58" s="103"/>
      <c r="AE58" s="103"/>
      <c r="AF58" s="103"/>
      <c r="AG58" s="103"/>
      <c r="AH58" s="103"/>
      <c r="AI58" s="103"/>
      <c r="AJ58" s="103"/>
      <c r="AK58" s="103"/>
    </row>
    <row r="59" spans="1:37" ht="15.75" customHeight="1">
      <c r="A59" s="86">
        <v>1</v>
      </c>
      <c r="B59" s="71" t="s">
        <v>994</v>
      </c>
      <c r="C59" s="153" t="s">
        <v>2095</v>
      </c>
      <c r="D59" s="154" t="s">
        <v>2096</v>
      </c>
      <c r="E59" s="154" t="s">
        <v>2096</v>
      </c>
      <c r="F59" s="154" t="s">
        <v>2097</v>
      </c>
      <c r="G59" s="154" t="s">
        <v>2098</v>
      </c>
      <c r="H59" s="362" t="s">
        <v>2099</v>
      </c>
      <c r="I59" s="86" t="s">
        <v>1555</v>
      </c>
      <c r="J59" s="88" t="s">
        <v>1556</v>
      </c>
      <c r="K59" s="88" t="s">
        <v>996</v>
      </c>
      <c r="L59" s="529"/>
      <c r="M59" s="88"/>
      <c r="N59" s="88"/>
      <c r="O59" s="86"/>
      <c r="P59" s="86"/>
      <c r="Q59" s="86"/>
      <c r="R59" s="408"/>
      <c r="S59" s="90" t="s">
        <v>2100</v>
      </c>
      <c r="T59" s="90"/>
      <c r="U59" s="90"/>
      <c r="V59" s="90"/>
      <c r="W59" s="90"/>
      <c r="X59" s="90"/>
      <c r="Y59" s="90"/>
      <c r="Z59" s="90"/>
      <c r="AA59" s="90"/>
      <c r="AB59" s="90"/>
      <c r="AC59" s="90"/>
      <c r="AD59" s="90"/>
      <c r="AE59" s="90"/>
      <c r="AF59" s="90"/>
      <c r="AG59" s="90"/>
      <c r="AH59" s="90"/>
      <c r="AI59" s="90"/>
      <c r="AJ59" s="90"/>
      <c r="AK59" s="90"/>
    </row>
    <row r="60" spans="1:37" ht="15.75" customHeight="1">
      <c r="A60" s="111">
        <f>VN_Emails!A81+1</f>
        <v>11</v>
      </c>
      <c r="B60" s="138" t="s">
        <v>1139</v>
      </c>
      <c r="C60" s="183" t="s">
        <v>2101</v>
      </c>
      <c r="D60" s="410" t="s">
        <v>2102</v>
      </c>
      <c r="E60" s="410" t="s">
        <v>2103</v>
      </c>
      <c r="F60" s="410"/>
      <c r="G60" s="410" t="s">
        <v>1800</v>
      </c>
      <c r="H60" s="411" t="s">
        <v>1926</v>
      </c>
      <c r="I60" s="412" t="s">
        <v>1555</v>
      </c>
      <c r="J60" s="413" t="s">
        <v>1556</v>
      </c>
      <c r="K60" s="413" t="s">
        <v>996</v>
      </c>
      <c r="L60" s="414">
        <v>45257</v>
      </c>
      <c r="M60" s="413" t="s">
        <v>1774</v>
      </c>
      <c r="N60" s="413" t="s">
        <v>1775</v>
      </c>
      <c r="O60" s="412" t="s">
        <v>1757</v>
      </c>
      <c r="P60" s="412"/>
      <c r="Q60" s="412"/>
      <c r="R60" s="415" t="s">
        <v>2104</v>
      </c>
      <c r="S60" s="90"/>
      <c r="T60" s="103"/>
      <c r="U60" s="103"/>
      <c r="V60" s="103"/>
      <c r="W60" s="103"/>
      <c r="X60" s="103"/>
      <c r="Y60" s="103"/>
      <c r="Z60" s="103"/>
      <c r="AA60" s="103"/>
      <c r="AB60" s="103"/>
      <c r="AC60" s="103"/>
      <c r="AD60" s="103"/>
      <c r="AE60" s="103"/>
      <c r="AF60" s="103"/>
      <c r="AG60" s="103"/>
      <c r="AH60" s="103"/>
      <c r="AI60" s="103"/>
      <c r="AJ60" s="103"/>
      <c r="AK60" s="103"/>
    </row>
    <row r="61" spans="1:37" ht="15.75" customHeight="1">
      <c r="A61" s="111">
        <v>26</v>
      </c>
      <c r="B61" s="138" t="s">
        <v>1403</v>
      </c>
      <c r="C61" s="155" t="s">
        <v>2105</v>
      </c>
      <c r="D61" s="156" t="s">
        <v>2106</v>
      </c>
      <c r="E61" s="156" t="s">
        <v>883</v>
      </c>
      <c r="F61" s="156"/>
      <c r="G61" s="560" t="s">
        <v>2107</v>
      </c>
      <c r="H61" s="560" t="s">
        <v>2108</v>
      </c>
      <c r="I61" s="419" t="s">
        <v>1555</v>
      </c>
      <c r="J61" s="166" t="s">
        <v>1556</v>
      </c>
      <c r="K61" s="166" t="s">
        <v>996</v>
      </c>
      <c r="L61" s="561">
        <v>45110</v>
      </c>
      <c r="M61" s="166" t="s">
        <v>1708</v>
      </c>
      <c r="N61" s="166" t="s">
        <v>1708</v>
      </c>
      <c r="O61" s="112">
        <v>3520</v>
      </c>
      <c r="P61" s="112"/>
      <c r="Q61" s="111"/>
      <c r="R61" s="405"/>
      <c r="S61" s="406"/>
      <c r="T61" s="103"/>
      <c r="U61" s="103"/>
      <c r="V61" s="103"/>
      <c r="W61" s="103"/>
      <c r="X61" s="103"/>
      <c r="Y61" s="103"/>
      <c r="Z61" s="103"/>
      <c r="AA61" s="103"/>
      <c r="AB61" s="103"/>
      <c r="AC61" s="103"/>
      <c r="AD61" s="103"/>
      <c r="AE61" s="103"/>
      <c r="AF61" s="103"/>
      <c r="AG61" s="103"/>
      <c r="AH61" s="103"/>
      <c r="AI61" s="103"/>
      <c r="AJ61" s="103"/>
      <c r="AK61" s="103"/>
    </row>
    <row r="62" spans="1:37" ht="15.75" customHeight="1">
      <c r="A62" s="103"/>
      <c r="B62" s="28" t="s">
        <v>1463</v>
      </c>
      <c r="C62" s="558" t="s">
        <v>2109</v>
      </c>
      <c r="D62" s="90" t="s">
        <v>2110</v>
      </c>
      <c r="E62" s="90" t="s">
        <v>2111</v>
      </c>
      <c r="F62" s="90"/>
      <c r="G62" s="90" t="s">
        <v>2112</v>
      </c>
      <c r="H62" s="90" t="s">
        <v>1800</v>
      </c>
      <c r="I62" s="362" t="s">
        <v>1802</v>
      </c>
      <c r="J62" s="86" t="s">
        <v>1556</v>
      </c>
      <c r="K62" s="88" t="s">
        <v>996</v>
      </c>
      <c r="L62" s="559">
        <v>45624</v>
      </c>
      <c r="M62" s="88" t="s">
        <v>1708</v>
      </c>
      <c r="N62" s="88" t="s">
        <v>1708</v>
      </c>
      <c r="O62" s="86" t="s">
        <v>1757</v>
      </c>
      <c r="P62" s="86"/>
      <c r="Q62" s="407"/>
      <c r="R62" s="103"/>
      <c r="S62" s="103"/>
      <c r="T62" s="103"/>
      <c r="U62" s="103"/>
      <c r="V62" s="103"/>
      <c r="W62" s="103"/>
      <c r="X62" s="103"/>
      <c r="Y62" s="103"/>
      <c r="Z62" s="103"/>
      <c r="AA62" s="103"/>
      <c r="AB62" s="103"/>
      <c r="AC62" s="103"/>
      <c r="AD62" s="103"/>
      <c r="AE62" s="103"/>
      <c r="AF62" s="103"/>
      <c r="AG62" s="103"/>
      <c r="AH62" s="103"/>
      <c r="AI62" s="103"/>
      <c r="AJ62" s="103"/>
      <c r="AK62" s="103"/>
    </row>
    <row r="63" spans="1:37" ht="15.75" customHeight="1">
      <c r="A63" s="86">
        <v>25</v>
      </c>
      <c r="B63" s="71" t="s">
        <v>1008</v>
      </c>
      <c r="C63" s="153" t="s">
        <v>2113</v>
      </c>
      <c r="D63" s="154" t="s">
        <v>2114</v>
      </c>
      <c r="E63" s="154" t="s">
        <v>2115</v>
      </c>
      <c r="F63" s="154"/>
      <c r="G63" s="163" t="s">
        <v>2116</v>
      </c>
      <c r="H63" s="163" t="s">
        <v>1584</v>
      </c>
      <c r="I63" s="98" t="s">
        <v>1555</v>
      </c>
      <c r="J63" s="88" t="s">
        <v>1556</v>
      </c>
      <c r="K63" s="88" t="s">
        <v>996</v>
      </c>
      <c r="L63" s="531">
        <v>45110</v>
      </c>
      <c r="M63" s="88" t="s">
        <v>1708</v>
      </c>
      <c r="N63" s="88" t="s">
        <v>1708</v>
      </c>
      <c r="O63" s="86"/>
      <c r="P63" s="86"/>
      <c r="Q63" s="86"/>
      <c r="R63" s="408"/>
      <c r="S63" s="90"/>
      <c r="T63" s="90"/>
      <c r="U63" s="90"/>
      <c r="V63" s="90"/>
      <c r="W63" s="90"/>
      <c r="X63" s="90"/>
      <c r="Y63" s="90"/>
      <c r="Z63" s="90"/>
      <c r="AA63" s="90"/>
      <c r="AB63" s="90"/>
      <c r="AC63" s="90"/>
      <c r="AD63" s="90"/>
      <c r="AE63" s="90"/>
      <c r="AF63" s="90"/>
      <c r="AG63" s="90"/>
      <c r="AH63" s="90"/>
      <c r="AI63" s="90"/>
      <c r="AJ63" s="90"/>
      <c r="AK63" s="90"/>
    </row>
    <row r="64" spans="1:37" ht="15.75" customHeight="1">
      <c r="A64" s="86">
        <f>Office_Resigned!A57+1</f>
        <v>19</v>
      </c>
      <c r="B64" s="71" t="s">
        <v>1262</v>
      </c>
      <c r="C64" s="153" t="s">
        <v>2117</v>
      </c>
      <c r="D64" s="154" t="s">
        <v>2118</v>
      </c>
      <c r="E64" s="154" t="s">
        <v>2119</v>
      </c>
      <c r="F64" s="154"/>
      <c r="G64" s="154"/>
      <c r="H64" s="362" t="s">
        <v>2120</v>
      </c>
      <c r="I64" s="86" t="s">
        <v>1555</v>
      </c>
      <c r="J64" s="88" t="s">
        <v>1556</v>
      </c>
      <c r="K64" s="88" t="s">
        <v>996</v>
      </c>
      <c r="L64" s="529"/>
      <c r="M64" s="88"/>
      <c r="N64" s="88"/>
      <c r="O64" s="86"/>
      <c r="P64" s="86"/>
      <c r="Q64" s="86"/>
      <c r="R64" s="408"/>
      <c r="S64" s="90" t="s">
        <v>1585</v>
      </c>
      <c r="T64" s="90"/>
      <c r="U64" s="90"/>
      <c r="V64" s="90"/>
      <c r="W64" s="90"/>
      <c r="X64" s="90"/>
      <c r="Y64" s="90"/>
      <c r="Z64" s="90"/>
      <c r="AA64" s="90"/>
      <c r="AB64" s="90"/>
      <c r="AC64" s="90"/>
      <c r="AD64" s="90"/>
      <c r="AE64" s="90"/>
      <c r="AF64" s="90"/>
      <c r="AG64" s="90"/>
      <c r="AH64" s="90"/>
      <c r="AI64" s="90"/>
      <c r="AJ64" s="90"/>
      <c r="AK64" s="90"/>
    </row>
    <row r="65" spans="1:38" ht="15.75" customHeight="1">
      <c r="A65" s="86">
        <v>3</v>
      </c>
      <c r="B65" s="71" t="s">
        <v>1123</v>
      </c>
      <c r="C65" s="153" t="s">
        <v>2121</v>
      </c>
      <c r="D65" s="154" t="s">
        <v>2122</v>
      </c>
      <c r="E65" s="154" t="s">
        <v>2123</v>
      </c>
      <c r="F65" s="154" t="s">
        <v>2124</v>
      </c>
      <c r="G65" s="154"/>
      <c r="H65" s="362" t="s">
        <v>2125</v>
      </c>
      <c r="I65" s="86" t="s">
        <v>1555</v>
      </c>
      <c r="J65" s="88" t="s">
        <v>1556</v>
      </c>
      <c r="K65" s="88" t="s">
        <v>996</v>
      </c>
      <c r="L65" s="529"/>
      <c r="M65" s="88"/>
      <c r="N65" s="88"/>
      <c r="O65" s="86"/>
      <c r="P65" s="86"/>
      <c r="Q65" s="86"/>
      <c r="R65" s="408"/>
      <c r="S65" s="90" t="s">
        <v>1573</v>
      </c>
      <c r="T65" s="90"/>
      <c r="U65" s="90"/>
      <c r="V65" s="90"/>
      <c r="W65" s="90"/>
      <c r="X65" s="90"/>
      <c r="Y65" s="90"/>
      <c r="Z65" s="90"/>
      <c r="AA65" s="90"/>
      <c r="AB65" s="90"/>
      <c r="AC65" s="90"/>
      <c r="AD65" s="90"/>
      <c r="AE65" s="90"/>
      <c r="AF65" s="90"/>
      <c r="AG65" s="90"/>
      <c r="AH65" s="90"/>
      <c r="AI65" s="90"/>
      <c r="AJ65" s="90"/>
      <c r="AK65" s="90"/>
      <c r="AL65" s="103"/>
    </row>
    <row r="66" spans="1:38" ht="15.75" customHeight="1">
      <c r="A66" s="86">
        <v>28</v>
      </c>
      <c r="B66" s="71" t="s">
        <v>1151</v>
      </c>
      <c r="C66" s="153" t="s">
        <v>2126</v>
      </c>
      <c r="D66" s="90" t="s">
        <v>2127</v>
      </c>
      <c r="E66" s="154" t="s">
        <v>2128</v>
      </c>
      <c r="F66" s="90"/>
      <c r="G66" s="90" t="s">
        <v>2129</v>
      </c>
      <c r="H66" s="362" t="s">
        <v>2130</v>
      </c>
      <c r="I66" s="98" t="s">
        <v>1555</v>
      </c>
      <c r="J66" s="88" t="s">
        <v>1556</v>
      </c>
      <c r="K66" s="88" t="s">
        <v>996</v>
      </c>
      <c r="L66" s="409">
        <v>45180</v>
      </c>
      <c r="M66" s="88" t="s">
        <v>1708</v>
      </c>
      <c r="N66" s="86" t="s">
        <v>1689</v>
      </c>
      <c r="O66" s="86">
        <v>3420</v>
      </c>
      <c r="P66" s="86" t="s">
        <v>1674</v>
      </c>
      <c r="Q66" s="86" t="s">
        <v>1674</v>
      </c>
      <c r="R66" s="408" t="s">
        <v>2131</v>
      </c>
      <c r="S66" s="90"/>
      <c r="T66" s="90"/>
      <c r="U66" s="90"/>
      <c r="V66" s="90"/>
      <c r="W66" s="90"/>
      <c r="X66" s="90"/>
      <c r="Y66" s="90"/>
      <c r="Z66" s="90"/>
      <c r="AA66" s="90"/>
      <c r="AB66" s="90"/>
      <c r="AC66" s="90"/>
      <c r="AD66" s="90"/>
      <c r="AE66" s="90"/>
      <c r="AF66" s="90"/>
      <c r="AG66" s="90"/>
      <c r="AH66" s="90"/>
      <c r="AI66" s="90"/>
      <c r="AJ66" s="90"/>
      <c r="AK66" s="90"/>
      <c r="AL66" s="103"/>
    </row>
    <row r="67" spans="1:38" ht="15.75" customHeight="1">
      <c r="A67" s="86">
        <v>45</v>
      </c>
      <c r="B67" s="86" t="s">
        <v>1095</v>
      </c>
      <c r="C67" s="164" t="s">
        <v>2132</v>
      </c>
      <c r="D67" s="90" t="s">
        <v>2133</v>
      </c>
      <c r="E67" s="90" t="s">
        <v>2134</v>
      </c>
      <c r="F67" s="90"/>
      <c r="G67" s="90" t="s">
        <v>2135</v>
      </c>
      <c r="H67" s="362" t="s">
        <v>2136</v>
      </c>
      <c r="I67" s="86" t="s">
        <v>1802</v>
      </c>
      <c r="J67" s="88" t="s">
        <v>1556</v>
      </c>
      <c r="K67" s="88" t="s">
        <v>996</v>
      </c>
      <c r="L67" s="409"/>
      <c r="M67" s="88" t="s">
        <v>1708</v>
      </c>
      <c r="N67" s="88"/>
      <c r="O67" s="86"/>
      <c r="P67" s="86"/>
      <c r="Q67" s="86"/>
      <c r="R67" s="408"/>
      <c r="S67" s="90"/>
      <c r="T67" s="90"/>
      <c r="U67" s="90"/>
      <c r="V67" s="90"/>
      <c r="W67" s="90"/>
      <c r="X67" s="90"/>
      <c r="Y67" s="90"/>
      <c r="Z67" s="90"/>
      <c r="AA67" s="90"/>
      <c r="AB67" s="90"/>
      <c r="AC67" s="90"/>
      <c r="AD67" s="90"/>
      <c r="AE67" s="90"/>
      <c r="AF67" s="90"/>
      <c r="AG67" s="90"/>
      <c r="AH67" s="90"/>
      <c r="AI67" s="90"/>
      <c r="AJ67" s="90"/>
      <c r="AK67" s="90"/>
      <c r="AL67" s="103"/>
    </row>
    <row r="68" spans="1:38" ht="15.75" customHeight="1">
      <c r="A68" s="86">
        <v>47</v>
      </c>
      <c r="B68" s="28" t="s">
        <v>1463</v>
      </c>
      <c r="C68" s="558" t="s">
        <v>2109</v>
      </c>
      <c r="D68" s="90" t="s">
        <v>2110</v>
      </c>
      <c r="E68" s="90" t="s">
        <v>2111</v>
      </c>
      <c r="F68" s="90"/>
      <c r="G68" s="90" t="s">
        <v>2112</v>
      </c>
      <c r="H68" s="90" t="s">
        <v>1800</v>
      </c>
      <c r="I68" s="88" t="s">
        <v>1802</v>
      </c>
      <c r="J68" s="88" t="s">
        <v>1556</v>
      </c>
      <c r="K68" s="88" t="s">
        <v>996</v>
      </c>
      <c r="L68" s="409">
        <v>45601</v>
      </c>
      <c r="M68" s="88" t="s">
        <v>1708</v>
      </c>
      <c r="N68" s="88"/>
      <c r="O68" s="86"/>
      <c r="P68" s="86"/>
      <c r="Q68" s="86"/>
      <c r="R68" s="408"/>
      <c r="S68" s="90"/>
      <c r="T68" s="90"/>
      <c r="U68" s="90"/>
      <c r="V68" s="90"/>
      <c r="W68" s="90"/>
      <c r="X68" s="90"/>
      <c r="Y68" s="90"/>
      <c r="Z68" s="90"/>
      <c r="AA68" s="90"/>
      <c r="AB68" s="90"/>
      <c r="AC68" s="90"/>
      <c r="AD68" s="90"/>
      <c r="AE68" s="90"/>
      <c r="AF68" s="90"/>
      <c r="AG68" s="90"/>
      <c r="AH68" s="90"/>
      <c r="AI68" s="90"/>
      <c r="AJ68" s="90"/>
      <c r="AK68" s="90"/>
      <c r="AL68" s="103"/>
    </row>
    <row r="69" spans="1:38" ht="15.75" customHeight="1">
      <c r="A69" s="86">
        <f>A68+1</f>
        <v>48</v>
      </c>
      <c r="B69" s="71" t="s">
        <v>1369</v>
      </c>
      <c r="C69" s="153" t="s">
        <v>2137</v>
      </c>
      <c r="D69" s="154" t="s">
        <v>2138</v>
      </c>
      <c r="E69" s="154" t="s">
        <v>2139</v>
      </c>
      <c r="F69" s="154"/>
      <c r="G69" s="163" t="s">
        <v>2140</v>
      </c>
      <c r="H69" s="362" t="s">
        <v>2141</v>
      </c>
      <c r="I69" s="86" t="s">
        <v>1555</v>
      </c>
      <c r="J69" s="88" t="s">
        <v>1556</v>
      </c>
      <c r="K69" s="88" t="s">
        <v>996</v>
      </c>
      <c r="L69" s="531">
        <v>45075</v>
      </c>
      <c r="M69" s="88" t="s">
        <v>1708</v>
      </c>
      <c r="N69" s="88" t="s">
        <v>1709</v>
      </c>
      <c r="O69" s="86">
        <v>5430</v>
      </c>
      <c r="P69" s="86"/>
      <c r="Q69" s="86"/>
      <c r="R69" s="408"/>
      <c r="S69" s="90"/>
      <c r="T69" s="90"/>
      <c r="U69" s="90"/>
      <c r="V69" s="90"/>
      <c r="W69" s="90"/>
      <c r="X69" s="90"/>
      <c r="Y69" s="90"/>
      <c r="Z69" s="90"/>
      <c r="AA69" s="90"/>
      <c r="AB69" s="90"/>
      <c r="AC69" s="90"/>
      <c r="AD69" s="90"/>
      <c r="AE69" s="90"/>
      <c r="AF69" s="90"/>
      <c r="AG69" s="90"/>
      <c r="AH69" s="90"/>
      <c r="AI69" s="90"/>
      <c r="AJ69" s="90"/>
      <c r="AK69" s="90"/>
      <c r="AL69" s="103"/>
    </row>
    <row r="70" spans="1:38" ht="15.75" customHeight="1">
      <c r="A70" s="86">
        <v>5</v>
      </c>
      <c r="B70" s="71" t="s">
        <v>1282</v>
      </c>
      <c r="C70" s="153" t="s">
        <v>2142</v>
      </c>
      <c r="D70" s="154" t="s">
        <v>2143</v>
      </c>
      <c r="E70" s="154" t="s">
        <v>2144</v>
      </c>
      <c r="F70" s="154"/>
      <c r="G70" s="154"/>
      <c r="H70" s="362" t="s">
        <v>1834</v>
      </c>
      <c r="I70" s="86" t="s">
        <v>1555</v>
      </c>
      <c r="J70" s="88" t="s">
        <v>1556</v>
      </c>
      <c r="K70" s="88" t="s">
        <v>996</v>
      </c>
      <c r="L70" s="529"/>
      <c r="M70" s="88"/>
      <c r="N70" s="88"/>
      <c r="O70" s="86"/>
      <c r="P70" s="86"/>
      <c r="Q70" s="86"/>
      <c r="R70" s="408"/>
      <c r="S70" s="90" t="s">
        <v>1573</v>
      </c>
      <c r="T70" s="90"/>
      <c r="U70" s="90"/>
      <c r="V70" s="90"/>
      <c r="W70" s="90"/>
      <c r="X70" s="90"/>
      <c r="Y70" s="90"/>
      <c r="Z70" s="90"/>
      <c r="AA70" s="90"/>
      <c r="AB70" s="90"/>
      <c r="AC70" s="90"/>
      <c r="AD70" s="90"/>
      <c r="AE70" s="90"/>
      <c r="AF70" s="90"/>
      <c r="AG70" s="90"/>
      <c r="AH70" s="90"/>
      <c r="AI70" s="90"/>
      <c r="AJ70" s="90"/>
      <c r="AK70" s="103"/>
      <c r="AL70" s="90"/>
    </row>
    <row r="71" spans="1:38" ht="15.75" customHeight="1">
      <c r="A71" s="86">
        <v>69</v>
      </c>
      <c r="B71" s="71" t="s">
        <v>1036</v>
      </c>
      <c r="C71" s="164" t="s">
        <v>2145</v>
      </c>
      <c r="D71" s="90" t="s">
        <v>2146</v>
      </c>
      <c r="E71" s="90" t="s">
        <v>2147</v>
      </c>
      <c r="F71" s="90"/>
      <c r="G71" s="90" t="s">
        <v>2083</v>
      </c>
      <c r="H71" s="362"/>
      <c r="I71" s="86" t="s">
        <v>1802</v>
      </c>
      <c r="J71" s="88" t="s">
        <v>1556</v>
      </c>
      <c r="K71" s="88" t="s">
        <v>996</v>
      </c>
      <c r="L71" s="409">
        <v>45404</v>
      </c>
      <c r="M71" s="88" t="s">
        <v>1708</v>
      </c>
      <c r="N71" s="88"/>
      <c r="O71" s="86"/>
      <c r="P71" s="86"/>
      <c r="Q71" s="86"/>
      <c r="R71" s="408"/>
      <c r="S71" s="90"/>
      <c r="T71" s="90"/>
      <c r="U71" s="90"/>
      <c r="V71" s="90"/>
      <c r="W71" s="90"/>
      <c r="X71" s="90"/>
      <c r="Y71" s="90"/>
      <c r="Z71" s="90"/>
      <c r="AA71" s="90"/>
      <c r="AB71" s="90"/>
      <c r="AC71" s="90"/>
      <c r="AD71" s="90"/>
      <c r="AE71" s="90"/>
      <c r="AF71" s="90"/>
      <c r="AG71" s="90"/>
      <c r="AH71" s="90"/>
      <c r="AI71" s="90"/>
      <c r="AJ71" s="90"/>
      <c r="AK71" s="90"/>
      <c r="AL71" s="103"/>
    </row>
    <row r="72" spans="1:38" ht="15.75" customHeight="1">
      <c r="A72" s="86">
        <v>63</v>
      </c>
      <c r="B72" s="71"/>
      <c r="C72" s="164" t="s">
        <v>2148</v>
      </c>
      <c r="D72" s="90" t="s">
        <v>2149</v>
      </c>
      <c r="E72" s="90" t="s">
        <v>2150</v>
      </c>
      <c r="F72" s="90"/>
      <c r="G72" s="90" t="s">
        <v>1785</v>
      </c>
      <c r="H72" s="362" t="s">
        <v>1786</v>
      </c>
      <c r="I72" s="86" t="s">
        <v>1555</v>
      </c>
      <c r="J72" s="88" t="s">
        <v>1556</v>
      </c>
      <c r="K72" s="88" t="s">
        <v>996</v>
      </c>
      <c r="L72" s="409">
        <v>45273</v>
      </c>
      <c r="M72" s="88" t="s">
        <v>1674</v>
      </c>
      <c r="N72" s="88" t="s">
        <v>1775</v>
      </c>
      <c r="O72" s="86" t="s">
        <v>2151</v>
      </c>
      <c r="P72" s="86"/>
      <c r="Q72" s="86"/>
      <c r="R72" s="86" t="s">
        <v>2151</v>
      </c>
      <c r="S72" s="90"/>
      <c r="T72" s="90"/>
      <c r="U72" s="90"/>
      <c r="V72" s="90"/>
      <c r="W72" s="90"/>
      <c r="X72" s="90"/>
      <c r="Y72" s="90"/>
      <c r="Z72" s="90"/>
      <c r="AA72" s="90"/>
      <c r="AB72" s="90"/>
      <c r="AC72" s="90"/>
      <c r="AD72" s="90"/>
      <c r="AE72" s="90"/>
      <c r="AF72" s="90"/>
      <c r="AG72" s="90"/>
      <c r="AH72" s="90"/>
      <c r="AI72" s="90"/>
      <c r="AJ72" s="90"/>
      <c r="AK72" s="90"/>
      <c r="AL72" s="103"/>
    </row>
    <row r="73" spans="1:38" ht="15.75" customHeight="1">
      <c r="A73" s="86">
        <v>27</v>
      </c>
      <c r="B73" s="71" t="s">
        <v>1161</v>
      </c>
      <c r="C73" s="153" t="s">
        <v>2152</v>
      </c>
      <c r="D73" s="154" t="s">
        <v>2153</v>
      </c>
      <c r="E73" s="154" t="s">
        <v>2154</v>
      </c>
      <c r="F73" s="154"/>
      <c r="G73" s="154"/>
      <c r="H73" s="362" t="s">
        <v>1592</v>
      </c>
      <c r="I73" s="86" t="s">
        <v>1555</v>
      </c>
      <c r="J73" s="88" t="s">
        <v>1556</v>
      </c>
      <c r="K73" s="88" t="s">
        <v>996</v>
      </c>
      <c r="L73" s="529"/>
      <c r="M73" s="88"/>
      <c r="N73" s="88"/>
      <c r="O73" s="86"/>
      <c r="P73" s="86"/>
      <c r="Q73" s="86"/>
      <c r="R73" s="408"/>
      <c r="S73" s="532" t="s">
        <v>1593</v>
      </c>
      <c r="T73" s="90"/>
      <c r="U73" s="90"/>
      <c r="V73" s="90"/>
      <c r="W73" s="90"/>
      <c r="X73" s="90"/>
      <c r="Y73" s="90"/>
      <c r="Z73" s="90"/>
      <c r="AA73" s="90"/>
      <c r="AB73" s="90"/>
      <c r="AC73" s="90"/>
      <c r="AD73" s="90"/>
      <c r="AE73" s="90"/>
      <c r="AF73" s="90"/>
      <c r="AG73" s="90"/>
      <c r="AH73" s="90"/>
      <c r="AI73" s="90"/>
      <c r="AJ73" s="90"/>
      <c r="AK73" s="90"/>
      <c r="AL73" s="103"/>
    </row>
    <row r="74" spans="1:38" ht="15.75" customHeight="1">
      <c r="A74" s="689">
        <v>34</v>
      </c>
      <c r="B74" s="690" t="s">
        <v>1074</v>
      </c>
      <c r="C74" s="691" t="s">
        <v>2155</v>
      </c>
      <c r="D74" s="692" t="s">
        <v>2156</v>
      </c>
      <c r="E74" s="692" t="s">
        <v>2157</v>
      </c>
      <c r="F74" s="692"/>
      <c r="G74" s="699" t="s">
        <v>1898</v>
      </c>
      <c r="H74" s="700" t="s">
        <v>2158</v>
      </c>
      <c r="I74" s="701" t="s">
        <v>1555</v>
      </c>
      <c r="J74" s="702" t="s">
        <v>1556</v>
      </c>
      <c r="K74" s="694" t="s">
        <v>996</v>
      </c>
      <c r="L74" s="703">
        <v>45015</v>
      </c>
      <c r="M74" s="702" t="s">
        <v>1674</v>
      </c>
      <c r="N74" s="702" t="s">
        <v>1689</v>
      </c>
      <c r="O74" s="702" t="s">
        <v>1689</v>
      </c>
      <c r="P74" s="702" t="s">
        <v>1689</v>
      </c>
      <c r="Q74" s="701" t="s">
        <v>1674</v>
      </c>
      <c r="R74" s="704" t="s">
        <v>2159</v>
      </c>
      <c r="S74" s="705"/>
      <c r="T74" s="90"/>
      <c r="U74" s="90"/>
      <c r="V74" s="90"/>
      <c r="W74" s="90"/>
      <c r="X74" s="90"/>
      <c r="Y74" s="90"/>
      <c r="Z74" s="90"/>
      <c r="AA74" s="90"/>
      <c r="AB74" s="90"/>
      <c r="AC74" s="90"/>
      <c r="AD74" s="90"/>
      <c r="AE74" s="90"/>
      <c r="AF74" s="90"/>
      <c r="AG74" s="90"/>
      <c r="AH74" s="90"/>
      <c r="AI74" s="90"/>
      <c r="AJ74" s="90"/>
      <c r="AK74" s="90"/>
      <c r="AL74" s="103"/>
    </row>
    <row r="75" spans="1:38" ht="15.75" customHeight="1">
      <c r="A75" s="689">
        <v>60</v>
      </c>
      <c r="B75" s="689" t="s">
        <v>1100</v>
      </c>
      <c r="C75" s="715" t="s">
        <v>2160</v>
      </c>
      <c r="D75" s="697" t="s">
        <v>2161</v>
      </c>
      <c r="E75" s="697" t="s">
        <v>2161</v>
      </c>
      <c r="F75" s="697"/>
      <c r="G75" s="697" t="s">
        <v>1864</v>
      </c>
      <c r="H75" s="693" t="s">
        <v>1823</v>
      </c>
      <c r="I75" s="689" t="s">
        <v>1802</v>
      </c>
      <c r="J75" s="694" t="s">
        <v>1556</v>
      </c>
      <c r="K75" s="694" t="s">
        <v>996</v>
      </c>
      <c r="L75" s="710">
        <v>45810</v>
      </c>
      <c r="M75" s="694" t="s">
        <v>1708</v>
      </c>
      <c r="N75" s="694"/>
      <c r="O75" s="689"/>
      <c r="P75" s="689"/>
      <c r="Q75" s="689"/>
      <c r="R75" s="696"/>
      <c r="S75" s="697"/>
      <c r="T75" s="90"/>
      <c r="U75" s="90"/>
      <c r="V75" s="90"/>
      <c r="W75" s="90"/>
      <c r="X75" s="90"/>
      <c r="Y75" s="90"/>
      <c r="Z75" s="90"/>
      <c r="AA75" s="90"/>
      <c r="AB75" s="90"/>
      <c r="AC75" s="90"/>
      <c r="AD75" s="90"/>
      <c r="AE75" s="90"/>
      <c r="AF75" s="90"/>
      <c r="AG75" s="90"/>
      <c r="AH75" s="90"/>
      <c r="AI75" s="90"/>
      <c r="AJ75" s="90"/>
      <c r="AK75" s="90"/>
      <c r="AL75" s="103"/>
    </row>
    <row r="76" spans="1:38" ht="15.75" customHeight="1">
      <c r="A76" s="689">
        <v>57</v>
      </c>
      <c r="B76" s="690" t="s">
        <v>1045</v>
      </c>
      <c r="C76" s="715" t="s">
        <v>2162</v>
      </c>
      <c r="D76" s="697" t="s">
        <v>2163</v>
      </c>
      <c r="E76" s="697" t="s">
        <v>2164</v>
      </c>
      <c r="F76" s="697" t="s">
        <v>2165</v>
      </c>
      <c r="G76" s="721" t="s">
        <v>1785</v>
      </c>
      <c r="H76" s="722" t="s">
        <v>2166</v>
      </c>
      <c r="I76" s="689" t="s">
        <v>1555</v>
      </c>
      <c r="J76" s="694" t="s">
        <v>1556</v>
      </c>
      <c r="K76" s="694" t="s">
        <v>996</v>
      </c>
      <c r="L76" s="710">
        <v>45509</v>
      </c>
      <c r="M76" s="694" t="s">
        <v>1708</v>
      </c>
      <c r="N76" s="694"/>
      <c r="O76" s="689"/>
      <c r="P76" s="689"/>
      <c r="Q76" s="689"/>
      <c r="R76" s="696"/>
      <c r="S76" s="697"/>
      <c r="T76" s="90"/>
      <c r="U76" s="90"/>
      <c r="V76" s="90"/>
      <c r="W76" s="90"/>
      <c r="X76" s="90"/>
      <c r="Y76" s="90"/>
      <c r="Z76" s="90"/>
      <c r="AA76" s="90"/>
      <c r="AB76" s="90"/>
      <c r="AC76" s="90"/>
      <c r="AD76" s="90"/>
      <c r="AE76" s="90"/>
      <c r="AF76" s="90"/>
      <c r="AG76" s="90"/>
      <c r="AH76" s="90"/>
      <c r="AI76" s="90"/>
      <c r="AJ76" s="90"/>
      <c r="AK76" s="90"/>
      <c r="AL76" s="103"/>
    </row>
    <row r="77" spans="1:38" ht="15.75" customHeight="1">
      <c r="A77" s="689">
        <v>18</v>
      </c>
      <c r="B77" s="690" t="s">
        <v>1026</v>
      </c>
      <c r="C77" s="691" t="s">
        <v>2167</v>
      </c>
      <c r="D77" s="692" t="s">
        <v>2168</v>
      </c>
      <c r="E77" s="692" t="s">
        <v>2169</v>
      </c>
      <c r="F77" s="692"/>
      <c r="G77" s="692"/>
      <c r="H77" s="693" t="s">
        <v>2170</v>
      </c>
      <c r="I77" s="689" t="s">
        <v>1555</v>
      </c>
      <c r="J77" s="694" t="s">
        <v>1556</v>
      </c>
      <c r="K77" s="694" t="s">
        <v>996</v>
      </c>
      <c r="L77" s="695"/>
      <c r="M77" s="694"/>
      <c r="N77" s="694"/>
      <c r="O77" s="689"/>
      <c r="P77" s="689"/>
      <c r="Q77" s="689"/>
      <c r="R77" s="696"/>
      <c r="S77" s="697" t="s">
        <v>1630</v>
      </c>
      <c r="T77" s="90"/>
      <c r="U77" s="90"/>
      <c r="V77" s="90"/>
      <c r="W77" s="90"/>
      <c r="X77" s="90"/>
      <c r="Y77" s="90"/>
      <c r="Z77" s="90"/>
      <c r="AA77" s="90"/>
      <c r="AB77" s="90"/>
      <c r="AC77" s="90"/>
      <c r="AD77" s="90"/>
      <c r="AE77" s="90"/>
      <c r="AF77" s="90"/>
      <c r="AG77" s="90"/>
      <c r="AH77" s="90"/>
      <c r="AI77" s="90"/>
      <c r="AJ77" s="90"/>
      <c r="AK77" s="90"/>
      <c r="AL77" s="103"/>
    </row>
    <row r="78" spans="1:38" ht="15.75" customHeight="1">
      <c r="A78" s="689">
        <v>58</v>
      </c>
      <c r="B78" s="690" t="s">
        <v>1204</v>
      </c>
      <c r="C78" s="715" t="s">
        <v>2171</v>
      </c>
      <c r="D78" s="697" t="s">
        <v>2172</v>
      </c>
      <c r="E78" s="697" t="s">
        <v>1205</v>
      </c>
      <c r="F78" s="697"/>
      <c r="G78" s="697" t="s">
        <v>34</v>
      </c>
      <c r="H78" s="697" t="s">
        <v>2173</v>
      </c>
      <c r="I78" s="689" t="s">
        <v>1555</v>
      </c>
      <c r="J78" s="694" t="s">
        <v>1556</v>
      </c>
      <c r="K78" s="694" t="s">
        <v>996</v>
      </c>
      <c r="L78" s="710">
        <v>45558</v>
      </c>
      <c r="M78" s="694" t="s">
        <v>1708</v>
      </c>
      <c r="N78" s="694"/>
      <c r="O78" s="689"/>
      <c r="P78" s="689"/>
      <c r="Q78" s="689"/>
      <c r="R78" s="696"/>
      <c r="S78" s="697"/>
      <c r="T78" s="90"/>
      <c r="U78" s="90"/>
      <c r="V78" s="90"/>
      <c r="W78" s="90"/>
      <c r="X78" s="90"/>
      <c r="Y78" s="90"/>
      <c r="Z78" s="90"/>
      <c r="AA78" s="90"/>
      <c r="AB78" s="90"/>
      <c r="AC78" s="90"/>
      <c r="AD78" s="90"/>
      <c r="AE78" s="90"/>
      <c r="AF78" s="90"/>
      <c r="AG78" s="90"/>
      <c r="AH78" s="90"/>
      <c r="AI78" s="90"/>
      <c r="AJ78" s="90"/>
      <c r="AK78" s="90"/>
      <c r="AL78" s="103"/>
    </row>
    <row r="79" spans="1:38" ht="15.75" customHeight="1">
      <c r="A79" s="689">
        <v>66</v>
      </c>
      <c r="B79" s="71" t="s">
        <v>1356</v>
      </c>
      <c r="C79" s="164" t="s">
        <v>2174</v>
      </c>
      <c r="D79" s="90" t="s">
        <v>2175</v>
      </c>
      <c r="E79" s="90" t="s">
        <v>2176</v>
      </c>
      <c r="F79" s="90"/>
      <c r="G79" s="90" t="s">
        <v>1830</v>
      </c>
      <c r="H79" s="90" t="s">
        <v>1830</v>
      </c>
      <c r="I79" s="689" t="s">
        <v>1802</v>
      </c>
      <c r="J79" s="694" t="s">
        <v>1556</v>
      </c>
      <c r="K79" s="694" t="s">
        <v>996</v>
      </c>
      <c r="L79" s="723">
        <v>45880</v>
      </c>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103"/>
    </row>
    <row r="80" spans="1:38" ht="15.75" customHeight="1">
      <c r="A80" s="689">
        <v>57</v>
      </c>
      <c r="B80" s="690" t="s">
        <v>1045</v>
      </c>
      <c r="C80" s="715" t="s">
        <v>2162</v>
      </c>
      <c r="D80" s="697" t="s">
        <v>2163</v>
      </c>
      <c r="E80" s="697" t="s">
        <v>2164</v>
      </c>
      <c r="F80" s="697" t="s">
        <v>2165</v>
      </c>
      <c r="G80" s="721" t="s">
        <v>1785</v>
      </c>
      <c r="H80" s="722" t="s">
        <v>2166</v>
      </c>
      <c r="I80" s="689" t="s">
        <v>1555</v>
      </c>
      <c r="J80" s="694" t="s">
        <v>1556</v>
      </c>
      <c r="K80" s="694" t="s">
        <v>996</v>
      </c>
      <c r="L80" s="710">
        <v>45509</v>
      </c>
      <c r="M80" s="694" t="s">
        <v>1708</v>
      </c>
      <c r="N80" s="694"/>
      <c r="O80" s="689"/>
      <c r="P80" s="689"/>
      <c r="Q80" s="689"/>
      <c r="R80" s="696"/>
      <c r="S80" s="697"/>
      <c r="T80" s="90"/>
      <c r="U80" s="90"/>
      <c r="V80" s="90"/>
      <c r="W80" s="90"/>
      <c r="X80" s="90"/>
      <c r="Y80" s="90"/>
      <c r="Z80" s="90"/>
      <c r="AA80" s="90"/>
      <c r="AB80" s="90"/>
      <c r="AC80" s="90"/>
      <c r="AD80" s="90"/>
      <c r="AE80" s="90"/>
      <c r="AF80" s="90"/>
      <c r="AG80" s="90"/>
      <c r="AH80" s="90"/>
      <c r="AI80" s="90"/>
      <c r="AJ80" s="90"/>
      <c r="AK80" s="90"/>
      <c r="AL80" s="103"/>
    </row>
  </sheetData>
  <autoFilter ref="A1:T62" xr:uid="{BC5C782F-8BB7-4471-A0A9-FC89DFEE1CFE}"/>
  <mergeCells count="20">
    <mergeCell ref="T1:T2"/>
    <mergeCell ref="P1:P2"/>
    <mergeCell ref="Q1:Q2"/>
    <mergeCell ref="R1:R2"/>
    <mergeCell ref="H1:H2"/>
    <mergeCell ref="S1:S2"/>
    <mergeCell ref="K1:K2"/>
    <mergeCell ref="L1:L2"/>
    <mergeCell ref="M1:M2"/>
    <mergeCell ref="O1:O2"/>
    <mergeCell ref="J1:J2"/>
    <mergeCell ref="C1:C2"/>
    <mergeCell ref="G1:G2"/>
    <mergeCell ref="N1:N2"/>
    <mergeCell ref="A1:A2"/>
    <mergeCell ref="B1:B2"/>
    <mergeCell ref="E1:E2"/>
    <mergeCell ref="F1:F2"/>
    <mergeCell ref="I1:I2"/>
    <mergeCell ref="D1:D2"/>
  </mergeCells>
  <hyperlinks>
    <hyperlink ref="D4" r:id="rId1" xr:uid="{B937D4BB-E88F-40C3-A46E-278F748854F9}"/>
    <hyperlink ref="D5" r:id="rId2" xr:uid="{F6009BDA-B283-4BF3-A364-AA5014C2B2FC}"/>
    <hyperlink ref="D6" r:id="rId3" xr:uid="{45962B54-9563-46E1-A2DE-9FE78D85F7FF}"/>
    <hyperlink ref="D8" r:id="rId4" xr:uid="{D4261348-B675-497E-A51A-D3B101A0E241}"/>
    <hyperlink ref="D11" r:id="rId5" xr:uid="{AAF53E83-74AB-4AA7-B0DA-592179B521C2}"/>
    <hyperlink ref="D7" r:id="rId6" xr:uid="{FF83ED67-53C3-4C95-837F-768AE2138967}"/>
    <hyperlink ref="D13" r:id="rId7" xr:uid="{01CE32CC-6350-4AF6-87B6-4FCC351142BC}"/>
    <hyperlink ref="D14" r:id="rId8" xr:uid="{B0B056E8-E04F-45DA-B219-B4A906C64FB2}"/>
    <hyperlink ref="D16" r:id="rId9" xr:uid="{AAA66349-F3E6-4A5C-AA70-784D966F6068}"/>
    <hyperlink ref="D17" r:id="rId10" xr:uid="{E00D42C0-8039-40FB-9765-6BF12BDAA2FB}"/>
    <hyperlink ref="D18" r:id="rId11" xr:uid="{9F96F22C-663B-4F16-A791-288DE38A9825}"/>
    <hyperlink ref="D19" r:id="rId12" xr:uid="{D7C492CE-FF4C-4C07-965A-FE4D80FD7A5A}"/>
    <hyperlink ref="D21" r:id="rId13" xr:uid="{513A9D23-BA56-4C81-A7D3-DE495E0187F0}"/>
    <hyperlink ref="D22" r:id="rId14" xr:uid="{65D2E82F-BBD4-4926-AFD6-1B4C14842022}"/>
    <hyperlink ref="D23" r:id="rId15" xr:uid="{A358CEB7-72EE-4C95-BFF5-377BB1302FA7}"/>
    <hyperlink ref="D20" r:id="rId16" xr:uid="{1895E45D-B2B9-4CAA-BD9F-5DBB4831AA12}"/>
    <hyperlink ref="D24" r:id="rId17" xr:uid="{75E022E4-F670-4E1F-B58F-8A013D12D3ED}"/>
    <hyperlink ref="D3" r:id="rId18" xr:uid="{87A51446-20F0-4319-8ED3-0FA45391D8C2}"/>
    <hyperlink ref="D25" r:id="rId19" xr:uid="{0660D12C-6100-42D0-8A1F-062807AE9E72}"/>
    <hyperlink ref="D28" r:id="rId20" xr:uid="{20E56A07-4B17-4672-AEED-ED01E6852602}"/>
    <hyperlink ref="D29" r:id="rId21" xr:uid="{4D789F64-2B40-4FEE-9B67-4559CD89AC94}"/>
    <hyperlink ref="D9" r:id="rId22" xr:uid="{E7462DFA-15D5-422D-A257-9ED85B2BA3DA}"/>
    <hyperlink ref="D27" r:id="rId23" xr:uid="{AC761427-1986-4EB2-937E-9B32005A505F}"/>
    <hyperlink ref="D10" r:id="rId24" xr:uid="{6BE63E50-EB92-447D-BB77-19F38AA6B89B}"/>
    <hyperlink ref="D12" r:id="rId25" xr:uid="{0AEB2855-FFB9-4F0F-90FC-F3157F16EBF8}"/>
    <hyperlink ref="D15" r:id="rId26" xr:uid="{622A9D1B-B278-4970-88ED-205BD17B0D53}"/>
    <hyperlink ref="D26" r:id="rId27" xr:uid="{2745DC5B-C70D-454A-9B46-EC2686C787A2}"/>
    <hyperlink ref="D36" r:id="rId28" xr:uid="{AC7969A8-9A28-4D9F-B97B-F4DAE4E2C535}"/>
    <hyperlink ref="D38" r:id="rId29" xr:uid="{1BF06044-9794-4F3E-9CFB-81C1DE5C8092}"/>
    <hyperlink ref="D40" r:id="rId30" xr:uid="{D2EF8251-C091-4CAA-BF9F-F98ECAE346CA}"/>
    <hyperlink ref="D41" r:id="rId31" xr:uid="{F1EB59A0-CA2F-4DB6-AE75-A8D274798A07}"/>
    <hyperlink ref="C43" r:id="rId32" xr:uid="{D8BCEC0E-287D-4CF1-901E-B010F99539BE}"/>
    <hyperlink ref="C44" r:id="rId33" xr:uid="{4BB127E2-540F-4A57-95FC-EF49E77AEB9B}"/>
    <hyperlink ref="C45" r:id="rId34" xr:uid="{9305D20B-7368-425A-A0B3-3756FFE2FE9C}"/>
    <hyperlink ref="C46" r:id="rId35" xr:uid="{2F8411A3-A823-4B17-A3C9-1ECEED7E5909}"/>
    <hyperlink ref="C48" r:id="rId36" xr:uid="{7F2E5E3F-42C2-4FED-9836-542446542766}"/>
    <hyperlink ref="C49" r:id="rId37" xr:uid="{2C318CB3-A903-4521-9948-E5AEC2C7FD41}"/>
    <hyperlink ref="C52" r:id="rId38" xr:uid="{7E4D88CB-D3E2-470E-B7D7-5FE84BEA6678}"/>
    <hyperlink ref="C53" r:id="rId39" xr:uid="{1F1BAB69-1198-4C8C-A3FA-B5485A78535A}"/>
    <hyperlink ref="C54" r:id="rId40" xr:uid="{ADB93DD2-DA0E-4AE7-8E12-D9D164C15BCF}"/>
    <hyperlink ref="C55" r:id="rId41" xr:uid="{45FDB9C1-E9FC-4666-A425-C240A9FDF50A}"/>
    <hyperlink ref="C57" r:id="rId42" xr:uid="{0727E11D-1283-46A3-A67B-17AFDE9854EE}"/>
    <hyperlink ref="C60" r:id="rId43" xr:uid="{953632D2-EA5E-4CE7-B236-F0C73995504B}"/>
    <hyperlink ref="C50" r:id="rId44" xr:uid="{BA4510E0-3680-4187-B5F1-5FF9B2A4CFEF}"/>
    <hyperlink ref="C61" r:id="rId45" xr:uid="{35DF66A5-A994-4A52-A7EC-0302630A0AB2}"/>
    <hyperlink ref="C62" r:id="rId46" xr:uid="{92F5CA15-0148-054B-89FA-3A6B3444C21F}"/>
    <hyperlink ref="C63" r:id="rId47" xr:uid="{522F3984-DE40-49DB-A56D-5ADA7569879C}"/>
    <hyperlink ref="C64" r:id="rId48" xr:uid="{667443BB-4E96-4B0D-AEEA-023065EB153E}"/>
    <hyperlink ref="C65" r:id="rId49" xr:uid="{D372F5FF-1925-4002-97A4-F0F08690835A}"/>
    <hyperlink ref="C66" r:id="rId50" xr:uid="{8A9C9C53-3CE5-47A2-8743-3C455893B5A7}"/>
    <hyperlink ref="C67" r:id="rId51" xr:uid="{332667B7-8AC9-4B43-8D16-46C5F673486B}"/>
    <hyperlink ref="C68" r:id="rId52" xr:uid="{C58ED964-7E29-904F-ABCE-7A17A42ABD1A}"/>
    <hyperlink ref="C59" r:id="rId53" xr:uid="{176E97FE-494D-4AFB-B7EC-F546F0F0814E}"/>
    <hyperlink ref="C69" r:id="rId54" xr:uid="{24B45B82-594F-47B0-BF43-B71FE8F93DF1}"/>
    <hyperlink ref="C71" r:id="rId55" xr:uid="{BCA2EB84-7A68-4E05-9E00-FC59B03BA769}"/>
    <hyperlink ref="C72" r:id="rId56" xr:uid="{3516A850-B786-4924-BC53-495AA12BD632}"/>
    <hyperlink ref="C73" r:id="rId57" xr:uid="{97805AAA-6369-4FE7-B043-22126D9403E3}"/>
    <hyperlink ref="C74" r:id="rId58" xr:uid="{3E6407CC-94DB-477E-A83A-BED805429D95}"/>
    <hyperlink ref="C75" r:id="rId59" xr:uid="{9B24340B-689C-467F-8A18-0B4FC9151A4A}"/>
    <hyperlink ref="C76" r:id="rId60" xr:uid="{2D0DBAAF-8DC1-4982-9895-1C4605641AAD}"/>
    <hyperlink ref="C78" r:id="rId61" xr:uid="{985B237A-4F3F-4480-BE68-0B3C735C1320}"/>
    <hyperlink ref="C79" r:id="rId62" xr:uid="{E749D5B3-E757-4846-B964-B8D5D803AEEF}"/>
    <hyperlink ref="C80" r:id="rId63" xr:uid="{F1D4E6D1-3C68-448F-A28E-7E106C4540B4}"/>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A1C6-0779-4788-8C35-65765078160D}">
  <dimension ref="A1:C10"/>
  <sheetViews>
    <sheetView workbookViewId="0">
      <selection activeCell="K6" sqref="K6"/>
    </sheetView>
  </sheetViews>
  <sheetFormatPr defaultRowHeight="13.5"/>
  <cols>
    <col min="1" max="1" width="4.125" style="252" bestFit="1" customWidth="1"/>
    <col min="2" max="2" width="18" customWidth="1"/>
    <col min="3" max="3" width="23.375" customWidth="1"/>
  </cols>
  <sheetData>
    <row r="1" spans="1:3">
      <c r="A1" s="254" t="s">
        <v>0</v>
      </c>
      <c r="B1" s="254" t="s">
        <v>2177</v>
      </c>
      <c r="C1" s="255" t="s">
        <v>2178</v>
      </c>
    </row>
    <row r="2" spans="1:3">
      <c r="A2" s="253">
        <v>1</v>
      </c>
      <c r="B2" s="197" t="s">
        <v>2179</v>
      </c>
      <c r="C2" s="219" t="s">
        <v>2180</v>
      </c>
    </row>
    <row r="3" spans="1:3">
      <c r="A3" s="253">
        <f>A2+1</f>
        <v>2</v>
      </c>
      <c r="B3" s="201" t="s">
        <v>2181</v>
      </c>
      <c r="C3" s="206" t="s">
        <v>2182</v>
      </c>
    </row>
    <row r="4" spans="1:3">
      <c r="A4" s="253">
        <f t="shared" ref="A4:A10" si="0">A3+1</f>
        <v>3</v>
      </c>
      <c r="B4" s="197" t="s">
        <v>2183</v>
      </c>
      <c r="C4" s="219" t="s">
        <v>2184</v>
      </c>
    </row>
    <row r="5" spans="1:3">
      <c r="A5" s="253">
        <f t="shared" si="0"/>
        <v>4</v>
      </c>
      <c r="B5" s="197" t="s">
        <v>1696</v>
      </c>
      <c r="C5" s="219" t="s">
        <v>2185</v>
      </c>
    </row>
    <row r="6" spans="1:3">
      <c r="A6" s="253">
        <f t="shared" si="0"/>
        <v>5</v>
      </c>
      <c r="B6" s="201" t="s">
        <v>2186</v>
      </c>
      <c r="C6" s="232" t="s">
        <v>2187</v>
      </c>
    </row>
    <row r="7" spans="1:3">
      <c r="A7" s="253">
        <f t="shared" si="0"/>
        <v>6</v>
      </c>
      <c r="B7" s="201" t="s">
        <v>2188</v>
      </c>
      <c r="C7" s="206" t="s">
        <v>2189</v>
      </c>
    </row>
    <row r="8" spans="1:3">
      <c r="A8" s="253">
        <f t="shared" si="0"/>
        <v>7</v>
      </c>
      <c r="B8" s="201" t="s">
        <v>2190</v>
      </c>
      <c r="C8" s="206" t="s">
        <v>2191</v>
      </c>
    </row>
    <row r="9" spans="1:3">
      <c r="A9" s="253">
        <f t="shared" si="0"/>
        <v>8</v>
      </c>
      <c r="B9" s="201" t="s">
        <v>2192</v>
      </c>
      <c r="C9" s="206" t="s">
        <v>2193</v>
      </c>
    </row>
    <row r="10" spans="1:3">
      <c r="A10" s="253">
        <f t="shared" si="0"/>
        <v>9</v>
      </c>
      <c r="B10" s="230" t="s">
        <v>2194</v>
      </c>
      <c r="C10" s="219" t="s">
        <v>2195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0339-8378-483A-A913-70D61CEBF82A}">
  <dimension ref="A1:K15"/>
  <sheetViews>
    <sheetView workbookViewId="0">
      <selection activeCell="I18" sqref="I18"/>
    </sheetView>
  </sheetViews>
  <sheetFormatPr defaultRowHeight="14.25"/>
  <cols>
    <col min="1" max="1" width="3.625" customWidth="1"/>
    <col min="2" max="2" width="34.5" customWidth="1"/>
    <col min="3" max="3" width="22.75" customWidth="1"/>
    <col min="4" max="4" width="31.125" customWidth="1"/>
    <col min="5" max="5" width="23.875" customWidth="1"/>
    <col min="7" max="7" width="2.75" customWidth="1"/>
    <col min="8" max="8" width="29.75" customWidth="1"/>
    <col min="9" max="9" width="17.25" customWidth="1"/>
    <col min="10" max="10" width="22.125" customWidth="1"/>
    <col min="11" max="11" width="15.125" customWidth="1"/>
  </cols>
  <sheetData>
    <row r="1" spans="1:11">
      <c r="A1" s="729" t="s">
        <v>2196</v>
      </c>
      <c r="B1" s="729" t="s">
        <v>1534</v>
      </c>
      <c r="C1" s="730" t="s">
        <v>1535</v>
      </c>
      <c r="D1" s="733" t="s">
        <v>1536</v>
      </c>
      <c r="E1" s="735" t="s">
        <v>47</v>
      </c>
      <c r="G1" s="729" t="s">
        <v>2196</v>
      </c>
      <c r="H1" s="729" t="s">
        <v>1534</v>
      </c>
      <c r="I1" s="729" t="s">
        <v>1535</v>
      </c>
      <c r="J1" s="729" t="s">
        <v>1536</v>
      </c>
      <c r="K1" s="735" t="s">
        <v>47</v>
      </c>
    </row>
    <row r="2" spans="1:11">
      <c r="A2" s="22">
        <v>1</v>
      </c>
      <c r="B2" s="732" t="s">
        <v>2197</v>
      </c>
      <c r="C2" s="22" t="s">
        <v>2198</v>
      </c>
      <c r="D2" s="731" t="s">
        <v>2199</v>
      </c>
      <c r="E2" s="18" t="s">
        <v>2200</v>
      </c>
      <c r="G2" s="22">
        <v>1</v>
      </c>
      <c r="H2" s="18" t="s">
        <v>2201</v>
      </c>
      <c r="I2" s="727" t="s">
        <v>2202</v>
      </c>
      <c r="J2" s="22" t="s">
        <v>2203</v>
      </c>
      <c r="K2" s="18"/>
    </row>
    <row r="3" spans="1:11">
      <c r="A3" s="22">
        <v>2</v>
      </c>
      <c r="B3" s="732" t="s">
        <v>2204</v>
      </c>
      <c r="C3" s="22" t="s">
        <v>2205</v>
      </c>
      <c r="D3" s="731" t="s">
        <v>2206</v>
      </c>
      <c r="E3" s="18"/>
      <c r="G3" s="22">
        <v>2</v>
      </c>
      <c r="H3" s="18" t="s">
        <v>2207</v>
      </c>
      <c r="I3" s="727" t="s">
        <v>2208</v>
      </c>
      <c r="J3" s="22" t="s">
        <v>2209</v>
      </c>
      <c r="K3" s="18"/>
    </row>
    <row r="4" spans="1:11">
      <c r="A4" s="22">
        <v>3</v>
      </c>
      <c r="B4" s="732" t="s">
        <v>2210</v>
      </c>
      <c r="C4" s="22" t="s">
        <v>2211</v>
      </c>
      <c r="D4" s="734" t="s">
        <v>2212</v>
      </c>
      <c r="E4" s="18"/>
      <c r="G4" s="22">
        <v>3</v>
      </c>
      <c r="H4" s="18" t="s">
        <v>2213</v>
      </c>
      <c r="I4" s="727" t="s">
        <v>2214</v>
      </c>
      <c r="J4" s="22" t="s">
        <v>2215</v>
      </c>
      <c r="K4" s="18"/>
    </row>
    <row r="5" spans="1:11">
      <c r="A5" s="22">
        <v>4</v>
      </c>
      <c r="B5" s="732" t="s">
        <v>2216</v>
      </c>
      <c r="C5" s="22" t="s">
        <v>2217</v>
      </c>
      <c r="D5" s="731" t="s">
        <v>2218</v>
      </c>
      <c r="E5" s="18" t="s">
        <v>2219</v>
      </c>
      <c r="G5" s="22">
        <v>4</v>
      </c>
      <c r="H5" s="18" t="s">
        <v>2220</v>
      </c>
      <c r="I5" s="727" t="s">
        <v>2221</v>
      </c>
      <c r="J5" s="21" t="s">
        <v>2222</v>
      </c>
      <c r="K5" s="18"/>
    </row>
    <row r="6" spans="1:11">
      <c r="A6" s="22">
        <v>5</v>
      </c>
      <c r="B6" s="732" t="s">
        <v>2223</v>
      </c>
      <c r="C6" s="22" t="s">
        <v>2224</v>
      </c>
      <c r="D6" s="731" t="s">
        <v>2225</v>
      </c>
      <c r="E6" s="18"/>
      <c r="G6" s="22">
        <v>5</v>
      </c>
      <c r="H6" s="18" t="s">
        <v>2226</v>
      </c>
      <c r="I6" s="727" t="s">
        <v>2227</v>
      </c>
      <c r="J6" s="21" t="s">
        <v>2228</v>
      </c>
      <c r="K6" s="18"/>
    </row>
    <row r="7" spans="1:11" ht="15">
      <c r="A7" s="22">
        <v>6</v>
      </c>
      <c r="B7" s="732" t="s">
        <v>2229</v>
      </c>
      <c r="C7" s="22" t="s">
        <v>2230</v>
      </c>
      <c r="D7" s="731" t="s">
        <v>2231</v>
      </c>
      <c r="E7" s="18"/>
      <c r="G7" s="22">
        <v>6</v>
      </c>
      <c r="H7" s="18" t="s">
        <v>2232</v>
      </c>
      <c r="I7" s="727" t="s">
        <v>2233</v>
      </c>
      <c r="J7" s="21" t="s">
        <v>2234</v>
      </c>
      <c r="K7" s="726"/>
    </row>
    <row r="8" spans="1:11">
      <c r="A8" s="22">
        <v>7</v>
      </c>
      <c r="B8" s="732" t="s">
        <v>2235</v>
      </c>
      <c r="C8" s="22" t="s">
        <v>2236</v>
      </c>
      <c r="D8" s="731" t="s">
        <v>2237</v>
      </c>
      <c r="E8" s="18"/>
      <c r="G8" s="22">
        <v>7</v>
      </c>
      <c r="H8" s="18" t="s">
        <v>2238</v>
      </c>
      <c r="I8" s="727" t="s">
        <v>2239</v>
      </c>
      <c r="J8" s="21" t="s">
        <v>2240</v>
      </c>
      <c r="K8" s="162"/>
    </row>
    <row r="9" spans="1:11" ht="15">
      <c r="A9" s="22">
        <v>8</v>
      </c>
      <c r="B9" s="732" t="s">
        <v>2241</v>
      </c>
      <c r="C9" s="22" t="s">
        <v>2242</v>
      </c>
      <c r="D9" s="731" t="s">
        <v>2243</v>
      </c>
      <c r="E9" s="18"/>
      <c r="G9" s="23"/>
      <c r="H9" s="23"/>
      <c r="I9" s="23"/>
      <c r="J9" s="728"/>
      <c r="K9" s="725"/>
    </row>
    <row r="10" spans="1:11" ht="15">
      <c r="A10" s="22">
        <v>9</v>
      </c>
      <c r="B10" s="732" t="s">
        <v>2244</v>
      </c>
      <c r="C10" s="22" t="s">
        <v>2245</v>
      </c>
      <c r="D10" s="731" t="s">
        <v>2246</v>
      </c>
      <c r="E10" s="18"/>
      <c r="G10" s="23"/>
      <c r="H10" s="23"/>
      <c r="I10" s="23"/>
      <c r="J10" s="728"/>
      <c r="K10" s="725"/>
    </row>
    <row r="11" spans="1:11" ht="15">
      <c r="A11" s="22">
        <v>10</v>
      </c>
      <c r="B11" s="731"/>
      <c r="C11" s="22"/>
      <c r="D11" s="731"/>
      <c r="E11" s="18"/>
      <c r="G11" s="23"/>
      <c r="H11" s="23"/>
      <c r="I11" s="23"/>
      <c r="J11" s="728"/>
      <c r="K11" s="725"/>
    </row>
    <row r="12" spans="1:11" ht="15">
      <c r="A12" s="22">
        <v>11</v>
      </c>
      <c r="B12" s="731"/>
      <c r="C12" s="22"/>
      <c r="D12" s="731"/>
      <c r="E12" s="18"/>
      <c r="G12" s="23"/>
      <c r="H12" s="23"/>
      <c r="I12" s="23"/>
      <c r="J12" s="728"/>
      <c r="K12" s="725"/>
    </row>
    <row r="13" spans="1:11" ht="15">
      <c r="A13" s="22">
        <v>12</v>
      </c>
      <c r="B13" s="731"/>
      <c r="C13" s="22"/>
      <c r="D13" s="731"/>
      <c r="E13" s="18"/>
      <c r="G13" s="23"/>
      <c r="H13" s="23"/>
      <c r="I13" s="23"/>
      <c r="J13" s="728"/>
      <c r="K13" s="725"/>
    </row>
    <row r="14" spans="1:11" ht="15">
      <c r="A14" s="22">
        <v>13</v>
      </c>
      <c r="B14" s="731"/>
      <c r="C14" s="22"/>
      <c r="D14" s="731"/>
      <c r="E14" s="18"/>
      <c r="G14" s="23"/>
      <c r="H14" s="23"/>
      <c r="I14" s="23"/>
      <c r="J14" s="728"/>
      <c r="K14" s="725"/>
    </row>
    <row r="15" spans="1:11" ht="15">
      <c r="A15" s="22">
        <v>14</v>
      </c>
      <c r="B15" s="731"/>
      <c r="C15" s="22"/>
      <c r="D15" s="731"/>
      <c r="E15" s="18"/>
      <c r="G15" s="23"/>
      <c r="H15" s="23"/>
      <c r="I15" s="23"/>
      <c r="J15" s="728"/>
      <c r="K15" s="725"/>
    </row>
  </sheetData>
  <hyperlinks>
    <hyperlink ref="B2" r:id="rId1" xr:uid="{EE286414-5DF9-42EA-9468-C884C99819C7}"/>
    <hyperlink ref="B3" r:id="rId2" xr:uid="{CFD2561C-C3AA-47F3-A201-AC347049474C}"/>
    <hyperlink ref="B4" r:id="rId3" xr:uid="{0BBF2870-EBCF-491E-BF14-7E1DEEFCCC98}"/>
    <hyperlink ref="B5" r:id="rId4" xr:uid="{8AE44D4D-8BB9-41C1-8AAE-28AF80E14560}"/>
    <hyperlink ref="B6" r:id="rId5" xr:uid="{5A5AF09E-AA8F-4E53-82D0-5A9507B7F390}"/>
    <hyperlink ref="B7" r:id="rId6" xr:uid="{7AB2B665-B999-40FF-9BAE-2FBBB5FA4AE0}"/>
    <hyperlink ref="B8" r:id="rId7" xr:uid="{AB468710-BD96-4721-9511-A973F946A6A0}"/>
    <hyperlink ref="B10" r:id="rId8" xr:uid="{83799E31-D70F-4CF2-9C71-D5852138A201}"/>
    <hyperlink ref="B9" r:id="rId9" xr:uid="{4436FF04-F82F-49B5-B57A-6251F4B1E8C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BBB1-D5F8-49B3-9BF0-7F967CD82841}">
  <sheetPr filterMode="1"/>
  <dimension ref="A1:Y93"/>
  <sheetViews>
    <sheetView zoomScaleNormal="100" workbookViewId="0">
      <pane xSplit="6" ySplit="1" topLeftCell="I51" activePane="bottomRight" state="frozen"/>
      <selection pane="bottomRight" activeCell="I97" sqref="I97"/>
      <selection pane="bottomLeft" activeCell="A2" sqref="A2"/>
      <selection pane="topRight" activeCell="G1" sqref="G1"/>
    </sheetView>
  </sheetViews>
  <sheetFormatPr defaultColWidth="9" defaultRowHeight="12.75" customHeight="1"/>
  <cols>
    <col min="1" max="1" width="4.5" style="193" customWidth="1"/>
    <col min="2" max="2" width="9.25" style="193" customWidth="1"/>
    <col min="3" max="3" width="44.375" style="196" bestFit="1" customWidth="1"/>
    <col min="4" max="4" width="8.125" style="193" customWidth="1"/>
    <col min="5" max="5" width="28.25" style="196" customWidth="1"/>
    <col min="6" max="6" width="15.375" style="196" customWidth="1"/>
    <col min="7" max="7" width="8.75" style="193" customWidth="1"/>
    <col min="8" max="8" width="16.375" style="193" customWidth="1"/>
    <col min="9" max="9" width="74.375" style="193" customWidth="1"/>
    <col min="10" max="10" width="14.5" style="193" customWidth="1"/>
    <col min="11" max="11" width="11.75" style="193" customWidth="1"/>
    <col min="12" max="12" width="22.75" style="200" customWidth="1"/>
    <col min="13" max="13" width="15.625" style="199" customWidth="1"/>
    <col min="14" max="14" width="9.75" style="199" customWidth="1"/>
    <col min="15" max="15" width="11.125" style="199" customWidth="1"/>
    <col min="16" max="16" width="22.75" style="199" customWidth="1"/>
    <col min="17" max="17" width="20.625" style="200" bestFit="1" customWidth="1"/>
    <col min="18" max="18" width="11.125" style="199" customWidth="1"/>
    <col min="19" max="19" width="25.75" style="193" customWidth="1"/>
    <col min="20" max="20" width="11.875" style="199" customWidth="1"/>
    <col min="21" max="21" width="11.125" style="199" customWidth="1"/>
    <col min="22" max="22" width="9" style="193" customWidth="1"/>
    <col min="23" max="23" width="42" style="193" customWidth="1"/>
    <col min="24" max="24" width="22.75" style="193" customWidth="1"/>
    <col min="25" max="25" width="11.75" style="193" customWidth="1"/>
    <col min="26" max="16384" width="9" style="193"/>
  </cols>
  <sheetData>
    <row r="1" spans="1:25" ht="35.25">
      <c r="A1" s="572" t="s">
        <v>0</v>
      </c>
      <c r="B1" s="572" t="s">
        <v>2247</v>
      </c>
      <c r="C1" s="324" t="s">
        <v>2248</v>
      </c>
      <c r="D1" s="324" t="s">
        <v>2249</v>
      </c>
      <c r="E1" s="573" t="s">
        <v>31</v>
      </c>
      <c r="F1" s="573" t="s">
        <v>2250</v>
      </c>
      <c r="G1" s="572" t="s">
        <v>2251</v>
      </c>
      <c r="H1" s="572" t="s">
        <v>2177</v>
      </c>
      <c r="I1" s="324" t="s">
        <v>2252</v>
      </c>
      <c r="J1" s="324" t="s">
        <v>2253</v>
      </c>
      <c r="K1" s="324" t="s">
        <v>2254</v>
      </c>
      <c r="L1" s="324" t="s">
        <v>2255</v>
      </c>
      <c r="M1" s="324" t="s">
        <v>2256</v>
      </c>
      <c r="N1" s="324" t="s">
        <v>2257</v>
      </c>
      <c r="O1" s="324" t="s">
        <v>2258</v>
      </c>
      <c r="P1" s="324" t="s">
        <v>2259</v>
      </c>
      <c r="Q1" s="324" t="s">
        <v>2260</v>
      </c>
      <c r="R1" s="324" t="s">
        <v>2261</v>
      </c>
      <c r="S1" s="572" t="s">
        <v>2262</v>
      </c>
      <c r="T1" s="573" t="s">
        <v>2263</v>
      </c>
      <c r="U1" s="324" t="s">
        <v>2264</v>
      </c>
      <c r="V1" s="324" t="s">
        <v>2265</v>
      </c>
      <c r="W1" s="324" t="s">
        <v>3</v>
      </c>
      <c r="X1" s="324" t="s">
        <v>2266</v>
      </c>
      <c r="Y1" s="230" t="s">
        <v>2267</v>
      </c>
    </row>
    <row r="2" spans="1:25" hidden="1">
      <c r="A2" s="221">
        <v>1</v>
      </c>
      <c r="B2" s="584" t="s">
        <v>2268</v>
      </c>
      <c r="C2" s="585" t="s">
        <v>2269</v>
      </c>
      <c r="D2" s="221" t="s">
        <v>2270</v>
      </c>
      <c r="E2" s="586" t="s">
        <v>2271</v>
      </c>
      <c r="F2" s="586" t="s">
        <v>2272</v>
      </c>
      <c r="G2" s="221" t="s">
        <v>2273</v>
      </c>
      <c r="H2" s="587" t="s">
        <v>2194</v>
      </c>
      <c r="I2" s="588" t="s">
        <v>2274</v>
      </c>
      <c r="J2" s="221" t="s">
        <v>2275</v>
      </c>
      <c r="K2" s="221" t="s">
        <v>2276</v>
      </c>
      <c r="L2" s="587" t="s">
        <v>2277</v>
      </c>
      <c r="M2" s="587" t="s">
        <v>2278</v>
      </c>
      <c r="N2" s="587"/>
      <c r="O2" s="589"/>
      <c r="P2" s="371"/>
      <c r="Q2" s="371"/>
      <c r="R2" s="371" t="s">
        <v>1730</v>
      </c>
      <c r="S2" s="590" t="s">
        <v>2279</v>
      </c>
      <c r="T2" s="591">
        <v>43586</v>
      </c>
      <c r="U2" s="221">
        <v>363.7</v>
      </c>
      <c r="V2" s="592">
        <v>226.7</v>
      </c>
      <c r="W2" s="380" t="s">
        <v>147</v>
      </c>
      <c r="X2" s="373"/>
      <c r="Y2" s="486" t="b">
        <f>NOT(ISERROR(MATCH(B2,#REF!,0)))</f>
        <v>0</v>
      </c>
    </row>
    <row r="3" spans="1:25" hidden="1">
      <c r="A3" s="201">
        <f t="shared" ref="A3:A66" si="0">A2+1</f>
        <v>2</v>
      </c>
      <c r="B3" s="202" t="s">
        <v>115</v>
      </c>
      <c r="C3" s="203" t="s">
        <v>2280</v>
      </c>
      <c r="D3" s="201" t="s">
        <v>2270</v>
      </c>
      <c r="E3" s="204" t="s">
        <v>2271</v>
      </c>
      <c r="F3" s="204" t="s">
        <v>2272</v>
      </c>
      <c r="G3" s="201" t="s">
        <v>2273</v>
      </c>
      <c r="H3" s="201" t="s">
        <v>2183</v>
      </c>
      <c r="I3" s="207" t="s">
        <v>2274</v>
      </c>
      <c r="J3" s="201" t="s">
        <v>2276</v>
      </c>
      <c r="K3" s="201" t="s">
        <v>2276</v>
      </c>
      <c r="L3" s="205" t="s">
        <v>2281</v>
      </c>
      <c r="M3" s="205" t="s">
        <v>2281</v>
      </c>
      <c r="N3" s="205"/>
      <c r="O3" s="349"/>
      <c r="P3" s="230"/>
      <c r="Q3" s="230"/>
      <c r="R3" s="230" t="s">
        <v>1730</v>
      </c>
      <c r="S3" s="354" t="s">
        <v>2282</v>
      </c>
      <c r="T3" s="206">
        <v>44072</v>
      </c>
      <c r="U3" s="201">
        <v>100</v>
      </c>
      <c r="V3" s="208">
        <v>82.8</v>
      </c>
      <c r="W3" s="197" t="s">
        <v>147</v>
      </c>
      <c r="X3" s="194"/>
      <c r="Y3" s="486" t="b">
        <f>NOT(ISERROR(MATCH(B3,#REF!,0)))</f>
        <v>0</v>
      </c>
    </row>
    <row r="4" spans="1:25" hidden="1">
      <c r="A4" s="201">
        <f t="shared" si="0"/>
        <v>3</v>
      </c>
      <c r="B4" s="202" t="s">
        <v>259</v>
      </c>
      <c r="C4" s="203" t="s">
        <v>2283</v>
      </c>
      <c r="D4" s="201" t="s">
        <v>2270</v>
      </c>
      <c r="E4" s="204" t="s">
        <v>2271</v>
      </c>
      <c r="F4" s="204" t="s">
        <v>2272</v>
      </c>
      <c r="G4" s="201" t="s">
        <v>2273</v>
      </c>
      <c r="H4" s="201" t="s">
        <v>2179</v>
      </c>
      <c r="I4" s="207" t="s">
        <v>2274</v>
      </c>
      <c r="J4" s="201" t="s">
        <v>2276</v>
      </c>
      <c r="K4" s="201" t="s">
        <v>2276</v>
      </c>
      <c r="L4" s="205" t="s">
        <v>2281</v>
      </c>
      <c r="M4" s="205" t="s">
        <v>2281</v>
      </c>
      <c r="N4" s="205"/>
      <c r="O4" s="349"/>
      <c r="P4" s="230"/>
      <c r="Q4" s="230"/>
      <c r="R4" s="230" t="s">
        <v>1730</v>
      </c>
      <c r="S4" s="353" t="s">
        <v>2284</v>
      </c>
      <c r="T4" s="206">
        <v>43586</v>
      </c>
      <c r="U4" s="201">
        <v>90</v>
      </c>
      <c r="V4" s="208">
        <v>72</v>
      </c>
      <c r="W4" s="197" t="s">
        <v>147</v>
      </c>
      <c r="X4" s="194"/>
      <c r="Y4" s="486" t="b">
        <f>NOT(ISERROR(MATCH(B4,#REF!,0)))</f>
        <v>0</v>
      </c>
    </row>
    <row r="5" spans="1:25" hidden="1">
      <c r="A5" s="201">
        <f t="shared" si="0"/>
        <v>4</v>
      </c>
      <c r="B5" s="209" t="s">
        <v>2285</v>
      </c>
      <c r="C5" s="210" t="s">
        <v>2286</v>
      </c>
      <c r="D5" s="211" t="s">
        <v>2270</v>
      </c>
      <c r="E5" s="212" t="s">
        <v>2287</v>
      </c>
      <c r="F5" s="212" t="s">
        <v>2272</v>
      </c>
      <c r="G5" s="211" t="s">
        <v>2273</v>
      </c>
      <c r="H5" s="211" t="s">
        <v>2183</v>
      </c>
      <c r="I5" s="214" t="s">
        <v>2288</v>
      </c>
      <c r="J5" s="211" t="s">
        <v>2289</v>
      </c>
      <c r="K5" s="211" t="s">
        <v>2290</v>
      </c>
      <c r="L5" s="215" t="s">
        <v>1689</v>
      </c>
      <c r="M5" s="215" t="s">
        <v>2291</v>
      </c>
      <c r="N5" s="215"/>
      <c r="O5" s="350" t="s">
        <v>2292</v>
      </c>
      <c r="P5" s="242"/>
      <c r="Q5" s="242"/>
      <c r="R5" s="230" t="s">
        <v>1730</v>
      </c>
      <c r="S5" s="355" t="s">
        <v>2293</v>
      </c>
      <c r="T5" s="213">
        <v>44111</v>
      </c>
      <c r="U5" s="211">
        <v>45.9</v>
      </c>
      <c r="V5" s="216">
        <v>40.9</v>
      </c>
      <c r="W5" s="325"/>
      <c r="X5" s="326"/>
      <c r="Y5" s="486" t="b">
        <f>NOT(ISERROR(MATCH(B5,#REF!,0)))</f>
        <v>0</v>
      </c>
    </row>
    <row r="6" spans="1:25">
      <c r="A6" s="201">
        <f t="shared" si="0"/>
        <v>5</v>
      </c>
      <c r="B6" s="569" t="s">
        <v>129</v>
      </c>
      <c r="C6" s="203" t="s">
        <v>2294</v>
      </c>
      <c r="D6" s="201" t="s">
        <v>2295</v>
      </c>
      <c r="E6" s="204" t="s">
        <v>2287</v>
      </c>
      <c r="F6" s="204" t="s">
        <v>2272</v>
      </c>
      <c r="G6" s="201" t="s">
        <v>2273</v>
      </c>
      <c r="H6" s="201" t="s">
        <v>2181</v>
      </c>
      <c r="I6" s="207" t="s">
        <v>2288</v>
      </c>
      <c r="J6" s="201" t="s">
        <v>2289</v>
      </c>
      <c r="K6" s="201" t="s">
        <v>2290</v>
      </c>
      <c r="L6" s="205" t="s">
        <v>2291</v>
      </c>
      <c r="M6" s="205" t="s">
        <v>2291</v>
      </c>
      <c r="N6" s="205"/>
      <c r="O6" s="349" t="s">
        <v>2296</v>
      </c>
      <c r="P6" s="230"/>
      <c r="Q6" s="230"/>
      <c r="R6" s="230" t="s">
        <v>1730</v>
      </c>
      <c r="S6" s="356" t="s">
        <v>2297</v>
      </c>
      <c r="T6" s="206">
        <v>44501</v>
      </c>
      <c r="U6" s="201">
        <v>54</v>
      </c>
      <c r="V6" s="208">
        <v>49</v>
      </c>
      <c r="W6" s="197"/>
      <c r="X6" s="194"/>
      <c r="Y6" s="486" t="b">
        <f>NOT(ISERROR(MATCH(B6,#REF!,0)))</f>
        <v>0</v>
      </c>
    </row>
    <row r="7" spans="1:25">
      <c r="A7" s="201">
        <f t="shared" si="0"/>
        <v>6</v>
      </c>
      <c r="B7" s="569" t="s">
        <v>2298</v>
      </c>
      <c r="C7" s="203" t="s">
        <v>2299</v>
      </c>
      <c r="D7" s="201" t="s">
        <v>2295</v>
      </c>
      <c r="E7" s="204" t="s">
        <v>2287</v>
      </c>
      <c r="F7" s="204" t="s">
        <v>2272</v>
      </c>
      <c r="G7" s="201" t="s">
        <v>2273</v>
      </c>
      <c r="H7" s="201" t="s">
        <v>2190</v>
      </c>
      <c r="I7" s="207" t="s">
        <v>2288</v>
      </c>
      <c r="J7" s="201" t="s">
        <v>2289</v>
      </c>
      <c r="K7" s="201" t="s">
        <v>2290</v>
      </c>
      <c r="L7" s="205" t="s">
        <v>2291</v>
      </c>
      <c r="M7" s="205" t="s">
        <v>2291</v>
      </c>
      <c r="N7" s="205"/>
      <c r="O7" s="349" t="s">
        <v>2296</v>
      </c>
      <c r="P7" s="230"/>
      <c r="Q7" s="230"/>
      <c r="R7" s="230" t="s">
        <v>1730</v>
      </c>
      <c r="S7" s="356" t="s">
        <v>2300</v>
      </c>
      <c r="T7" s="206">
        <v>44501</v>
      </c>
      <c r="U7" s="201">
        <v>23</v>
      </c>
      <c r="V7" s="208">
        <v>23</v>
      </c>
      <c r="W7" s="197"/>
      <c r="X7" s="194"/>
      <c r="Y7" s="486" t="b">
        <f>NOT(ISERROR(MATCH(B7,#REF!,0)))</f>
        <v>0</v>
      </c>
    </row>
    <row r="8" spans="1:25" ht="24">
      <c r="A8" s="201">
        <f t="shared" si="0"/>
        <v>7</v>
      </c>
      <c r="B8" s="569" t="s">
        <v>139</v>
      </c>
      <c r="C8" s="203" t="s">
        <v>2301</v>
      </c>
      <c r="D8" s="201" t="s">
        <v>2295</v>
      </c>
      <c r="E8" s="204" t="s">
        <v>2287</v>
      </c>
      <c r="F8" s="204" t="s">
        <v>2272</v>
      </c>
      <c r="G8" s="201" t="s">
        <v>2273</v>
      </c>
      <c r="H8" s="201" t="s">
        <v>2192</v>
      </c>
      <c r="I8" s="207" t="s">
        <v>2288</v>
      </c>
      <c r="J8" s="201" t="s">
        <v>2289</v>
      </c>
      <c r="K8" s="201" t="s">
        <v>2290</v>
      </c>
      <c r="L8" s="205" t="s">
        <v>2302</v>
      </c>
      <c r="M8" s="205" t="s">
        <v>2291</v>
      </c>
      <c r="N8" s="205"/>
      <c r="O8" s="349" t="s">
        <v>2292</v>
      </c>
      <c r="P8" s="230"/>
      <c r="Q8" s="230"/>
      <c r="R8" s="230" t="s">
        <v>1730</v>
      </c>
      <c r="S8" s="356" t="s">
        <v>2303</v>
      </c>
      <c r="T8" s="206">
        <v>44069</v>
      </c>
      <c r="U8" s="201">
        <v>12</v>
      </c>
      <c r="V8" s="208">
        <v>12</v>
      </c>
      <c r="W8" s="197"/>
      <c r="X8" s="194"/>
      <c r="Y8" s="486" t="b">
        <f>NOT(ISERROR(MATCH(B8,#REF!,0)))</f>
        <v>0</v>
      </c>
    </row>
    <row r="9" spans="1:25" ht="23.25" hidden="1" customHeight="1">
      <c r="A9" s="201">
        <f t="shared" si="0"/>
        <v>8</v>
      </c>
      <c r="B9" s="202" t="s">
        <v>2304</v>
      </c>
      <c r="C9" s="203" t="s">
        <v>2305</v>
      </c>
      <c r="D9" s="201" t="s">
        <v>2270</v>
      </c>
      <c r="E9" s="557" t="s">
        <v>2287</v>
      </c>
      <c r="F9" s="204" t="s">
        <v>2272</v>
      </c>
      <c r="G9" s="201" t="s">
        <v>2273</v>
      </c>
      <c r="H9" s="201" t="s">
        <v>2179</v>
      </c>
      <c r="I9" s="207" t="s">
        <v>2288</v>
      </c>
      <c r="J9" s="201" t="s">
        <v>2289</v>
      </c>
      <c r="K9" s="201" t="s">
        <v>2290</v>
      </c>
      <c r="L9" s="205" t="s">
        <v>2291</v>
      </c>
      <c r="M9" s="205" t="s">
        <v>2291</v>
      </c>
      <c r="N9" s="205"/>
      <c r="O9" s="349" t="s">
        <v>2292</v>
      </c>
      <c r="P9" s="230"/>
      <c r="Q9" s="230"/>
      <c r="R9" s="230" t="s">
        <v>1730</v>
      </c>
      <c r="S9" s="356" t="s">
        <v>2306</v>
      </c>
      <c r="T9" s="206">
        <v>44153</v>
      </c>
      <c r="U9" s="201">
        <v>68.73</v>
      </c>
      <c r="V9" s="208">
        <v>57.26</v>
      </c>
      <c r="W9" s="197"/>
      <c r="X9" s="194"/>
      <c r="Y9" s="486" t="b">
        <f>NOT(ISERROR(MATCH(B9,#REF!,0)))</f>
        <v>0</v>
      </c>
    </row>
    <row r="10" spans="1:25" hidden="1">
      <c r="A10" s="217">
        <f t="shared" si="0"/>
        <v>9</v>
      </c>
      <c r="B10" s="241" t="s">
        <v>278</v>
      </c>
      <c r="C10" s="224" t="s">
        <v>2307</v>
      </c>
      <c r="D10" s="217" t="s">
        <v>2270</v>
      </c>
      <c r="E10" s="222" t="s">
        <v>2308</v>
      </c>
      <c r="F10" s="222" t="s">
        <v>2272</v>
      </c>
      <c r="G10" s="217" t="s">
        <v>2273</v>
      </c>
      <c r="H10" s="217" t="s">
        <v>2192</v>
      </c>
      <c r="I10" s="223" t="s">
        <v>2309</v>
      </c>
      <c r="J10" s="217" t="s">
        <v>2276</v>
      </c>
      <c r="K10" s="217" t="s">
        <v>2290</v>
      </c>
      <c r="L10" s="225" t="s">
        <v>2196</v>
      </c>
      <c r="M10" s="225" t="s">
        <v>2278</v>
      </c>
      <c r="N10" s="225"/>
      <c r="O10" s="351"/>
      <c r="P10" s="237"/>
      <c r="Q10" s="237"/>
      <c r="R10" s="237" t="s">
        <v>1730</v>
      </c>
      <c r="S10" s="519" t="s">
        <v>2310</v>
      </c>
      <c r="T10" s="218">
        <v>44062</v>
      </c>
      <c r="U10" s="217">
        <v>32</v>
      </c>
      <c r="V10" s="226">
        <v>30</v>
      </c>
      <c r="W10" s="198"/>
      <c r="X10" s="195"/>
      <c r="Y10" s="486" t="b">
        <f>NOT(ISERROR(MATCH(B10,#REF!,0)))</f>
        <v>0</v>
      </c>
    </row>
    <row r="11" spans="1:25" ht="35.25">
      <c r="A11" s="197">
        <f t="shared" si="0"/>
        <v>10</v>
      </c>
      <c r="B11" s="568" t="s">
        <v>370</v>
      </c>
      <c r="C11" s="229" t="s">
        <v>2311</v>
      </c>
      <c r="D11" s="197" t="s">
        <v>2295</v>
      </c>
      <c r="E11" s="227" t="s">
        <v>2308</v>
      </c>
      <c r="F11" s="227" t="s">
        <v>2272</v>
      </c>
      <c r="G11" s="197" t="s">
        <v>2273</v>
      </c>
      <c r="H11" s="197" t="s">
        <v>2181</v>
      </c>
      <c r="I11" s="228" t="s">
        <v>2312</v>
      </c>
      <c r="J11" s="197" t="s">
        <v>2276</v>
      </c>
      <c r="K11" s="197" t="s">
        <v>2276</v>
      </c>
      <c r="L11" s="230" t="s">
        <v>2302</v>
      </c>
      <c r="M11" s="230" t="s">
        <v>2278</v>
      </c>
      <c r="N11" s="230"/>
      <c r="O11" s="230"/>
      <c r="P11" s="230" t="s">
        <v>2278</v>
      </c>
      <c r="Q11" s="230"/>
      <c r="R11" s="348" t="s">
        <v>2313</v>
      </c>
      <c r="S11" s="574" t="s">
        <v>2314</v>
      </c>
      <c r="T11" s="219">
        <v>44568</v>
      </c>
      <c r="U11" s="197">
        <v>90.4</v>
      </c>
      <c r="V11" s="197">
        <v>71.400000000000006</v>
      </c>
      <c r="W11" s="197"/>
      <c r="X11" s="243" t="s">
        <v>2315</v>
      </c>
      <c r="Y11" s="575" t="b">
        <f>NOT(ISERROR(MATCH(B11,#REF!,0)))</f>
        <v>0</v>
      </c>
    </row>
    <row r="12" spans="1:25" hidden="1">
      <c r="A12" s="221">
        <f t="shared" si="0"/>
        <v>11</v>
      </c>
      <c r="B12" s="584" t="s">
        <v>223</v>
      </c>
      <c r="C12" s="585" t="s">
        <v>2316</v>
      </c>
      <c r="D12" s="221" t="s">
        <v>2270</v>
      </c>
      <c r="E12" s="586" t="s">
        <v>2308</v>
      </c>
      <c r="F12" s="586" t="s">
        <v>2272</v>
      </c>
      <c r="G12" s="221" t="s">
        <v>2273</v>
      </c>
      <c r="H12" s="221" t="s">
        <v>2183</v>
      </c>
      <c r="I12" s="588" t="s">
        <v>2317</v>
      </c>
      <c r="J12" s="221" t="s">
        <v>2276</v>
      </c>
      <c r="K12" s="221" t="s">
        <v>2276</v>
      </c>
      <c r="L12" s="593" t="s">
        <v>2318</v>
      </c>
      <c r="M12" s="587" t="s">
        <v>2278</v>
      </c>
      <c r="N12" s="587"/>
      <c r="O12" s="589"/>
      <c r="P12" s="371"/>
      <c r="Q12" s="371"/>
      <c r="R12" s="371" t="s">
        <v>1730</v>
      </c>
      <c r="S12" s="594" t="s">
        <v>2319</v>
      </c>
      <c r="T12" s="591">
        <v>44576</v>
      </c>
      <c r="U12" s="221">
        <v>83.42</v>
      </c>
      <c r="V12" s="592">
        <v>61.5</v>
      </c>
      <c r="W12" s="380"/>
      <c r="X12" s="373"/>
      <c r="Y12" s="486" t="b">
        <f>NOT(ISERROR(MATCH(B12,#REF!,0)))</f>
        <v>0</v>
      </c>
    </row>
    <row r="13" spans="1:25" hidden="1">
      <c r="A13" s="201">
        <f t="shared" si="0"/>
        <v>12</v>
      </c>
      <c r="B13" s="202" t="s">
        <v>506</v>
      </c>
      <c r="C13" s="203" t="s">
        <v>2320</v>
      </c>
      <c r="D13" s="201" t="s">
        <v>2270</v>
      </c>
      <c r="E13" s="204" t="s">
        <v>2308</v>
      </c>
      <c r="F13" s="204" t="s">
        <v>2272</v>
      </c>
      <c r="G13" s="201" t="s">
        <v>2273</v>
      </c>
      <c r="H13" s="201" t="s">
        <v>2188</v>
      </c>
      <c r="I13" s="207" t="s">
        <v>2312</v>
      </c>
      <c r="J13" s="201" t="s">
        <v>2276</v>
      </c>
      <c r="K13" s="201" t="s">
        <v>2276</v>
      </c>
      <c r="L13" s="205" t="s">
        <v>2302</v>
      </c>
      <c r="M13" s="205" t="s">
        <v>2278</v>
      </c>
      <c r="N13" s="205"/>
      <c r="O13" s="349"/>
      <c r="P13" s="230"/>
      <c r="Q13" s="230"/>
      <c r="R13" s="230" t="s">
        <v>1730</v>
      </c>
      <c r="S13" s="356" t="s">
        <v>2321</v>
      </c>
      <c r="T13" s="206">
        <v>44576</v>
      </c>
      <c r="U13" s="201">
        <v>25.06</v>
      </c>
      <c r="V13" s="208">
        <v>25.06</v>
      </c>
      <c r="W13" s="197"/>
      <c r="X13" s="194"/>
      <c r="Y13" s="486" t="b">
        <f>NOT(ISERROR(MATCH(B13,#REF!,0)))</f>
        <v>0</v>
      </c>
    </row>
    <row r="14" spans="1:25" hidden="1">
      <c r="A14" s="217">
        <f t="shared" si="0"/>
        <v>13</v>
      </c>
      <c r="B14" s="241" t="s">
        <v>2322</v>
      </c>
      <c r="C14" s="224" t="s">
        <v>2323</v>
      </c>
      <c r="D14" s="217" t="s">
        <v>2270</v>
      </c>
      <c r="E14" s="222" t="s">
        <v>2324</v>
      </c>
      <c r="F14" s="222" t="s">
        <v>2272</v>
      </c>
      <c r="G14" s="217" t="s">
        <v>2273</v>
      </c>
      <c r="H14" s="225" t="s">
        <v>2194</v>
      </c>
      <c r="I14" s="223" t="s">
        <v>2325</v>
      </c>
      <c r="J14" s="217" t="s">
        <v>2275</v>
      </c>
      <c r="K14" s="217" t="s">
        <v>2276</v>
      </c>
      <c r="L14" s="225" t="s">
        <v>1689</v>
      </c>
      <c r="M14" s="225" t="s">
        <v>2278</v>
      </c>
      <c r="N14" s="225"/>
      <c r="O14" s="351"/>
      <c r="P14" s="237"/>
      <c r="Q14" s="237"/>
      <c r="R14" s="237" t="s">
        <v>1730</v>
      </c>
      <c r="S14" s="519" t="s">
        <v>2326</v>
      </c>
      <c r="T14" s="218">
        <v>43446</v>
      </c>
      <c r="U14" s="217">
        <v>363</v>
      </c>
      <c r="V14" s="226">
        <v>302</v>
      </c>
      <c r="W14" s="198"/>
      <c r="X14" s="195"/>
      <c r="Y14" s="486" t="b">
        <f>NOT(ISERROR(MATCH(B14,#REF!,0)))</f>
        <v>0</v>
      </c>
    </row>
    <row r="15" spans="1:25" ht="24">
      <c r="A15" s="197">
        <f t="shared" si="0"/>
        <v>14</v>
      </c>
      <c r="B15" s="568" t="s">
        <v>55</v>
      </c>
      <c r="C15" s="229" t="s">
        <v>2327</v>
      </c>
      <c r="D15" s="197" t="s">
        <v>2295</v>
      </c>
      <c r="E15" s="227" t="s">
        <v>2328</v>
      </c>
      <c r="F15" s="227" t="s">
        <v>2272</v>
      </c>
      <c r="G15" s="197" t="s">
        <v>2273</v>
      </c>
      <c r="H15" s="197" t="s">
        <v>2179</v>
      </c>
      <c r="I15" s="228" t="s">
        <v>2329</v>
      </c>
      <c r="J15" s="197" t="s">
        <v>2276</v>
      </c>
      <c r="K15" s="197" t="s">
        <v>2276</v>
      </c>
      <c r="L15" s="230" t="s">
        <v>2278</v>
      </c>
      <c r="M15" s="230" t="s">
        <v>2278</v>
      </c>
      <c r="N15" s="230"/>
      <c r="O15" s="230"/>
      <c r="P15" s="493" t="s">
        <v>2330</v>
      </c>
      <c r="Q15" s="493" t="s">
        <v>2331</v>
      </c>
      <c r="R15" s="230" t="s">
        <v>1730</v>
      </c>
      <c r="S15" s="574" t="s">
        <v>2332</v>
      </c>
      <c r="T15" s="219">
        <v>44153</v>
      </c>
      <c r="U15" s="197">
        <v>68.73</v>
      </c>
      <c r="V15" s="197">
        <v>57.26</v>
      </c>
      <c r="W15" s="197"/>
      <c r="X15" s="194"/>
      <c r="Y15" s="575" t="b">
        <f>NOT(ISERROR(MATCH(B15,#REF!,0)))</f>
        <v>0</v>
      </c>
    </row>
    <row r="16" spans="1:25">
      <c r="A16" s="197">
        <f t="shared" si="0"/>
        <v>15</v>
      </c>
      <c r="B16" s="568" t="s">
        <v>342</v>
      </c>
      <c r="C16" s="229" t="s">
        <v>2333</v>
      </c>
      <c r="D16" s="197" t="s">
        <v>2295</v>
      </c>
      <c r="E16" s="227" t="s">
        <v>2328</v>
      </c>
      <c r="F16" s="227" t="s">
        <v>2272</v>
      </c>
      <c r="G16" s="197" t="s">
        <v>2273</v>
      </c>
      <c r="H16" s="197" t="s">
        <v>2192</v>
      </c>
      <c r="I16" s="228" t="s">
        <v>2334</v>
      </c>
      <c r="J16" s="197" t="s">
        <v>2276</v>
      </c>
      <c r="K16" s="197" t="s">
        <v>2276</v>
      </c>
      <c r="L16" s="230" t="s">
        <v>2302</v>
      </c>
      <c r="M16" s="230" t="s">
        <v>2278</v>
      </c>
      <c r="N16" s="230"/>
      <c r="O16" s="230"/>
      <c r="P16" s="230"/>
      <c r="Q16" s="230"/>
      <c r="R16" s="230" t="s">
        <v>1730</v>
      </c>
      <c r="S16" s="574" t="s">
        <v>2335</v>
      </c>
      <c r="T16" s="219">
        <v>44226</v>
      </c>
      <c r="U16" s="197">
        <v>25</v>
      </c>
      <c r="V16" s="197">
        <v>25</v>
      </c>
      <c r="W16" s="197"/>
      <c r="X16" s="194"/>
      <c r="Y16" s="575" t="b">
        <f>NOT(ISERROR(MATCH(B16,#REF!,0)))</f>
        <v>0</v>
      </c>
    </row>
    <row r="17" spans="1:25" hidden="1">
      <c r="A17" s="221">
        <f t="shared" si="0"/>
        <v>16</v>
      </c>
      <c r="B17" s="584" t="s">
        <v>184</v>
      </c>
      <c r="C17" s="585" t="s">
        <v>2336</v>
      </c>
      <c r="D17" s="221" t="s">
        <v>2270</v>
      </c>
      <c r="E17" s="586" t="s">
        <v>2337</v>
      </c>
      <c r="F17" s="586" t="s">
        <v>2338</v>
      </c>
      <c r="G17" s="221" t="s">
        <v>2273</v>
      </c>
      <c r="H17" s="587" t="s">
        <v>2194</v>
      </c>
      <c r="I17" s="588" t="s">
        <v>2339</v>
      </c>
      <c r="J17" s="221" t="s">
        <v>2276</v>
      </c>
      <c r="K17" s="221" t="s">
        <v>2290</v>
      </c>
      <c r="L17" s="587"/>
      <c r="M17" s="587" t="s">
        <v>2196</v>
      </c>
      <c r="N17" s="587"/>
      <c r="O17" s="589"/>
      <c r="P17" s="371"/>
      <c r="Q17" s="371"/>
      <c r="R17" s="371" t="s">
        <v>1730</v>
      </c>
      <c r="S17" s="594" t="s">
        <v>2340</v>
      </c>
      <c r="T17" s="591">
        <v>44211</v>
      </c>
      <c r="U17" s="221">
        <v>132.5</v>
      </c>
      <c r="V17" s="592">
        <v>117.5</v>
      </c>
      <c r="W17" s="380"/>
      <c r="X17" s="373"/>
      <c r="Y17" s="486" t="b">
        <f>NOT(ISERROR(MATCH(B17,#REF!,0)))</f>
        <v>0</v>
      </c>
    </row>
    <row r="18" spans="1:25">
      <c r="A18" s="201">
        <f t="shared" si="0"/>
        <v>17</v>
      </c>
      <c r="B18" s="569" t="s">
        <v>2341</v>
      </c>
      <c r="C18" s="203" t="s">
        <v>2342</v>
      </c>
      <c r="D18" s="201" t="s">
        <v>2295</v>
      </c>
      <c r="E18" s="204" t="s">
        <v>2337</v>
      </c>
      <c r="F18" s="204" t="s">
        <v>2338</v>
      </c>
      <c r="G18" s="201" t="s">
        <v>2273</v>
      </c>
      <c r="H18" s="201" t="s">
        <v>2181</v>
      </c>
      <c r="I18" s="207" t="s">
        <v>2343</v>
      </c>
      <c r="J18" s="201" t="s">
        <v>2289</v>
      </c>
      <c r="K18" s="201" t="s">
        <v>2290</v>
      </c>
      <c r="L18" s="205" t="s">
        <v>2302</v>
      </c>
      <c r="M18" s="205" t="s">
        <v>2278</v>
      </c>
      <c r="N18" s="205"/>
      <c r="O18" s="349" t="s">
        <v>2344</v>
      </c>
      <c r="P18" s="230"/>
      <c r="Q18" s="230"/>
      <c r="R18" s="230" t="s">
        <v>1730</v>
      </c>
      <c r="S18" s="356" t="s">
        <v>2345</v>
      </c>
      <c r="T18" s="206">
        <v>44763</v>
      </c>
      <c r="U18" s="201">
        <v>82.2</v>
      </c>
      <c r="V18" s="208">
        <v>62.2</v>
      </c>
      <c r="W18" s="197"/>
      <c r="X18" s="194"/>
      <c r="Y18" s="486" t="b">
        <f>NOT(ISERROR(MATCH(B18,#REF!,0)))</f>
        <v>0</v>
      </c>
    </row>
    <row r="19" spans="1:25">
      <c r="A19" s="217">
        <f t="shared" si="0"/>
        <v>18</v>
      </c>
      <c r="B19" s="570" t="s">
        <v>2346</v>
      </c>
      <c r="C19" s="224" t="s">
        <v>2347</v>
      </c>
      <c r="D19" s="217" t="s">
        <v>2295</v>
      </c>
      <c r="E19" s="222" t="s">
        <v>2337</v>
      </c>
      <c r="F19" s="222" t="s">
        <v>2338</v>
      </c>
      <c r="G19" s="217" t="s">
        <v>2273</v>
      </c>
      <c r="H19" s="217" t="s">
        <v>2192</v>
      </c>
      <c r="I19" s="223" t="s">
        <v>2343</v>
      </c>
      <c r="J19" s="217" t="s">
        <v>2289</v>
      </c>
      <c r="K19" s="217" t="s">
        <v>2290</v>
      </c>
      <c r="L19" s="225"/>
      <c r="M19" s="225" t="s">
        <v>2348</v>
      </c>
      <c r="N19" s="225"/>
      <c r="O19" s="351" t="s">
        <v>2344</v>
      </c>
      <c r="P19" s="237"/>
      <c r="Q19" s="237"/>
      <c r="R19" s="237" t="s">
        <v>1730</v>
      </c>
      <c r="S19" s="519" t="s">
        <v>2349</v>
      </c>
      <c r="T19" s="218">
        <v>44763</v>
      </c>
      <c r="U19" s="217"/>
      <c r="V19" s="226"/>
      <c r="W19" s="198"/>
      <c r="X19" s="195"/>
      <c r="Y19" s="486" t="b">
        <f>NOT(ISERROR(MATCH(B19,#REF!,0)))</f>
        <v>0</v>
      </c>
    </row>
    <row r="20" spans="1:25">
      <c r="A20" s="197">
        <f t="shared" si="0"/>
        <v>19</v>
      </c>
      <c r="B20" s="568" t="s">
        <v>381</v>
      </c>
      <c r="C20" s="229" t="s">
        <v>2350</v>
      </c>
      <c r="D20" s="197" t="s">
        <v>2295</v>
      </c>
      <c r="E20" s="227" t="s">
        <v>2351</v>
      </c>
      <c r="F20" s="227" t="s">
        <v>2272</v>
      </c>
      <c r="G20" s="197" t="s">
        <v>2273</v>
      </c>
      <c r="H20" s="197" t="s">
        <v>2181</v>
      </c>
      <c r="I20" s="228" t="s">
        <v>2352</v>
      </c>
      <c r="J20" s="197" t="s">
        <v>2276</v>
      </c>
      <c r="K20" s="197" t="s">
        <v>2276</v>
      </c>
      <c r="L20" s="230" t="s">
        <v>2302</v>
      </c>
      <c r="M20" s="230" t="s">
        <v>2278</v>
      </c>
      <c r="N20" s="230"/>
      <c r="O20" s="230"/>
      <c r="P20" s="230" t="s">
        <v>2278</v>
      </c>
      <c r="Q20" s="230"/>
      <c r="R20" s="348" t="s">
        <v>2313</v>
      </c>
      <c r="S20" s="574" t="s">
        <v>2353</v>
      </c>
      <c r="T20" s="219">
        <v>44576</v>
      </c>
      <c r="U20" s="197">
        <v>98</v>
      </c>
      <c r="V20" s="197">
        <v>62</v>
      </c>
      <c r="W20" s="197"/>
      <c r="X20" s="194"/>
      <c r="Y20" s="575" t="b">
        <f>NOT(ISERROR(MATCH(B20,#REF!,0)))</f>
        <v>0</v>
      </c>
    </row>
    <row r="21" spans="1:25" hidden="1">
      <c r="A21" s="517">
        <f t="shared" si="0"/>
        <v>20</v>
      </c>
      <c r="B21" s="595" t="s">
        <v>360</v>
      </c>
      <c r="C21" s="236" t="s">
        <v>2354</v>
      </c>
      <c r="D21" s="517" t="s">
        <v>2270</v>
      </c>
      <c r="E21" s="596" t="s">
        <v>2355</v>
      </c>
      <c r="F21" s="596" t="s">
        <v>2272</v>
      </c>
      <c r="G21" s="517" t="s">
        <v>2273</v>
      </c>
      <c r="H21" s="517" t="s">
        <v>2181</v>
      </c>
      <c r="I21" s="597" t="s">
        <v>2356</v>
      </c>
      <c r="J21" s="517" t="s">
        <v>2276</v>
      </c>
      <c r="K21" s="517" t="s">
        <v>2276</v>
      </c>
      <c r="L21" s="384" t="s">
        <v>2302</v>
      </c>
      <c r="M21" s="384" t="s">
        <v>2278</v>
      </c>
      <c r="N21" s="384"/>
      <c r="O21" s="598"/>
      <c r="P21" s="599" t="s">
        <v>2278</v>
      </c>
      <c r="Q21" s="599"/>
      <c r="R21" s="600" t="s">
        <v>2313</v>
      </c>
      <c r="S21" s="601" t="s">
        <v>2357</v>
      </c>
      <c r="T21" s="602">
        <v>44562</v>
      </c>
      <c r="U21" s="517">
        <v>32</v>
      </c>
      <c r="V21" s="365">
        <v>32</v>
      </c>
      <c r="W21" s="369"/>
      <c r="X21" s="603"/>
      <c r="Y21" s="486" t="b">
        <f>NOT(ISERROR(MATCH(B21,#REF!,0)))</f>
        <v>0</v>
      </c>
    </row>
    <row r="22" spans="1:25" ht="26.25" customHeight="1">
      <c r="A22" s="197">
        <f t="shared" si="0"/>
        <v>21</v>
      </c>
      <c r="B22" s="568" t="s">
        <v>454</v>
      </c>
      <c r="C22" s="229" t="s">
        <v>2358</v>
      </c>
      <c r="D22" s="197" t="s">
        <v>2295</v>
      </c>
      <c r="E22" s="227" t="s">
        <v>2359</v>
      </c>
      <c r="F22" s="227" t="s">
        <v>2272</v>
      </c>
      <c r="G22" s="197" t="s">
        <v>2273</v>
      </c>
      <c r="H22" s="197" t="s">
        <v>2181</v>
      </c>
      <c r="I22" s="228" t="s">
        <v>2360</v>
      </c>
      <c r="J22" s="197" t="s">
        <v>2276</v>
      </c>
      <c r="K22" s="197" t="s">
        <v>2276</v>
      </c>
      <c r="L22" s="230" t="s">
        <v>2302</v>
      </c>
      <c r="M22" s="230" t="s">
        <v>2278</v>
      </c>
      <c r="N22" s="230"/>
      <c r="O22" s="230"/>
      <c r="P22" s="230" t="s">
        <v>2278</v>
      </c>
      <c r="Q22" s="230"/>
      <c r="R22" s="348" t="s">
        <v>2313</v>
      </c>
      <c r="S22" s="574" t="s">
        <v>2361</v>
      </c>
      <c r="T22" s="219">
        <v>44652</v>
      </c>
      <c r="U22" s="197">
        <v>88</v>
      </c>
      <c r="V22" s="197">
        <v>54.7</v>
      </c>
      <c r="W22" s="197"/>
      <c r="X22" s="243" t="s">
        <v>2362</v>
      </c>
      <c r="Y22" s="575" t="b">
        <f>NOT(ISERROR(MATCH(B22,#REF!,0)))</f>
        <v>0</v>
      </c>
    </row>
    <row r="23" spans="1:25" ht="18" customHeight="1">
      <c r="A23" s="197">
        <f t="shared" si="0"/>
        <v>22</v>
      </c>
      <c r="B23" s="568" t="s">
        <v>373</v>
      </c>
      <c r="C23" s="229" t="s">
        <v>2363</v>
      </c>
      <c r="D23" s="197" t="s">
        <v>2295</v>
      </c>
      <c r="E23" s="227" t="s">
        <v>2364</v>
      </c>
      <c r="F23" s="227" t="s">
        <v>2365</v>
      </c>
      <c r="G23" s="197" t="s">
        <v>2273</v>
      </c>
      <c r="H23" s="197" t="s">
        <v>2181</v>
      </c>
      <c r="I23" s="228" t="s">
        <v>2366</v>
      </c>
      <c r="J23" s="197" t="s">
        <v>2276</v>
      </c>
      <c r="K23" s="197" t="s">
        <v>2276</v>
      </c>
      <c r="L23" s="230" t="s">
        <v>2302</v>
      </c>
      <c r="M23" s="230" t="s">
        <v>2278</v>
      </c>
      <c r="N23" s="230"/>
      <c r="O23" s="230"/>
      <c r="P23" s="230"/>
      <c r="Q23" s="230"/>
      <c r="R23" s="348" t="s">
        <v>2313</v>
      </c>
      <c r="S23" s="574" t="s">
        <v>2367</v>
      </c>
      <c r="T23" s="219">
        <v>44666</v>
      </c>
      <c r="U23" s="197">
        <v>95.5</v>
      </c>
      <c r="V23" s="197">
        <v>74.2</v>
      </c>
      <c r="W23" s="197"/>
      <c r="X23" s="194"/>
      <c r="Y23" s="575" t="b">
        <f>NOT(ISERROR(MATCH(B23,#REF!,0)))</f>
        <v>0</v>
      </c>
    </row>
    <row r="24" spans="1:25" ht="24">
      <c r="A24" s="197">
        <f t="shared" si="0"/>
        <v>23</v>
      </c>
      <c r="B24" s="568" t="s">
        <v>415</v>
      </c>
      <c r="C24" s="229" t="s">
        <v>2368</v>
      </c>
      <c r="D24" s="197" t="s">
        <v>2295</v>
      </c>
      <c r="E24" s="227" t="s">
        <v>2369</v>
      </c>
      <c r="F24" s="227" t="s">
        <v>2272</v>
      </c>
      <c r="G24" s="197" t="s">
        <v>2273</v>
      </c>
      <c r="H24" s="197" t="s">
        <v>2181</v>
      </c>
      <c r="I24" s="228" t="s">
        <v>2370</v>
      </c>
      <c r="J24" s="197" t="s">
        <v>2276</v>
      </c>
      <c r="K24" s="197" t="s">
        <v>2276</v>
      </c>
      <c r="L24" s="230" t="s">
        <v>2302</v>
      </c>
      <c r="M24" s="230" t="s">
        <v>2278</v>
      </c>
      <c r="N24" s="230"/>
      <c r="O24" s="230"/>
      <c r="P24" s="230"/>
      <c r="Q24" s="230"/>
      <c r="R24" s="348" t="s">
        <v>2313</v>
      </c>
      <c r="S24" s="574" t="s">
        <v>2371</v>
      </c>
      <c r="T24" s="219">
        <v>44679</v>
      </c>
      <c r="U24" s="197">
        <v>60.27</v>
      </c>
      <c r="V24" s="197">
        <v>48.6</v>
      </c>
      <c r="W24" s="197"/>
      <c r="X24" s="194"/>
      <c r="Y24" s="575" t="b">
        <f>NOT(ISERROR(MATCH(B24,#REF!,0)))</f>
        <v>0</v>
      </c>
    </row>
    <row r="25" spans="1:25" hidden="1">
      <c r="A25" s="517">
        <f t="shared" si="0"/>
        <v>24</v>
      </c>
      <c r="B25" s="595" t="s">
        <v>388</v>
      </c>
      <c r="C25" s="236" t="s">
        <v>2372</v>
      </c>
      <c r="D25" s="517" t="s">
        <v>2270</v>
      </c>
      <c r="E25" s="596" t="s">
        <v>2373</v>
      </c>
      <c r="F25" s="596" t="s">
        <v>2374</v>
      </c>
      <c r="G25" s="517" t="s">
        <v>2273</v>
      </c>
      <c r="H25" s="517" t="s">
        <v>2181</v>
      </c>
      <c r="I25" s="597" t="s">
        <v>2375</v>
      </c>
      <c r="J25" s="517" t="s">
        <v>2276</v>
      </c>
      <c r="K25" s="517" t="s">
        <v>2276</v>
      </c>
      <c r="L25" s="384" t="s">
        <v>2196</v>
      </c>
      <c r="M25" s="384" t="s">
        <v>2278</v>
      </c>
      <c r="N25" s="384"/>
      <c r="O25" s="598"/>
      <c r="P25" s="599" t="s">
        <v>2376</v>
      </c>
      <c r="Q25" s="599"/>
      <c r="R25" s="600" t="s">
        <v>2313</v>
      </c>
      <c r="S25" s="601" t="s">
        <v>2377</v>
      </c>
      <c r="T25" s="602">
        <v>44722</v>
      </c>
      <c r="U25" s="517">
        <v>72.599999999999994</v>
      </c>
      <c r="V25" s="365"/>
      <c r="W25" s="369"/>
      <c r="X25" s="603"/>
      <c r="Y25" s="486" t="b">
        <f>NOT(ISERROR(MATCH(B25,#REF!,0)))</f>
        <v>0</v>
      </c>
    </row>
    <row r="26" spans="1:25" ht="18" customHeight="1">
      <c r="A26" s="197">
        <f t="shared" si="0"/>
        <v>25</v>
      </c>
      <c r="B26" s="568" t="s">
        <v>385</v>
      </c>
      <c r="C26" s="229" t="s">
        <v>2378</v>
      </c>
      <c r="D26" s="197" t="s">
        <v>2295</v>
      </c>
      <c r="E26" s="227" t="s">
        <v>2379</v>
      </c>
      <c r="F26" s="227" t="s">
        <v>2272</v>
      </c>
      <c r="G26" s="197" t="s">
        <v>2273</v>
      </c>
      <c r="H26" s="197" t="s">
        <v>2181</v>
      </c>
      <c r="I26" s="228" t="s">
        <v>2380</v>
      </c>
      <c r="J26" s="197" t="s">
        <v>2276</v>
      </c>
      <c r="K26" s="197" t="s">
        <v>2276</v>
      </c>
      <c r="L26" s="230" t="s">
        <v>2302</v>
      </c>
      <c r="M26" s="230" t="s">
        <v>2278</v>
      </c>
      <c r="N26" s="230"/>
      <c r="O26" s="230"/>
      <c r="P26" s="230" t="s">
        <v>2278</v>
      </c>
      <c r="Q26" s="230"/>
      <c r="R26" s="348" t="s">
        <v>2313</v>
      </c>
      <c r="S26" s="574" t="s">
        <v>2381</v>
      </c>
      <c r="T26" s="219">
        <v>44736</v>
      </c>
      <c r="U26" s="197"/>
      <c r="V26" s="197"/>
      <c r="W26" s="197"/>
      <c r="X26" s="194"/>
      <c r="Y26" s="575" t="b">
        <f>NOT(ISERROR(MATCH(B26,#REF!,0)))</f>
        <v>0</v>
      </c>
    </row>
    <row r="27" spans="1:25" ht="18" hidden="1" customHeight="1">
      <c r="A27" s="221">
        <f t="shared" si="0"/>
        <v>26</v>
      </c>
      <c r="B27" s="584" t="s">
        <v>206</v>
      </c>
      <c r="C27" s="585" t="s">
        <v>2382</v>
      </c>
      <c r="D27" s="221" t="s">
        <v>2270</v>
      </c>
      <c r="E27" s="586" t="s">
        <v>2383</v>
      </c>
      <c r="F27" s="586" t="s">
        <v>2384</v>
      </c>
      <c r="G27" s="221" t="s">
        <v>2385</v>
      </c>
      <c r="H27" s="221" t="s">
        <v>2183</v>
      </c>
      <c r="I27" s="588" t="s">
        <v>2386</v>
      </c>
      <c r="J27" s="221" t="s">
        <v>2276</v>
      </c>
      <c r="K27" s="221" t="s">
        <v>2290</v>
      </c>
      <c r="L27" s="587" t="s">
        <v>2196</v>
      </c>
      <c r="M27" s="587" t="s">
        <v>2278</v>
      </c>
      <c r="N27" s="587"/>
      <c r="O27" s="589"/>
      <c r="P27" s="371"/>
      <c r="Q27" s="371"/>
      <c r="R27" s="371" t="s">
        <v>1730</v>
      </c>
      <c r="S27" s="594" t="s">
        <v>2387</v>
      </c>
      <c r="T27" s="591">
        <v>44179</v>
      </c>
      <c r="U27" s="221">
        <v>100</v>
      </c>
      <c r="V27" s="592">
        <v>84</v>
      </c>
      <c r="W27" s="380" t="s">
        <v>147</v>
      </c>
      <c r="X27" s="373"/>
      <c r="Y27" s="486" t="b">
        <f>NOT(ISERROR(MATCH(B27,#REF!,0)))</f>
        <v>0</v>
      </c>
    </row>
    <row r="28" spans="1:25" hidden="1">
      <c r="A28" s="201">
        <f t="shared" si="0"/>
        <v>27</v>
      </c>
      <c r="B28" s="202" t="s">
        <v>2388</v>
      </c>
      <c r="C28" s="203" t="s">
        <v>2389</v>
      </c>
      <c r="D28" s="201" t="s">
        <v>2270</v>
      </c>
      <c r="E28" s="204" t="s">
        <v>2383</v>
      </c>
      <c r="F28" s="204" t="s">
        <v>2384</v>
      </c>
      <c r="G28" s="201" t="s">
        <v>2385</v>
      </c>
      <c r="H28" s="201" t="s">
        <v>2188</v>
      </c>
      <c r="I28" s="207" t="s">
        <v>2386</v>
      </c>
      <c r="J28" s="201" t="s">
        <v>2276</v>
      </c>
      <c r="K28" s="201" t="s">
        <v>2290</v>
      </c>
      <c r="L28" s="205" t="s">
        <v>2390</v>
      </c>
      <c r="M28" s="205" t="s">
        <v>2390</v>
      </c>
      <c r="N28" s="205"/>
      <c r="O28" s="349"/>
      <c r="P28" s="230"/>
      <c r="Q28" s="230"/>
      <c r="R28" s="230" t="s">
        <v>1730</v>
      </c>
      <c r="S28" s="356" t="s">
        <v>2391</v>
      </c>
      <c r="T28" s="206">
        <v>44179</v>
      </c>
      <c r="U28" s="201">
        <v>37</v>
      </c>
      <c r="V28" s="208">
        <v>30</v>
      </c>
      <c r="W28" s="197" t="s">
        <v>147</v>
      </c>
      <c r="X28" s="194"/>
      <c r="Y28" s="486" t="b">
        <f>NOT(ISERROR(MATCH(B28,#REF!,0)))</f>
        <v>0</v>
      </c>
    </row>
    <row r="29" spans="1:25">
      <c r="A29" s="201">
        <f t="shared" si="0"/>
        <v>28</v>
      </c>
      <c r="B29" s="569" t="s">
        <v>2392</v>
      </c>
      <c r="C29" s="203" t="s">
        <v>2393</v>
      </c>
      <c r="D29" s="201" t="s">
        <v>2295</v>
      </c>
      <c r="E29" s="204" t="s">
        <v>2394</v>
      </c>
      <c r="F29" s="204" t="s">
        <v>2395</v>
      </c>
      <c r="G29" s="201" t="s">
        <v>2385</v>
      </c>
      <c r="H29" s="205" t="s">
        <v>2194</v>
      </c>
      <c r="I29" s="207" t="s">
        <v>2396</v>
      </c>
      <c r="J29" s="201" t="s">
        <v>2276</v>
      </c>
      <c r="K29" s="201" t="s">
        <v>2290</v>
      </c>
      <c r="L29" s="205" t="s">
        <v>2302</v>
      </c>
      <c r="M29" s="205" t="s">
        <v>2278</v>
      </c>
      <c r="N29" s="205"/>
      <c r="O29" s="349"/>
      <c r="P29" s="230"/>
      <c r="Q29" s="230"/>
      <c r="R29" s="230" t="s">
        <v>1730</v>
      </c>
      <c r="S29" s="356" t="s">
        <v>2397</v>
      </c>
      <c r="T29" s="206">
        <v>44217</v>
      </c>
      <c r="U29" s="201">
        <v>127</v>
      </c>
      <c r="V29" s="208">
        <v>98.45</v>
      </c>
      <c r="W29" s="197"/>
      <c r="X29" s="194"/>
      <c r="Y29" s="486" t="b">
        <f>NOT(ISERROR(MATCH(B29,#REF!,0)))</f>
        <v>0</v>
      </c>
    </row>
    <row r="30" spans="1:25">
      <c r="A30" s="201">
        <f t="shared" si="0"/>
        <v>29</v>
      </c>
      <c r="B30" s="569" t="s">
        <v>347</v>
      </c>
      <c r="C30" s="203" t="s">
        <v>2398</v>
      </c>
      <c r="D30" s="201" t="s">
        <v>2295</v>
      </c>
      <c r="E30" s="204" t="s">
        <v>2394</v>
      </c>
      <c r="F30" s="204" t="s">
        <v>2395</v>
      </c>
      <c r="G30" s="201" t="s">
        <v>2385</v>
      </c>
      <c r="H30" s="201" t="s">
        <v>2181</v>
      </c>
      <c r="I30" s="207" t="s">
        <v>2396</v>
      </c>
      <c r="J30" s="201" t="s">
        <v>2276</v>
      </c>
      <c r="K30" s="201" t="s">
        <v>2290</v>
      </c>
      <c r="L30" s="205" t="s">
        <v>2399</v>
      </c>
      <c r="M30" s="205" t="s">
        <v>2399</v>
      </c>
      <c r="N30" s="205"/>
      <c r="O30" s="349"/>
      <c r="P30" s="230"/>
      <c r="Q30" s="230"/>
      <c r="R30" s="230" t="s">
        <v>1730</v>
      </c>
      <c r="S30" s="356" t="s">
        <v>2400</v>
      </c>
      <c r="T30" s="206">
        <v>44576</v>
      </c>
      <c r="U30" s="201">
        <v>57.1</v>
      </c>
      <c r="V30" s="208">
        <v>57.1</v>
      </c>
      <c r="W30" s="197"/>
      <c r="X30" s="194"/>
      <c r="Y30" s="486" t="b">
        <f>NOT(ISERROR(MATCH(B30,#REF!,0)))</f>
        <v>0</v>
      </c>
    </row>
    <row r="31" spans="1:25" hidden="1">
      <c r="A31" s="201">
        <f t="shared" si="0"/>
        <v>30</v>
      </c>
      <c r="B31" s="202" t="s">
        <v>194</v>
      </c>
      <c r="C31" s="203" t="s">
        <v>2401</v>
      </c>
      <c r="D31" s="201" t="s">
        <v>2270</v>
      </c>
      <c r="E31" s="204" t="s">
        <v>2402</v>
      </c>
      <c r="F31" s="204" t="s">
        <v>2395</v>
      </c>
      <c r="G31" s="201" t="s">
        <v>2385</v>
      </c>
      <c r="H31" s="201" t="s">
        <v>2183</v>
      </c>
      <c r="I31" s="207" t="s">
        <v>2403</v>
      </c>
      <c r="J31" s="201" t="s">
        <v>2276</v>
      </c>
      <c r="K31" s="201" t="s">
        <v>2290</v>
      </c>
      <c r="L31" s="205" t="s">
        <v>2196</v>
      </c>
      <c r="M31" s="205" t="s">
        <v>2278</v>
      </c>
      <c r="N31" s="205"/>
      <c r="O31" s="349"/>
      <c r="P31" s="230"/>
      <c r="Q31" s="230"/>
      <c r="R31" s="230" t="s">
        <v>1730</v>
      </c>
      <c r="S31" s="356" t="s">
        <v>2404</v>
      </c>
      <c r="T31" s="206">
        <v>44548</v>
      </c>
      <c r="U31" s="201">
        <v>82.12</v>
      </c>
      <c r="V31" s="208">
        <v>56.8</v>
      </c>
      <c r="W31" s="197"/>
      <c r="X31" s="194"/>
      <c r="Y31" s="486" t="b">
        <f>NOT(ISERROR(MATCH(B31,#REF!,0)))</f>
        <v>0</v>
      </c>
    </row>
    <row r="32" spans="1:25" hidden="1">
      <c r="A32" s="201">
        <f t="shared" si="0"/>
        <v>31</v>
      </c>
      <c r="B32" s="202" t="s">
        <v>240</v>
      </c>
      <c r="C32" s="203" t="s">
        <v>2405</v>
      </c>
      <c r="D32" s="201" t="s">
        <v>2270</v>
      </c>
      <c r="E32" s="204" t="s">
        <v>2402</v>
      </c>
      <c r="F32" s="204" t="s">
        <v>2395</v>
      </c>
      <c r="G32" s="201" t="s">
        <v>2385</v>
      </c>
      <c r="H32" s="201" t="s">
        <v>2188</v>
      </c>
      <c r="I32" s="207" t="s">
        <v>2403</v>
      </c>
      <c r="J32" s="201" t="s">
        <v>2276</v>
      </c>
      <c r="K32" s="201" t="s">
        <v>2290</v>
      </c>
      <c r="L32" s="205" t="s">
        <v>883</v>
      </c>
      <c r="M32" s="205" t="s">
        <v>2406</v>
      </c>
      <c r="N32" s="205"/>
      <c r="O32" s="349"/>
      <c r="P32" s="198" t="s">
        <v>2196</v>
      </c>
      <c r="Q32" s="198"/>
      <c r="R32" s="230" t="s">
        <v>1730</v>
      </c>
      <c r="S32" s="356" t="s">
        <v>2407</v>
      </c>
      <c r="T32" s="206">
        <v>44548</v>
      </c>
      <c r="U32" s="201">
        <v>50</v>
      </c>
      <c r="V32" s="208">
        <v>40.5</v>
      </c>
      <c r="W32" s="197"/>
      <c r="X32" s="194"/>
      <c r="Y32" s="486" t="b">
        <f>NOT(ISERROR(MATCH(B32,#REF!,0)))</f>
        <v>0</v>
      </c>
    </row>
    <row r="33" spans="1:25" hidden="1">
      <c r="A33" s="201">
        <f t="shared" si="0"/>
        <v>32</v>
      </c>
      <c r="B33" s="202" t="s">
        <v>309</v>
      </c>
      <c r="C33" s="203" t="s">
        <v>2408</v>
      </c>
      <c r="D33" s="201" t="s">
        <v>2270</v>
      </c>
      <c r="E33" s="204" t="s">
        <v>2402</v>
      </c>
      <c r="F33" s="204" t="s">
        <v>2395</v>
      </c>
      <c r="G33" s="201" t="s">
        <v>2385</v>
      </c>
      <c r="H33" s="201" t="s">
        <v>2181</v>
      </c>
      <c r="I33" s="207" t="s">
        <v>2409</v>
      </c>
      <c r="J33" s="201" t="s">
        <v>2276</v>
      </c>
      <c r="K33" s="201" t="s">
        <v>2290</v>
      </c>
      <c r="L33" s="205" t="s">
        <v>2302</v>
      </c>
      <c r="M33" s="205" t="s">
        <v>2278</v>
      </c>
      <c r="N33" s="205"/>
      <c r="O33" s="349"/>
      <c r="P33" s="230"/>
      <c r="Q33" s="230"/>
      <c r="R33" s="348" t="s">
        <v>2313</v>
      </c>
      <c r="S33" s="356" t="s">
        <v>2410</v>
      </c>
      <c r="T33" s="206">
        <v>44533</v>
      </c>
      <c r="U33" s="201">
        <v>128.13999999999999</v>
      </c>
      <c r="V33" s="208">
        <v>90.68</v>
      </c>
      <c r="W33" s="197"/>
      <c r="X33" s="194"/>
      <c r="Y33" s="486" t="b">
        <f>NOT(ISERROR(MATCH(B33,#REF!,0)))</f>
        <v>0</v>
      </c>
    </row>
    <row r="34" spans="1:25">
      <c r="A34" s="201">
        <f t="shared" si="0"/>
        <v>33</v>
      </c>
      <c r="B34" s="569" t="s">
        <v>226</v>
      </c>
      <c r="C34" s="203" t="s">
        <v>2411</v>
      </c>
      <c r="D34" s="201" t="s">
        <v>2295</v>
      </c>
      <c r="E34" s="204" t="s">
        <v>2412</v>
      </c>
      <c r="F34" s="204" t="s">
        <v>2395</v>
      </c>
      <c r="G34" s="201" t="s">
        <v>2385</v>
      </c>
      <c r="H34" s="201" t="s">
        <v>2188</v>
      </c>
      <c r="I34" s="207" t="s">
        <v>2413</v>
      </c>
      <c r="J34" s="201" t="s">
        <v>2276</v>
      </c>
      <c r="K34" s="201" t="s">
        <v>2290</v>
      </c>
      <c r="L34" s="205" t="s">
        <v>2302</v>
      </c>
      <c r="M34" s="205" t="s">
        <v>2278</v>
      </c>
      <c r="N34" s="205"/>
      <c r="O34" s="349"/>
      <c r="P34" s="198" t="s">
        <v>2196</v>
      </c>
      <c r="Q34" s="198"/>
      <c r="R34" s="230" t="s">
        <v>1730</v>
      </c>
      <c r="S34" s="356" t="s">
        <v>2414</v>
      </c>
      <c r="T34" s="206">
        <v>44554</v>
      </c>
      <c r="U34" s="201">
        <v>40.770000000000003</v>
      </c>
      <c r="V34" s="208">
        <v>30.1</v>
      </c>
      <c r="W34" s="197"/>
      <c r="X34" s="194"/>
      <c r="Y34" s="486" t="b">
        <f>NOT(ISERROR(MATCH(B34,#REF!,0)))</f>
        <v>0</v>
      </c>
    </row>
    <row r="35" spans="1:25">
      <c r="A35" s="201">
        <f t="shared" si="0"/>
        <v>34</v>
      </c>
      <c r="B35" s="569" t="s">
        <v>334</v>
      </c>
      <c r="C35" s="203" t="s">
        <v>2415</v>
      </c>
      <c r="D35" s="201" t="s">
        <v>2295</v>
      </c>
      <c r="E35" s="204" t="s">
        <v>2412</v>
      </c>
      <c r="F35" s="204" t="s">
        <v>2395</v>
      </c>
      <c r="G35" s="201" t="s">
        <v>2385</v>
      </c>
      <c r="H35" s="201" t="s">
        <v>2181</v>
      </c>
      <c r="I35" s="207" t="s">
        <v>2413</v>
      </c>
      <c r="J35" s="201" t="s">
        <v>2276</v>
      </c>
      <c r="K35" s="201" t="s">
        <v>2290</v>
      </c>
      <c r="L35" s="205" t="s">
        <v>2416</v>
      </c>
      <c r="M35" s="205" t="s">
        <v>2416</v>
      </c>
      <c r="N35" s="205"/>
      <c r="O35" s="349"/>
      <c r="P35" s="230"/>
      <c r="Q35" s="230"/>
      <c r="R35" s="348" t="s">
        <v>2313</v>
      </c>
      <c r="S35" s="356" t="s">
        <v>2417</v>
      </c>
      <c r="T35" s="206">
        <v>44554</v>
      </c>
      <c r="U35" s="201">
        <v>70</v>
      </c>
      <c r="V35" s="208">
        <v>53.4</v>
      </c>
      <c r="W35" s="197"/>
      <c r="X35" s="194"/>
      <c r="Y35" s="486" t="b">
        <f>NOT(ISERROR(MATCH(B35,#REF!,0)))</f>
        <v>0</v>
      </c>
    </row>
    <row r="36" spans="1:25" hidden="1">
      <c r="A36" s="201">
        <f t="shared" si="0"/>
        <v>35</v>
      </c>
      <c r="B36" s="202" t="s">
        <v>660</v>
      </c>
      <c r="C36" s="203" t="s">
        <v>2418</v>
      </c>
      <c r="D36" s="201" t="s">
        <v>2270</v>
      </c>
      <c r="E36" s="204" t="s">
        <v>2419</v>
      </c>
      <c r="F36" s="204" t="s">
        <v>2395</v>
      </c>
      <c r="G36" s="201" t="s">
        <v>2385</v>
      </c>
      <c r="H36" s="201" t="s">
        <v>2181</v>
      </c>
      <c r="I36" s="207" t="s">
        <v>2420</v>
      </c>
      <c r="J36" s="201" t="s">
        <v>2276</v>
      </c>
      <c r="K36" s="201" t="s">
        <v>2276</v>
      </c>
      <c r="L36" s="205" t="s">
        <v>2196</v>
      </c>
      <c r="M36" s="205" t="s">
        <v>2278</v>
      </c>
      <c r="N36" s="205"/>
      <c r="O36" s="349"/>
      <c r="P36" s="230"/>
      <c r="Q36" s="230"/>
      <c r="R36" s="242" t="s">
        <v>2421</v>
      </c>
      <c r="S36" s="356" t="s">
        <v>2422</v>
      </c>
      <c r="T36" s="206">
        <v>44679</v>
      </c>
      <c r="U36" s="201">
        <v>104.9</v>
      </c>
      <c r="V36" s="208">
        <v>84.4</v>
      </c>
      <c r="W36" s="197"/>
      <c r="X36" s="194"/>
      <c r="Y36" s="486" t="b">
        <f>NOT(ISERROR(MATCH(B36,#REF!,0)))</f>
        <v>0</v>
      </c>
    </row>
    <row r="37" spans="1:25" hidden="1">
      <c r="A37" s="201">
        <f t="shared" si="0"/>
        <v>36</v>
      </c>
      <c r="B37" s="202" t="s">
        <v>399</v>
      </c>
      <c r="C37" s="203" t="s">
        <v>2423</v>
      </c>
      <c r="D37" s="201" t="s">
        <v>2270</v>
      </c>
      <c r="E37" s="204" t="s">
        <v>2424</v>
      </c>
      <c r="F37" s="204" t="s">
        <v>2395</v>
      </c>
      <c r="G37" s="201" t="s">
        <v>2385</v>
      </c>
      <c r="H37" s="217" t="s">
        <v>2181</v>
      </c>
      <c r="I37" s="207" t="s">
        <v>2425</v>
      </c>
      <c r="J37" s="201" t="s">
        <v>2276</v>
      </c>
      <c r="K37" s="201" t="s">
        <v>2276</v>
      </c>
      <c r="L37" s="205" t="s">
        <v>2302</v>
      </c>
      <c r="M37" s="205" t="s">
        <v>2278</v>
      </c>
      <c r="N37" s="205"/>
      <c r="O37" s="349"/>
      <c r="P37" s="230" t="s">
        <v>2278</v>
      </c>
      <c r="Q37" s="230"/>
      <c r="R37" s="348" t="s">
        <v>2313</v>
      </c>
      <c r="S37" s="356" t="s">
        <v>2426</v>
      </c>
      <c r="T37" s="206">
        <v>44742</v>
      </c>
      <c r="U37" s="201">
        <v>86.4</v>
      </c>
      <c r="V37" s="208">
        <v>67.900000000000006</v>
      </c>
      <c r="W37" s="197"/>
      <c r="X37" s="194"/>
      <c r="Y37" s="486" t="b">
        <f>NOT(ISERROR(MATCH(B37,#REF!,0)))</f>
        <v>0</v>
      </c>
    </row>
    <row r="38" spans="1:25" hidden="1">
      <c r="A38" s="201">
        <f t="shared" si="0"/>
        <v>37</v>
      </c>
      <c r="B38" s="202" t="s">
        <v>2427</v>
      </c>
      <c r="C38" s="203" t="s">
        <v>2428</v>
      </c>
      <c r="D38" s="201" t="s">
        <v>2270</v>
      </c>
      <c r="E38" s="204" t="s">
        <v>2429</v>
      </c>
      <c r="F38" s="204" t="s">
        <v>2430</v>
      </c>
      <c r="G38" s="208" t="s">
        <v>2273</v>
      </c>
      <c r="H38" s="197" t="s">
        <v>2431</v>
      </c>
      <c r="I38" s="207" t="s">
        <v>2432</v>
      </c>
      <c r="J38" s="220" t="s">
        <v>2276</v>
      </c>
      <c r="K38" s="201" t="s">
        <v>2276</v>
      </c>
      <c r="L38" s="205" t="s">
        <v>1689</v>
      </c>
      <c r="M38" s="205" t="s">
        <v>2278</v>
      </c>
      <c r="N38" s="205"/>
      <c r="O38" s="349"/>
      <c r="P38" s="493" t="s">
        <v>2330</v>
      </c>
      <c r="Q38" s="493" t="s">
        <v>2331</v>
      </c>
      <c r="R38" s="348" t="s">
        <v>2313</v>
      </c>
      <c r="S38" s="520" t="s">
        <v>2433</v>
      </c>
      <c r="T38" s="206">
        <v>44865</v>
      </c>
      <c r="U38" s="201">
        <v>95</v>
      </c>
      <c r="V38" s="208">
        <v>65.5</v>
      </c>
      <c r="W38" s="228" t="s">
        <v>2434</v>
      </c>
      <c r="X38" s="243" t="s">
        <v>2315</v>
      </c>
      <c r="Y38" s="486" t="b">
        <f>NOT(ISERROR(MATCH(B38,#REF!,0)))</f>
        <v>0</v>
      </c>
    </row>
    <row r="39" spans="1:25" hidden="1">
      <c r="A39" s="217">
        <f t="shared" si="0"/>
        <v>38</v>
      </c>
      <c r="B39" s="241" t="s">
        <v>518</v>
      </c>
      <c r="C39" s="224" t="s">
        <v>2435</v>
      </c>
      <c r="D39" s="217" t="s">
        <v>2270</v>
      </c>
      <c r="E39" s="222" t="s">
        <v>2436</v>
      </c>
      <c r="F39" s="222" t="s">
        <v>2272</v>
      </c>
      <c r="G39" s="226" t="s">
        <v>2273</v>
      </c>
      <c r="H39" s="198" t="s">
        <v>2431</v>
      </c>
      <c r="I39" s="223" t="s">
        <v>2437</v>
      </c>
      <c r="J39" s="578" t="s">
        <v>2276</v>
      </c>
      <c r="K39" s="217" t="s">
        <v>2276</v>
      </c>
      <c r="L39" s="225" t="s">
        <v>1689</v>
      </c>
      <c r="M39" s="225" t="s">
        <v>2278</v>
      </c>
      <c r="N39" s="225"/>
      <c r="O39" s="351"/>
      <c r="P39" s="364" t="s">
        <v>2196</v>
      </c>
      <c r="Q39" s="364"/>
      <c r="R39" s="577" t="s">
        <v>2313</v>
      </c>
      <c r="S39" s="519" t="s">
        <v>2438</v>
      </c>
      <c r="T39" s="218">
        <v>44890</v>
      </c>
      <c r="U39" s="217">
        <v>63.4</v>
      </c>
      <c r="V39" s="226">
        <v>54.4</v>
      </c>
      <c r="W39" s="234" t="s">
        <v>2439</v>
      </c>
      <c r="X39" s="360" t="s">
        <v>2362</v>
      </c>
      <c r="Y39" s="486" t="b">
        <f>NOT(ISERROR(MATCH(B39,#REF!,0)))</f>
        <v>0</v>
      </c>
    </row>
    <row r="40" spans="1:25" ht="24">
      <c r="A40" s="197">
        <f t="shared" si="0"/>
        <v>39</v>
      </c>
      <c r="B40" s="568" t="s">
        <v>2440</v>
      </c>
      <c r="C40" s="229" t="s">
        <v>2441</v>
      </c>
      <c r="D40" s="197" t="s">
        <v>2295</v>
      </c>
      <c r="E40" s="227" t="s">
        <v>2402</v>
      </c>
      <c r="F40" s="227" t="s">
        <v>2395</v>
      </c>
      <c r="G40" s="197" t="s">
        <v>2385</v>
      </c>
      <c r="H40" s="197" t="s">
        <v>2431</v>
      </c>
      <c r="I40" s="228"/>
      <c r="J40" s="230" t="s">
        <v>2442</v>
      </c>
      <c r="K40" s="197" t="s">
        <v>2276</v>
      </c>
      <c r="L40" s="230"/>
      <c r="M40" s="230"/>
      <c r="N40" s="230"/>
      <c r="O40" s="230"/>
      <c r="P40" s="230"/>
      <c r="Q40" s="230"/>
      <c r="R40" s="230" t="s">
        <v>1730</v>
      </c>
      <c r="S40" s="574" t="s">
        <v>2443</v>
      </c>
      <c r="T40" s="219">
        <v>45444</v>
      </c>
      <c r="U40" s="197" t="e">
        <v>#N/A</v>
      </c>
      <c r="V40" s="197"/>
      <c r="W40" s="197" t="s">
        <v>2444</v>
      </c>
      <c r="X40" s="194"/>
      <c r="Y40" s="575" t="b">
        <f>NOT(ISERROR(MATCH(B40,#REF!,0)))</f>
        <v>0</v>
      </c>
    </row>
    <row r="41" spans="1:25" hidden="1">
      <c r="A41" s="221">
        <f t="shared" si="0"/>
        <v>40</v>
      </c>
      <c r="B41" s="584" t="s">
        <v>535</v>
      </c>
      <c r="C41" s="585" t="s">
        <v>2445</v>
      </c>
      <c r="D41" s="221" t="s">
        <v>2270</v>
      </c>
      <c r="E41" s="586"/>
      <c r="F41" s="586"/>
      <c r="G41" s="221" t="s">
        <v>2273</v>
      </c>
      <c r="H41" s="221"/>
      <c r="I41" s="235" t="s">
        <v>2446</v>
      </c>
      <c r="J41" s="221" t="s">
        <v>2276</v>
      </c>
      <c r="K41" s="585" t="s">
        <v>2447</v>
      </c>
      <c r="L41" s="587" t="s">
        <v>1689</v>
      </c>
      <c r="M41" s="587" t="s">
        <v>2448</v>
      </c>
      <c r="N41" s="587"/>
      <c r="O41" s="589"/>
      <c r="P41" s="371"/>
      <c r="Q41" s="371"/>
      <c r="R41" s="371" t="s">
        <v>1730</v>
      </c>
      <c r="S41" s="594"/>
      <c r="T41" s="591"/>
      <c r="U41" s="221"/>
      <c r="V41" s="592"/>
      <c r="W41" s="380"/>
      <c r="X41" s="373"/>
      <c r="Y41" s="486" t="b">
        <f>NOT(ISERROR(MATCH(B41,#REF!,0)))</f>
        <v>0</v>
      </c>
    </row>
    <row r="42" spans="1:25" hidden="1">
      <c r="A42" s="201">
        <f t="shared" si="0"/>
        <v>41</v>
      </c>
      <c r="B42" s="202" t="s">
        <v>2449</v>
      </c>
      <c r="C42" s="203" t="s">
        <v>2450</v>
      </c>
      <c r="D42" s="201" t="s">
        <v>2270</v>
      </c>
      <c r="E42" s="204"/>
      <c r="F42" s="204"/>
      <c r="G42" s="201" t="s">
        <v>2273</v>
      </c>
      <c r="H42" s="201"/>
      <c r="I42" s="207" t="s">
        <v>2451</v>
      </c>
      <c r="J42" s="201" t="s">
        <v>2276</v>
      </c>
      <c r="K42" s="203" t="s">
        <v>2452</v>
      </c>
      <c r="L42" s="205" t="s">
        <v>1689</v>
      </c>
      <c r="M42" s="205" t="s">
        <v>2448</v>
      </c>
      <c r="N42" s="205"/>
      <c r="O42" s="349"/>
      <c r="P42" s="230"/>
      <c r="Q42" s="230"/>
      <c r="R42" s="230" t="s">
        <v>1730</v>
      </c>
      <c r="S42" s="356"/>
      <c r="T42" s="206"/>
      <c r="U42" s="201" t="e">
        <v>#N/A</v>
      </c>
      <c r="V42" s="208"/>
      <c r="W42" s="197"/>
      <c r="X42" s="194"/>
      <c r="Y42" s="486" t="b">
        <f>NOT(ISERROR(MATCH(B42,#REF!,0)))</f>
        <v>0</v>
      </c>
    </row>
    <row r="43" spans="1:25">
      <c r="A43" s="201">
        <f t="shared" si="0"/>
        <v>42</v>
      </c>
      <c r="B43" s="202" t="s">
        <v>2453</v>
      </c>
      <c r="C43" s="203" t="s">
        <v>2454</v>
      </c>
      <c r="D43" s="201" t="s">
        <v>2295</v>
      </c>
      <c r="E43" s="204"/>
      <c r="F43" s="204"/>
      <c r="G43" s="201" t="s">
        <v>2273</v>
      </c>
      <c r="H43" s="201"/>
      <c r="I43" s="207" t="s">
        <v>2451</v>
      </c>
      <c r="J43" s="201" t="s">
        <v>2289</v>
      </c>
      <c r="K43" s="203" t="s">
        <v>2455</v>
      </c>
      <c r="L43" s="205" t="s">
        <v>2456</v>
      </c>
      <c r="M43" s="205" t="s">
        <v>2456</v>
      </c>
      <c r="N43" s="205"/>
      <c r="O43" s="349" t="s">
        <v>2457</v>
      </c>
      <c r="P43" s="230"/>
      <c r="Q43" s="230"/>
      <c r="R43" s="230" t="s">
        <v>1730</v>
      </c>
      <c r="S43" s="356"/>
      <c r="T43" s="206"/>
      <c r="U43" s="201" t="e">
        <v>#N/A</v>
      </c>
      <c r="V43" s="208"/>
      <c r="W43" s="197"/>
      <c r="X43" s="194"/>
      <c r="Y43" s="486" t="b">
        <f>NOT(ISERROR(MATCH(B43,#REF!,0)))</f>
        <v>0</v>
      </c>
    </row>
    <row r="44" spans="1:25">
      <c r="A44" s="201">
        <f t="shared" si="0"/>
        <v>43</v>
      </c>
      <c r="B44" s="202" t="s">
        <v>2458</v>
      </c>
      <c r="C44" s="203" t="s">
        <v>2454</v>
      </c>
      <c r="D44" s="201" t="s">
        <v>2295</v>
      </c>
      <c r="E44" s="204"/>
      <c r="F44" s="204"/>
      <c r="G44" s="201" t="s">
        <v>2273</v>
      </c>
      <c r="H44" s="201"/>
      <c r="I44" s="207" t="s">
        <v>2451</v>
      </c>
      <c r="J44" s="201" t="s">
        <v>2289</v>
      </c>
      <c r="K44" s="203" t="s">
        <v>2455</v>
      </c>
      <c r="L44" s="205" t="s">
        <v>2456</v>
      </c>
      <c r="M44" s="205" t="s">
        <v>2456</v>
      </c>
      <c r="N44" s="205"/>
      <c r="O44" s="349" t="s">
        <v>2457</v>
      </c>
      <c r="P44" s="230"/>
      <c r="Q44" s="230"/>
      <c r="R44" s="230" t="s">
        <v>1730</v>
      </c>
      <c r="S44" s="356"/>
      <c r="T44" s="206"/>
      <c r="U44" s="201" t="e">
        <v>#N/A</v>
      </c>
      <c r="V44" s="208"/>
      <c r="W44" s="197"/>
      <c r="X44" s="194"/>
      <c r="Y44" s="486" t="b">
        <f>NOT(ISERROR(MATCH(B44,#REF!,0)))</f>
        <v>0</v>
      </c>
    </row>
    <row r="45" spans="1:25">
      <c r="A45" s="201">
        <f t="shared" si="0"/>
        <v>44</v>
      </c>
      <c r="B45" s="202" t="s">
        <v>2459</v>
      </c>
      <c r="C45" s="203" t="s">
        <v>2460</v>
      </c>
      <c r="D45" s="201" t="s">
        <v>2295</v>
      </c>
      <c r="E45" s="204"/>
      <c r="F45" s="204"/>
      <c r="G45" s="201" t="s">
        <v>2273</v>
      </c>
      <c r="H45" s="201"/>
      <c r="I45" s="207" t="s">
        <v>2451</v>
      </c>
      <c r="J45" s="201" t="s">
        <v>2289</v>
      </c>
      <c r="K45" s="203" t="s">
        <v>2455</v>
      </c>
      <c r="L45" s="205" t="s">
        <v>2456</v>
      </c>
      <c r="M45" s="205" t="s">
        <v>2456</v>
      </c>
      <c r="N45" s="205"/>
      <c r="O45" s="349" t="s">
        <v>2461</v>
      </c>
      <c r="P45" s="230"/>
      <c r="Q45" s="230"/>
      <c r="R45" s="230" t="s">
        <v>1730</v>
      </c>
      <c r="S45" s="356"/>
      <c r="T45" s="206"/>
      <c r="U45" s="201" t="e">
        <v>#N/A</v>
      </c>
      <c r="V45" s="208"/>
      <c r="W45" s="197"/>
      <c r="X45" s="194"/>
      <c r="Y45" s="486" t="b">
        <f>NOT(ISERROR(MATCH(B45,#REF!,0)))</f>
        <v>0</v>
      </c>
    </row>
    <row r="46" spans="1:25">
      <c r="A46" s="201">
        <f t="shared" si="0"/>
        <v>45</v>
      </c>
      <c r="B46" s="202" t="s">
        <v>2462</v>
      </c>
      <c r="C46" s="203" t="s">
        <v>2463</v>
      </c>
      <c r="D46" s="201" t="s">
        <v>2295</v>
      </c>
      <c r="E46" s="204"/>
      <c r="F46" s="204" t="s">
        <v>2272</v>
      </c>
      <c r="G46" s="201" t="s">
        <v>2273</v>
      </c>
      <c r="H46" s="201"/>
      <c r="I46" s="207" t="s">
        <v>2451</v>
      </c>
      <c r="J46" s="201" t="s">
        <v>2289</v>
      </c>
      <c r="K46" s="203" t="s">
        <v>2455</v>
      </c>
      <c r="L46" s="205" t="s">
        <v>2456</v>
      </c>
      <c r="M46" s="205" t="s">
        <v>2456</v>
      </c>
      <c r="N46" s="205"/>
      <c r="O46" s="349" t="s">
        <v>2461</v>
      </c>
      <c r="P46" s="230"/>
      <c r="Q46" s="230"/>
      <c r="R46" s="230" t="s">
        <v>1730</v>
      </c>
      <c r="S46" s="356"/>
      <c r="T46" s="206"/>
      <c r="U46" s="201" t="e">
        <v>#N/A</v>
      </c>
      <c r="V46" s="208"/>
      <c r="W46" s="197"/>
      <c r="X46" s="194"/>
      <c r="Y46" s="486" t="b">
        <f>NOT(ISERROR(MATCH(B46,#REF!,0)))</f>
        <v>0</v>
      </c>
    </row>
    <row r="47" spans="1:25">
      <c r="A47" s="201">
        <f t="shared" si="0"/>
        <v>46</v>
      </c>
      <c r="B47" s="202" t="s">
        <v>2464</v>
      </c>
      <c r="C47" s="203" t="s">
        <v>2465</v>
      </c>
      <c r="D47" s="201" t="s">
        <v>2295</v>
      </c>
      <c r="E47" s="204"/>
      <c r="F47" s="204"/>
      <c r="G47" s="201" t="s">
        <v>2273</v>
      </c>
      <c r="H47" s="201"/>
      <c r="I47" s="207" t="s">
        <v>2451</v>
      </c>
      <c r="J47" s="201" t="s">
        <v>2289</v>
      </c>
      <c r="K47" s="203" t="s">
        <v>2455</v>
      </c>
      <c r="L47" s="205" t="s">
        <v>2456</v>
      </c>
      <c r="M47" s="205" t="s">
        <v>2456</v>
      </c>
      <c r="N47" s="205"/>
      <c r="O47" s="349" t="s">
        <v>648</v>
      </c>
      <c r="P47" s="230"/>
      <c r="Q47" s="230"/>
      <c r="R47" s="230" t="s">
        <v>1730</v>
      </c>
      <c r="S47" s="356"/>
      <c r="T47" s="206"/>
      <c r="U47" s="201" t="e">
        <v>#N/A</v>
      </c>
      <c r="V47" s="208"/>
      <c r="W47" s="197"/>
      <c r="X47" s="194"/>
      <c r="Y47" s="486" t="b">
        <f>NOT(ISERROR(MATCH(B47,#REF!,0)))</f>
        <v>0</v>
      </c>
    </row>
    <row r="48" spans="1:25">
      <c r="A48" s="201">
        <f t="shared" si="0"/>
        <v>47</v>
      </c>
      <c r="B48" s="202" t="s">
        <v>2466</v>
      </c>
      <c r="C48" s="203" t="s">
        <v>2467</v>
      </c>
      <c r="D48" s="201" t="s">
        <v>2295</v>
      </c>
      <c r="E48" s="204"/>
      <c r="F48" s="204"/>
      <c r="G48" s="201" t="s">
        <v>2273</v>
      </c>
      <c r="H48" s="201"/>
      <c r="I48" s="207" t="s">
        <v>2451</v>
      </c>
      <c r="J48" s="201" t="s">
        <v>2289</v>
      </c>
      <c r="K48" s="203" t="s">
        <v>2455</v>
      </c>
      <c r="L48" s="205" t="s">
        <v>2456</v>
      </c>
      <c r="M48" s="205" t="s">
        <v>2456</v>
      </c>
      <c r="N48" s="205"/>
      <c r="O48" s="349" t="s">
        <v>648</v>
      </c>
      <c r="P48" s="230"/>
      <c r="Q48" s="230"/>
      <c r="R48" s="230" t="s">
        <v>1730</v>
      </c>
      <c r="S48" s="356"/>
      <c r="T48" s="206"/>
      <c r="U48" s="201" t="e">
        <v>#N/A</v>
      </c>
      <c r="V48" s="208"/>
      <c r="W48" s="197"/>
      <c r="X48" s="194"/>
      <c r="Y48" s="486" t="b">
        <f>NOT(ISERROR(MATCH(B48,#REF!,0)))</f>
        <v>0</v>
      </c>
    </row>
    <row r="49" spans="1:25">
      <c r="A49" s="201">
        <f t="shared" si="0"/>
        <v>48</v>
      </c>
      <c r="B49" s="202" t="s">
        <v>2468</v>
      </c>
      <c r="C49" s="203" t="s">
        <v>2469</v>
      </c>
      <c r="D49" s="201" t="s">
        <v>2295</v>
      </c>
      <c r="E49" s="204"/>
      <c r="F49" s="204"/>
      <c r="G49" s="201" t="s">
        <v>2273</v>
      </c>
      <c r="H49" s="201"/>
      <c r="I49" s="207" t="s">
        <v>2451</v>
      </c>
      <c r="J49" s="201" t="s">
        <v>2289</v>
      </c>
      <c r="K49" s="203" t="s">
        <v>2455</v>
      </c>
      <c r="L49" s="205" t="s">
        <v>2456</v>
      </c>
      <c r="M49" s="205" t="s">
        <v>2456</v>
      </c>
      <c r="N49" s="205"/>
      <c r="O49" s="349" t="s">
        <v>648</v>
      </c>
      <c r="P49" s="230"/>
      <c r="Q49" s="230"/>
      <c r="R49" s="230" t="s">
        <v>1730</v>
      </c>
      <c r="S49" s="356"/>
      <c r="T49" s="206"/>
      <c r="U49" s="201" t="e">
        <v>#N/A</v>
      </c>
      <c r="V49" s="208"/>
      <c r="W49" s="197"/>
      <c r="X49" s="194"/>
      <c r="Y49" s="486" t="b">
        <f>NOT(ISERROR(MATCH(B49,#REF!,0)))</f>
        <v>0</v>
      </c>
    </row>
    <row r="50" spans="1:25">
      <c r="A50" s="201">
        <f t="shared" si="0"/>
        <v>49</v>
      </c>
      <c r="B50" s="202" t="s">
        <v>2470</v>
      </c>
      <c r="C50" s="203" t="s">
        <v>2471</v>
      </c>
      <c r="D50" s="201" t="s">
        <v>2295</v>
      </c>
      <c r="E50" s="204"/>
      <c r="F50" s="204"/>
      <c r="G50" s="201" t="s">
        <v>2273</v>
      </c>
      <c r="H50" s="201"/>
      <c r="I50" s="207" t="s">
        <v>2451</v>
      </c>
      <c r="J50" s="201" t="s">
        <v>2289</v>
      </c>
      <c r="K50" s="203" t="s">
        <v>2455</v>
      </c>
      <c r="L50" s="205" t="s">
        <v>2456</v>
      </c>
      <c r="M50" s="205" t="s">
        <v>2456</v>
      </c>
      <c r="N50" s="205"/>
      <c r="O50" s="349" t="s">
        <v>907</v>
      </c>
      <c r="P50" s="230"/>
      <c r="Q50" s="230"/>
      <c r="R50" s="230" t="s">
        <v>1730</v>
      </c>
      <c r="S50" s="356"/>
      <c r="T50" s="206"/>
      <c r="U50" s="201" t="e">
        <v>#N/A</v>
      </c>
      <c r="V50" s="208"/>
      <c r="W50" s="197"/>
      <c r="X50" s="194"/>
      <c r="Y50" s="486" t="b">
        <f>NOT(ISERROR(MATCH(B50,#REF!,0)))</f>
        <v>0</v>
      </c>
    </row>
    <row r="51" spans="1:25">
      <c r="A51" s="201">
        <f t="shared" si="0"/>
        <v>50</v>
      </c>
      <c r="B51" s="202" t="s">
        <v>2472</v>
      </c>
      <c r="C51" s="203" t="s">
        <v>2473</v>
      </c>
      <c r="D51" s="201" t="s">
        <v>2295</v>
      </c>
      <c r="E51" s="204"/>
      <c r="F51" s="204"/>
      <c r="G51" s="201" t="s">
        <v>2273</v>
      </c>
      <c r="H51" s="201"/>
      <c r="I51" s="207" t="s">
        <v>2451</v>
      </c>
      <c r="J51" s="201" t="s">
        <v>2289</v>
      </c>
      <c r="K51" s="203" t="s">
        <v>2455</v>
      </c>
      <c r="L51" s="205" t="s">
        <v>2456</v>
      </c>
      <c r="M51" s="205" t="s">
        <v>2456</v>
      </c>
      <c r="N51" s="205"/>
      <c r="O51" s="349" t="s">
        <v>907</v>
      </c>
      <c r="P51" s="230"/>
      <c r="Q51" s="230"/>
      <c r="R51" s="230" t="s">
        <v>1730</v>
      </c>
      <c r="S51" s="356"/>
      <c r="T51" s="206"/>
      <c r="U51" s="201" t="e">
        <v>#N/A</v>
      </c>
      <c r="V51" s="208"/>
      <c r="W51" s="197"/>
      <c r="X51" s="194"/>
      <c r="Y51" s="486" t="b">
        <f>NOT(ISERROR(MATCH(B51,#REF!,0)))</f>
        <v>0</v>
      </c>
    </row>
    <row r="52" spans="1:25">
      <c r="A52" s="201">
        <f t="shared" si="0"/>
        <v>51</v>
      </c>
      <c r="B52" s="202" t="s">
        <v>2474</v>
      </c>
      <c r="C52" s="203" t="s">
        <v>2475</v>
      </c>
      <c r="D52" s="201" t="s">
        <v>2295</v>
      </c>
      <c r="E52" s="204"/>
      <c r="F52" s="204"/>
      <c r="G52" s="201" t="s">
        <v>2273</v>
      </c>
      <c r="H52" s="201"/>
      <c r="I52" s="207" t="s">
        <v>2451</v>
      </c>
      <c r="J52" s="201" t="s">
        <v>2289</v>
      </c>
      <c r="K52" s="203" t="s">
        <v>2455</v>
      </c>
      <c r="L52" s="205" t="s">
        <v>2456</v>
      </c>
      <c r="M52" s="205" t="s">
        <v>2456</v>
      </c>
      <c r="N52" s="205"/>
      <c r="O52" s="349" t="s">
        <v>907</v>
      </c>
      <c r="P52" s="230"/>
      <c r="Q52" s="230"/>
      <c r="R52" s="230" t="s">
        <v>1730</v>
      </c>
      <c r="S52" s="356"/>
      <c r="T52" s="206"/>
      <c r="U52" s="201" t="e">
        <v>#N/A</v>
      </c>
      <c r="V52" s="208"/>
      <c r="W52" s="197"/>
      <c r="X52" s="194"/>
      <c r="Y52" s="486" t="b">
        <f>NOT(ISERROR(MATCH(B52,#REF!,0)))</f>
        <v>0</v>
      </c>
    </row>
    <row r="53" spans="1:25">
      <c r="A53" s="201">
        <f t="shared" si="0"/>
        <v>52</v>
      </c>
      <c r="B53" s="202" t="s">
        <v>2476</v>
      </c>
      <c r="C53" s="203" t="s">
        <v>2477</v>
      </c>
      <c r="D53" s="201" t="s">
        <v>2295</v>
      </c>
      <c r="E53" s="204"/>
      <c r="F53" s="204"/>
      <c r="G53" s="201" t="s">
        <v>2273</v>
      </c>
      <c r="H53" s="201"/>
      <c r="I53" s="207" t="s">
        <v>2451</v>
      </c>
      <c r="J53" s="201" t="s">
        <v>2289</v>
      </c>
      <c r="K53" s="203" t="s">
        <v>2455</v>
      </c>
      <c r="L53" s="205" t="s">
        <v>2456</v>
      </c>
      <c r="M53" s="205" t="s">
        <v>2456</v>
      </c>
      <c r="N53" s="205"/>
      <c r="O53" s="349" t="s">
        <v>2478</v>
      </c>
      <c r="P53" s="230"/>
      <c r="Q53" s="230"/>
      <c r="R53" s="230" t="s">
        <v>1730</v>
      </c>
      <c r="S53" s="356"/>
      <c r="T53" s="206"/>
      <c r="U53" s="201" t="e">
        <v>#N/A</v>
      </c>
      <c r="V53" s="208"/>
      <c r="W53" s="197"/>
      <c r="X53" s="194"/>
      <c r="Y53" s="486" t="b">
        <f>NOT(ISERROR(MATCH(B53,#REF!,0)))</f>
        <v>0</v>
      </c>
    </row>
    <row r="54" spans="1:25">
      <c r="A54" s="201">
        <f t="shared" si="0"/>
        <v>53</v>
      </c>
      <c r="B54" s="202" t="s">
        <v>2479</v>
      </c>
      <c r="C54" s="203" t="s">
        <v>2480</v>
      </c>
      <c r="D54" s="201" t="s">
        <v>2295</v>
      </c>
      <c r="E54" s="204"/>
      <c r="F54" s="204"/>
      <c r="G54" s="201" t="s">
        <v>2273</v>
      </c>
      <c r="H54" s="201"/>
      <c r="I54" s="207" t="s">
        <v>2451</v>
      </c>
      <c r="J54" s="201" t="s">
        <v>2289</v>
      </c>
      <c r="K54" s="203" t="s">
        <v>2455</v>
      </c>
      <c r="L54" s="205" t="s">
        <v>2456</v>
      </c>
      <c r="M54" s="205" t="s">
        <v>2456</v>
      </c>
      <c r="N54" s="205"/>
      <c r="O54" s="349" t="s">
        <v>2478</v>
      </c>
      <c r="P54" s="230"/>
      <c r="Q54" s="230"/>
      <c r="R54" s="230" t="s">
        <v>1730</v>
      </c>
      <c r="S54" s="356"/>
      <c r="T54" s="206"/>
      <c r="U54" s="201" t="e">
        <v>#N/A</v>
      </c>
      <c r="V54" s="208"/>
      <c r="W54" s="197"/>
      <c r="X54" s="194"/>
      <c r="Y54" s="486" t="b">
        <f>NOT(ISERROR(MATCH(B54,#REF!,0)))</f>
        <v>0</v>
      </c>
    </row>
    <row r="55" spans="1:25">
      <c r="A55" s="201">
        <f t="shared" si="0"/>
        <v>54</v>
      </c>
      <c r="B55" s="202" t="s">
        <v>2481</v>
      </c>
      <c r="C55" s="203" t="s">
        <v>2482</v>
      </c>
      <c r="D55" s="201" t="s">
        <v>2295</v>
      </c>
      <c r="E55" s="204"/>
      <c r="F55" s="204"/>
      <c r="G55" s="201" t="s">
        <v>2273</v>
      </c>
      <c r="H55" s="201"/>
      <c r="I55" s="207" t="s">
        <v>2451</v>
      </c>
      <c r="J55" s="201" t="s">
        <v>2289</v>
      </c>
      <c r="K55" s="203" t="s">
        <v>2455</v>
      </c>
      <c r="L55" s="205" t="s">
        <v>2456</v>
      </c>
      <c r="M55" s="205" t="s">
        <v>2456</v>
      </c>
      <c r="N55" s="205"/>
      <c r="O55" s="349" t="s">
        <v>2478</v>
      </c>
      <c r="P55" s="230"/>
      <c r="Q55" s="230"/>
      <c r="R55" s="230" t="s">
        <v>1730</v>
      </c>
      <c r="S55" s="356"/>
      <c r="T55" s="206"/>
      <c r="U55" s="201" t="e">
        <v>#N/A</v>
      </c>
      <c r="V55" s="208"/>
      <c r="W55" s="197"/>
      <c r="X55" s="194"/>
      <c r="Y55" s="486" t="b">
        <f>NOT(ISERROR(MATCH(B55,#REF!,0)))</f>
        <v>0</v>
      </c>
    </row>
    <row r="56" spans="1:25">
      <c r="A56" s="201">
        <f t="shared" si="0"/>
        <v>55</v>
      </c>
      <c r="B56" s="202" t="s">
        <v>2483</v>
      </c>
      <c r="C56" s="203" t="s">
        <v>2484</v>
      </c>
      <c r="D56" s="201" t="s">
        <v>2295</v>
      </c>
      <c r="E56" s="204"/>
      <c r="F56" s="204"/>
      <c r="G56" s="201" t="s">
        <v>2273</v>
      </c>
      <c r="H56" s="201"/>
      <c r="I56" s="207" t="s">
        <v>2451</v>
      </c>
      <c r="J56" s="201" t="s">
        <v>2289</v>
      </c>
      <c r="K56" s="203" t="s">
        <v>2455</v>
      </c>
      <c r="L56" s="205" t="s">
        <v>2456</v>
      </c>
      <c r="M56" s="205" t="s">
        <v>2456</v>
      </c>
      <c r="N56" s="205"/>
      <c r="O56" s="349" t="s">
        <v>2478</v>
      </c>
      <c r="P56" s="230"/>
      <c r="Q56" s="230"/>
      <c r="R56" s="230" t="s">
        <v>1730</v>
      </c>
      <c r="S56" s="356"/>
      <c r="T56" s="206"/>
      <c r="U56" s="201" t="e">
        <v>#N/A</v>
      </c>
      <c r="V56" s="208"/>
      <c r="W56" s="197"/>
      <c r="X56" s="194"/>
      <c r="Y56" s="486" t="b">
        <f>NOT(ISERROR(MATCH(B56,#REF!,0)))</f>
        <v>0</v>
      </c>
    </row>
    <row r="57" spans="1:25" hidden="1">
      <c r="A57" s="201">
        <f t="shared" si="0"/>
        <v>56</v>
      </c>
      <c r="B57" s="202" t="s">
        <v>458</v>
      </c>
      <c r="C57" s="203" t="s">
        <v>2485</v>
      </c>
      <c r="D57" s="217" t="s">
        <v>2270</v>
      </c>
      <c r="E57" s="204" t="s">
        <v>2486</v>
      </c>
      <c r="F57" s="222" t="s">
        <v>2487</v>
      </c>
      <c r="G57" s="217" t="s">
        <v>2273</v>
      </c>
      <c r="H57" s="217" t="s">
        <v>2181</v>
      </c>
      <c r="I57" s="223" t="s">
        <v>2488</v>
      </c>
      <c r="J57" s="217" t="s">
        <v>2276</v>
      </c>
      <c r="K57" s="224" t="s">
        <v>2276</v>
      </c>
      <c r="L57" s="225" t="s">
        <v>2302</v>
      </c>
      <c r="M57" s="225" t="s">
        <v>2489</v>
      </c>
      <c r="N57" s="225"/>
      <c r="O57" s="351"/>
      <c r="P57" s="230"/>
      <c r="Q57" s="230"/>
      <c r="R57" s="348" t="s">
        <v>2313</v>
      </c>
      <c r="S57" s="356" t="s">
        <v>2490</v>
      </c>
      <c r="T57" s="218">
        <v>45000</v>
      </c>
      <c r="U57" s="217">
        <v>100</v>
      </c>
      <c r="V57" s="226"/>
      <c r="W57" s="197"/>
      <c r="X57" s="194"/>
      <c r="Y57" s="486" t="b">
        <f>NOT(ISERROR(MATCH(B57,#REF!,0)))</f>
        <v>0</v>
      </c>
    </row>
    <row r="58" spans="1:25" hidden="1">
      <c r="A58" s="201">
        <f t="shared" si="0"/>
        <v>57</v>
      </c>
      <c r="B58" s="202" t="s">
        <v>304</v>
      </c>
      <c r="C58" s="203" t="s">
        <v>2491</v>
      </c>
      <c r="D58" s="201" t="s">
        <v>2270</v>
      </c>
      <c r="E58" s="204" t="s">
        <v>2492</v>
      </c>
      <c r="F58" s="227" t="s">
        <v>2272</v>
      </c>
      <c r="G58" s="197" t="s">
        <v>2273</v>
      </c>
      <c r="H58" s="197" t="s">
        <v>2192</v>
      </c>
      <c r="I58" s="228" t="s">
        <v>2493</v>
      </c>
      <c r="J58" s="197" t="s">
        <v>2276</v>
      </c>
      <c r="K58" s="229" t="s">
        <v>2276</v>
      </c>
      <c r="L58" s="230" t="s">
        <v>2196</v>
      </c>
      <c r="M58" s="230" t="s">
        <v>2489</v>
      </c>
      <c r="N58" s="230"/>
      <c r="O58" s="352"/>
      <c r="P58" s="230"/>
      <c r="Q58" s="230"/>
      <c r="R58" s="230" t="s">
        <v>1730</v>
      </c>
      <c r="S58" s="356" t="s">
        <v>2494</v>
      </c>
      <c r="T58" s="219">
        <v>44995</v>
      </c>
      <c r="U58" s="197"/>
      <c r="V58" s="231"/>
      <c r="W58" s="197"/>
      <c r="X58" s="194"/>
      <c r="Y58" s="486" t="b">
        <f>NOT(ISERROR(MATCH(B58,#REF!,0)))</f>
        <v>0</v>
      </c>
    </row>
    <row r="59" spans="1:25" hidden="1">
      <c r="A59" s="201">
        <f t="shared" si="0"/>
        <v>58</v>
      </c>
      <c r="B59" s="202" t="s">
        <v>85</v>
      </c>
      <c r="C59" s="203" t="s">
        <v>2495</v>
      </c>
      <c r="D59" s="197" t="s">
        <v>2270</v>
      </c>
      <c r="E59" s="204" t="s">
        <v>2287</v>
      </c>
      <c r="F59" s="227" t="s">
        <v>2272</v>
      </c>
      <c r="G59" s="231" t="s">
        <v>2273</v>
      </c>
      <c r="H59" s="221" t="s">
        <v>2186</v>
      </c>
      <c r="I59" s="228" t="s">
        <v>2496</v>
      </c>
      <c r="J59" s="197" t="s">
        <v>2276</v>
      </c>
      <c r="K59" s="229" t="s">
        <v>2290</v>
      </c>
      <c r="L59" s="230" t="s">
        <v>2302</v>
      </c>
      <c r="M59" s="230" t="s">
        <v>2489</v>
      </c>
      <c r="N59" s="230"/>
      <c r="O59" s="352"/>
      <c r="P59" s="230"/>
      <c r="Q59" s="230"/>
      <c r="R59" s="230" t="s">
        <v>1730</v>
      </c>
      <c r="S59" s="356" t="s">
        <v>2497</v>
      </c>
      <c r="T59" s="219">
        <v>45017</v>
      </c>
      <c r="U59" s="197"/>
      <c r="V59" s="327"/>
      <c r="W59" s="194"/>
      <c r="X59" s="194"/>
      <c r="Y59" s="486" t="b">
        <f>NOT(ISERROR(MATCH(B59,#REF!,0)))</f>
        <v>0</v>
      </c>
    </row>
    <row r="60" spans="1:25" ht="24">
      <c r="A60" s="201">
        <f t="shared" si="0"/>
        <v>59</v>
      </c>
      <c r="B60" s="569" t="s">
        <v>107</v>
      </c>
      <c r="C60" s="203" t="s">
        <v>2498</v>
      </c>
      <c r="D60" s="197" t="s">
        <v>2295</v>
      </c>
      <c r="E60" s="204" t="s">
        <v>2394</v>
      </c>
      <c r="F60" s="227" t="s">
        <v>2395</v>
      </c>
      <c r="G60" s="231" t="s">
        <v>2385</v>
      </c>
      <c r="H60" s="201" t="s">
        <v>2186</v>
      </c>
      <c r="I60" s="228" t="s">
        <v>2499</v>
      </c>
      <c r="J60" s="197" t="s">
        <v>2276</v>
      </c>
      <c r="K60" s="229" t="s">
        <v>2290</v>
      </c>
      <c r="L60" s="230" t="s">
        <v>2302</v>
      </c>
      <c r="M60" s="230" t="s">
        <v>2489</v>
      </c>
      <c r="N60" s="230"/>
      <c r="O60" s="352"/>
      <c r="P60" s="230"/>
      <c r="Q60" s="230"/>
      <c r="R60" s="230" t="s">
        <v>1730</v>
      </c>
      <c r="S60" s="356" t="s">
        <v>2500</v>
      </c>
      <c r="T60" s="219">
        <v>45017</v>
      </c>
      <c r="U60" s="197">
        <v>56.6</v>
      </c>
      <c r="V60" s="327"/>
      <c r="W60" s="194"/>
      <c r="X60" s="194"/>
      <c r="Y60" s="486" t="b">
        <f>NOT(ISERROR(MATCH(B60,#REF!,0)))</f>
        <v>0</v>
      </c>
    </row>
    <row r="61" spans="1:25" ht="24">
      <c r="A61" s="201">
        <f t="shared" si="0"/>
        <v>60</v>
      </c>
      <c r="B61" s="569" t="s">
        <v>248</v>
      </c>
      <c r="C61" s="203" t="s">
        <v>2501</v>
      </c>
      <c r="D61" s="197" t="s">
        <v>2295</v>
      </c>
      <c r="E61" s="204" t="s">
        <v>2502</v>
      </c>
      <c r="F61" s="204" t="s">
        <v>2272</v>
      </c>
      <c r="G61" s="231" t="s">
        <v>2273</v>
      </c>
      <c r="H61" s="201" t="s">
        <v>2188</v>
      </c>
      <c r="I61" s="228" t="s">
        <v>2503</v>
      </c>
      <c r="J61" s="197" t="s">
        <v>2276</v>
      </c>
      <c r="K61" s="229" t="s">
        <v>2290</v>
      </c>
      <c r="L61" s="230" t="s">
        <v>2302</v>
      </c>
      <c r="M61" s="230" t="s">
        <v>2278</v>
      </c>
      <c r="N61" s="197" t="s">
        <v>2504</v>
      </c>
      <c r="O61" s="231"/>
      <c r="P61" s="197"/>
      <c r="Q61" s="197"/>
      <c r="R61" s="230" t="s">
        <v>1730</v>
      </c>
      <c r="S61" s="356" t="s">
        <v>2505</v>
      </c>
      <c r="T61" s="219">
        <v>45029</v>
      </c>
      <c r="U61" s="197">
        <v>17.2</v>
      </c>
      <c r="V61" s="327"/>
      <c r="W61" s="194"/>
      <c r="X61" s="194"/>
      <c r="Y61" s="486" t="b">
        <f>NOT(ISERROR(MATCH(B61,#REF!,0)))</f>
        <v>0</v>
      </c>
    </row>
    <row r="62" spans="1:25" ht="23.25">
      <c r="A62" s="217">
        <f t="shared" si="0"/>
        <v>61</v>
      </c>
      <c r="B62" s="579" t="s">
        <v>501</v>
      </c>
      <c r="C62" s="224" t="s">
        <v>2506</v>
      </c>
      <c r="D62" s="198" t="s">
        <v>2295</v>
      </c>
      <c r="E62" s="222" t="s">
        <v>2308</v>
      </c>
      <c r="F62" s="222" t="s">
        <v>2272</v>
      </c>
      <c r="G62" s="239" t="s">
        <v>2273</v>
      </c>
      <c r="H62" s="217" t="s">
        <v>2186</v>
      </c>
      <c r="I62" s="234" t="s">
        <v>2507</v>
      </c>
      <c r="J62" s="198" t="s">
        <v>2276</v>
      </c>
      <c r="K62" s="245" t="s">
        <v>2290</v>
      </c>
      <c r="L62" s="237" t="s">
        <v>2302</v>
      </c>
      <c r="M62" s="198" t="s">
        <v>2278</v>
      </c>
      <c r="N62" s="198" t="s">
        <v>2504</v>
      </c>
      <c r="O62" s="580"/>
      <c r="P62" s="240" t="s">
        <v>2278</v>
      </c>
      <c r="Q62" s="240" t="s">
        <v>2508</v>
      </c>
      <c r="R62" s="237" t="s">
        <v>1730</v>
      </c>
      <c r="S62" s="519" t="s">
        <v>2509</v>
      </c>
      <c r="T62" s="581">
        <v>45043</v>
      </c>
      <c r="U62" s="198"/>
      <c r="V62" s="239"/>
      <c r="W62" s="238"/>
      <c r="X62" s="195"/>
      <c r="Y62" s="486" t="b">
        <f>NOT(ISERROR(MATCH(B62,#REF!,0)))</f>
        <v>0</v>
      </c>
    </row>
    <row r="63" spans="1:25">
      <c r="A63" s="197">
        <f t="shared" si="0"/>
        <v>62</v>
      </c>
      <c r="B63" s="568" t="s">
        <v>541</v>
      </c>
      <c r="C63" s="229" t="s">
        <v>2510</v>
      </c>
      <c r="D63" s="197" t="s">
        <v>2295</v>
      </c>
      <c r="E63" s="227" t="s">
        <v>2511</v>
      </c>
      <c r="F63" s="227" t="s">
        <v>2272</v>
      </c>
      <c r="G63" s="197" t="s">
        <v>2273</v>
      </c>
      <c r="H63" s="197" t="s">
        <v>2181</v>
      </c>
      <c r="I63" s="228" t="s">
        <v>2446</v>
      </c>
      <c r="J63" s="197" t="s">
        <v>2276</v>
      </c>
      <c r="K63" s="229" t="s">
        <v>2512</v>
      </c>
      <c r="L63" s="230" t="s">
        <v>2302</v>
      </c>
      <c r="M63" s="197" t="s">
        <v>2278</v>
      </c>
      <c r="N63" s="219" t="s">
        <v>2504</v>
      </c>
      <c r="O63" s="197"/>
      <c r="P63" s="230" t="s">
        <v>2278</v>
      </c>
      <c r="Q63" s="230"/>
      <c r="R63" s="348" t="s">
        <v>2313</v>
      </c>
      <c r="S63" s="574" t="s">
        <v>2513</v>
      </c>
      <c r="T63" s="359">
        <v>45026</v>
      </c>
      <c r="U63" s="197"/>
      <c r="V63" s="194"/>
      <c r="W63" s="194"/>
      <c r="X63" s="194"/>
      <c r="Y63" s="575" t="b">
        <f>NOT(ISERROR(MATCH(B63,#REF!,0)))</f>
        <v>0</v>
      </c>
    </row>
    <row r="64" spans="1:25" ht="24">
      <c r="A64" s="197">
        <f t="shared" si="0"/>
        <v>63</v>
      </c>
      <c r="B64" s="568" t="s">
        <v>2514</v>
      </c>
      <c r="C64" s="229" t="s">
        <v>2515</v>
      </c>
      <c r="D64" s="197" t="s">
        <v>2295</v>
      </c>
      <c r="E64" s="227" t="s">
        <v>2516</v>
      </c>
      <c r="F64" s="227" t="s">
        <v>2517</v>
      </c>
      <c r="G64" s="197" t="s">
        <v>2273</v>
      </c>
      <c r="H64" s="197" t="s">
        <v>2186</v>
      </c>
      <c r="I64" s="228" t="s">
        <v>2518</v>
      </c>
      <c r="J64" s="197" t="s">
        <v>2276</v>
      </c>
      <c r="K64" s="229" t="s">
        <v>2276</v>
      </c>
      <c r="L64" s="230" t="s">
        <v>2302</v>
      </c>
      <c r="M64" s="197" t="s">
        <v>2278</v>
      </c>
      <c r="N64" s="219"/>
      <c r="O64" s="197"/>
      <c r="P64" s="494" t="s">
        <v>2330</v>
      </c>
      <c r="Q64" s="493" t="s">
        <v>2519</v>
      </c>
      <c r="R64" s="348" t="s">
        <v>2313</v>
      </c>
      <c r="S64" s="574" t="s">
        <v>2520</v>
      </c>
      <c r="T64" s="233"/>
      <c r="U64" s="197">
        <v>100</v>
      </c>
      <c r="V64" s="194"/>
      <c r="W64" s="194"/>
      <c r="X64" s="194"/>
      <c r="Y64" s="575" t="b">
        <f>NOT(ISERROR(MATCH(B64,#REF!,0)))</f>
        <v>0</v>
      </c>
    </row>
    <row r="65" spans="1:25">
      <c r="A65" s="197">
        <f t="shared" si="0"/>
        <v>64</v>
      </c>
      <c r="B65" s="568" t="s">
        <v>2521</v>
      </c>
      <c r="C65" s="229" t="s">
        <v>2522</v>
      </c>
      <c r="D65" s="197" t="s">
        <v>2295</v>
      </c>
      <c r="E65" s="227" t="s">
        <v>2516</v>
      </c>
      <c r="F65" s="227" t="s">
        <v>2517</v>
      </c>
      <c r="G65" s="197" t="s">
        <v>2273</v>
      </c>
      <c r="H65" s="197" t="s">
        <v>2181</v>
      </c>
      <c r="I65" s="228" t="s">
        <v>2518</v>
      </c>
      <c r="J65" s="197"/>
      <c r="K65" s="229" t="s">
        <v>2276</v>
      </c>
      <c r="L65" s="230" t="s">
        <v>2523</v>
      </c>
      <c r="M65" s="230" t="s">
        <v>2523</v>
      </c>
      <c r="N65" s="219"/>
      <c r="O65" s="197"/>
      <c r="P65" s="197"/>
      <c r="Q65" s="197"/>
      <c r="R65" s="348" t="s">
        <v>2313</v>
      </c>
      <c r="S65" s="574" t="s">
        <v>2524</v>
      </c>
      <c r="T65" s="233"/>
      <c r="U65" s="197">
        <v>100</v>
      </c>
      <c r="V65" s="194"/>
      <c r="W65" s="194"/>
      <c r="X65" s="194"/>
      <c r="Y65" s="575" t="b">
        <f>NOT(ISERROR(MATCH(B65,#REF!,0)))</f>
        <v>0</v>
      </c>
    </row>
    <row r="66" spans="1:25" hidden="1">
      <c r="A66" s="517">
        <f t="shared" si="0"/>
        <v>65</v>
      </c>
      <c r="B66" s="595" t="s">
        <v>905</v>
      </c>
      <c r="C66" s="236" t="s">
        <v>2525</v>
      </c>
      <c r="D66" s="369" t="s">
        <v>2270</v>
      </c>
      <c r="E66" s="596" t="s">
        <v>2526</v>
      </c>
      <c r="F66" s="368" t="s">
        <v>2395</v>
      </c>
      <c r="G66" s="604" t="s">
        <v>2385</v>
      </c>
      <c r="H66" s="517" t="s">
        <v>2181</v>
      </c>
      <c r="I66" s="605" t="s">
        <v>2527</v>
      </c>
      <c r="J66" s="604" t="s">
        <v>2276</v>
      </c>
      <c r="K66" s="367" t="s">
        <v>2276</v>
      </c>
      <c r="L66" s="606" t="s">
        <v>2302</v>
      </c>
      <c r="M66" s="369"/>
      <c r="N66" s="607"/>
      <c r="O66" s="604"/>
      <c r="P66" s="369" t="s">
        <v>2528</v>
      </c>
      <c r="Q66" s="599"/>
      <c r="R66" s="600" t="s">
        <v>2313</v>
      </c>
      <c r="S66" s="601" t="s">
        <v>2529</v>
      </c>
      <c r="T66" s="608"/>
      <c r="U66" s="369">
        <v>96.41</v>
      </c>
      <c r="V66" s="372"/>
      <c r="W66" s="603"/>
      <c r="X66" s="603"/>
      <c r="Y66" s="486" t="b">
        <f>NOT(ISERROR(MATCH(B66,#REF!,0)))</f>
        <v>0</v>
      </c>
    </row>
    <row r="67" spans="1:25">
      <c r="A67" s="197">
        <f t="shared" ref="A67:A85" si="1">A66+1</f>
        <v>66</v>
      </c>
      <c r="B67" s="568" t="s">
        <v>531</v>
      </c>
      <c r="C67" s="229" t="s">
        <v>2530</v>
      </c>
      <c r="D67" s="197" t="s">
        <v>2295</v>
      </c>
      <c r="E67" s="227" t="s">
        <v>2502</v>
      </c>
      <c r="F67" s="227" t="s">
        <v>2272</v>
      </c>
      <c r="G67" s="197" t="s">
        <v>2273</v>
      </c>
      <c r="H67" s="197" t="s">
        <v>2186</v>
      </c>
      <c r="I67" s="228" t="s">
        <v>2531</v>
      </c>
      <c r="J67" s="197" t="s">
        <v>2276</v>
      </c>
      <c r="K67" s="229" t="s">
        <v>2276</v>
      </c>
      <c r="L67" s="230" t="s">
        <v>2302</v>
      </c>
      <c r="M67" s="197"/>
      <c r="N67" s="219"/>
      <c r="O67" s="197"/>
      <c r="P67" s="197"/>
      <c r="Q67" s="197"/>
      <c r="R67" s="230" t="s">
        <v>1730</v>
      </c>
      <c r="S67" s="574" t="s">
        <v>2532</v>
      </c>
      <c r="T67" s="233"/>
      <c r="U67" s="197">
        <v>76.2</v>
      </c>
      <c r="V67" s="194"/>
      <c r="W67" s="194"/>
      <c r="X67" s="194"/>
      <c r="Y67" s="575" t="b">
        <f>NOT(ISERROR(MATCH(B67,#REF!,0)))</f>
        <v>0</v>
      </c>
    </row>
    <row r="68" spans="1:25" ht="24">
      <c r="A68" s="197">
        <f t="shared" si="1"/>
        <v>67</v>
      </c>
      <c r="B68" s="568" t="s">
        <v>569</v>
      </c>
      <c r="C68" s="229" t="s">
        <v>2533</v>
      </c>
      <c r="D68" s="197" t="s">
        <v>2295</v>
      </c>
      <c r="E68" s="227" t="s">
        <v>2308</v>
      </c>
      <c r="F68" s="227" t="s">
        <v>2272</v>
      </c>
      <c r="G68" s="197" t="s">
        <v>2273</v>
      </c>
      <c r="H68" s="197" t="s">
        <v>2179</v>
      </c>
      <c r="I68" s="228" t="s">
        <v>2534</v>
      </c>
      <c r="J68" s="197" t="s">
        <v>2276</v>
      </c>
      <c r="K68" s="229" t="s">
        <v>2276</v>
      </c>
      <c r="L68" s="230" t="s">
        <v>2302</v>
      </c>
      <c r="M68" s="197"/>
      <c r="N68" s="219"/>
      <c r="O68" s="197"/>
      <c r="P68" s="494" t="s">
        <v>2330</v>
      </c>
      <c r="Q68" s="493" t="s">
        <v>2519</v>
      </c>
      <c r="R68" s="230" t="s">
        <v>1730</v>
      </c>
      <c r="S68" s="574" t="s">
        <v>2535</v>
      </c>
      <c r="T68" s="233"/>
      <c r="U68" s="197"/>
      <c r="V68" s="194"/>
      <c r="W68" s="194"/>
      <c r="X68" s="194"/>
      <c r="Y68" s="575" t="b">
        <f>NOT(ISERROR(MATCH(B68,#REF!,0)))</f>
        <v>0</v>
      </c>
    </row>
    <row r="69" spans="1:25" ht="24">
      <c r="A69" s="197">
        <f t="shared" si="1"/>
        <v>68</v>
      </c>
      <c r="B69" s="568" t="s">
        <v>592</v>
      </c>
      <c r="C69" s="229" t="s">
        <v>2536</v>
      </c>
      <c r="D69" s="197" t="s">
        <v>2295</v>
      </c>
      <c r="E69" s="227" t="s">
        <v>2492</v>
      </c>
      <c r="F69" s="227" t="s">
        <v>2272</v>
      </c>
      <c r="G69" s="197" t="s">
        <v>2273</v>
      </c>
      <c r="H69" s="197" t="s">
        <v>2186</v>
      </c>
      <c r="I69" s="228" t="s">
        <v>2537</v>
      </c>
      <c r="J69" s="197" t="s">
        <v>2276</v>
      </c>
      <c r="K69" s="229" t="s">
        <v>2276</v>
      </c>
      <c r="L69" s="230" t="s">
        <v>2302</v>
      </c>
      <c r="M69" s="197"/>
      <c r="N69" s="219"/>
      <c r="O69" s="197"/>
      <c r="P69" s="197" t="s">
        <v>2278</v>
      </c>
      <c r="Q69" s="230" t="s">
        <v>2508</v>
      </c>
      <c r="R69" s="230" t="s">
        <v>1730</v>
      </c>
      <c r="S69" s="574" t="s">
        <v>2538</v>
      </c>
      <c r="T69" s="233"/>
      <c r="U69" s="197">
        <v>80.7</v>
      </c>
      <c r="V69" s="194"/>
      <c r="W69" s="194"/>
      <c r="X69" s="194"/>
      <c r="Y69" s="575" t="b">
        <f>NOT(ISERROR(MATCH(B69,#REF!,0)))</f>
        <v>0</v>
      </c>
    </row>
    <row r="70" spans="1:25">
      <c r="A70" s="197">
        <f t="shared" si="1"/>
        <v>69</v>
      </c>
      <c r="B70" s="568" t="s">
        <v>585</v>
      </c>
      <c r="C70" s="229" t="s">
        <v>2539</v>
      </c>
      <c r="D70" s="197" t="s">
        <v>2295</v>
      </c>
      <c r="E70" s="227" t="s">
        <v>2540</v>
      </c>
      <c r="F70" s="227" t="s">
        <v>2395</v>
      </c>
      <c r="G70" s="197" t="s">
        <v>2385</v>
      </c>
      <c r="H70" s="197" t="s">
        <v>2188</v>
      </c>
      <c r="I70" s="228" t="s">
        <v>2541</v>
      </c>
      <c r="J70" s="197" t="s">
        <v>2276</v>
      </c>
      <c r="K70" s="229" t="s">
        <v>2276</v>
      </c>
      <c r="L70" s="230" t="s">
        <v>2302</v>
      </c>
      <c r="M70" s="197"/>
      <c r="N70" s="219"/>
      <c r="O70" s="197"/>
      <c r="P70" s="197" t="s">
        <v>2196</v>
      </c>
      <c r="Q70" s="197"/>
      <c r="R70" s="230" t="s">
        <v>1730</v>
      </c>
      <c r="S70" s="574" t="s">
        <v>2542</v>
      </c>
      <c r="T70" s="233"/>
      <c r="U70" s="197">
        <v>52</v>
      </c>
      <c r="V70" s="194"/>
      <c r="W70" s="194"/>
      <c r="X70" s="194"/>
      <c r="Y70" s="575" t="b">
        <f>NOT(ISERROR(MATCH(B70,#REF!,0)))</f>
        <v>0</v>
      </c>
    </row>
    <row r="71" spans="1:25">
      <c r="A71" s="197">
        <f t="shared" si="1"/>
        <v>70</v>
      </c>
      <c r="B71" s="568" t="s">
        <v>573</v>
      </c>
      <c r="C71" s="229" t="s">
        <v>2543</v>
      </c>
      <c r="D71" s="197" t="s">
        <v>2295</v>
      </c>
      <c r="E71" s="227" t="s">
        <v>2540</v>
      </c>
      <c r="F71" s="227" t="s">
        <v>2395</v>
      </c>
      <c r="G71" s="197" t="s">
        <v>2385</v>
      </c>
      <c r="H71" s="197" t="s">
        <v>2190</v>
      </c>
      <c r="I71" s="228" t="s">
        <v>2544</v>
      </c>
      <c r="J71" s="197" t="s">
        <v>2276</v>
      </c>
      <c r="K71" s="229" t="s">
        <v>2276</v>
      </c>
      <c r="L71" s="230" t="s">
        <v>2302</v>
      </c>
      <c r="M71" s="197"/>
      <c r="N71" s="219"/>
      <c r="O71" s="197"/>
      <c r="P71" s="197"/>
      <c r="Q71" s="197"/>
      <c r="R71" s="230" t="s">
        <v>1730</v>
      </c>
      <c r="S71" s="574" t="s">
        <v>2545</v>
      </c>
      <c r="T71" s="233"/>
      <c r="U71" s="197">
        <v>65</v>
      </c>
      <c r="V71" s="194"/>
      <c r="W71" s="194"/>
      <c r="X71" s="194"/>
      <c r="Y71" s="575" t="b">
        <f>NOT(ISERROR(MATCH(B71,#REF!,0)))</f>
        <v>0</v>
      </c>
    </row>
    <row r="72" spans="1:25">
      <c r="A72" s="197">
        <f t="shared" si="1"/>
        <v>71</v>
      </c>
      <c r="B72" s="568" t="s">
        <v>581</v>
      </c>
      <c r="C72" s="229" t="s">
        <v>2546</v>
      </c>
      <c r="D72" s="197" t="s">
        <v>2295</v>
      </c>
      <c r="E72" s="227" t="s">
        <v>2540</v>
      </c>
      <c r="F72" s="227" t="s">
        <v>2395</v>
      </c>
      <c r="G72" s="197" t="s">
        <v>2385</v>
      </c>
      <c r="H72" s="197" t="s">
        <v>2181</v>
      </c>
      <c r="I72" s="228" t="s">
        <v>2547</v>
      </c>
      <c r="J72" s="197" t="s">
        <v>2276</v>
      </c>
      <c r="K72" s="229" t="s">
        <v>2276</v>
      </c>
      <c r="L72" s="230" t="s">
        <v>2302</v>
      </c>
      <c r="M72" s="197"/>
      <c r="N72" s="219"/>
      <c r="O72" s="197"/>
      <c r="P72" s="197"/>
      <c r="Q72" s="197"/>
      <c r="R72" s="348" t="s">
        <v>2313</v>
      </c>
      <c r="S72" s="574" t="s">
        <v>2548</v>
      </c>
      <c r="T72" s="233"/>
      <c r="U72" s="197">
        <v>135</v>
      </c>
      <c r="V72" s="194"/>
      <c r="W72" s="194"/>
      <c r="X72" s="194"/>
      <c r="Y72" s="575" t="b">
        <f>NOT(ISERROR(MATCH(B72,#REF!,0)))</f>
        <v>0</v>
      </c>
    </row>
    <row r="73" spans="1:25">
      <c r="A73" s="197">
        <f t="shared" si="1"/>
        <v>72</v>
      </c>
      <c r="B73" s="568" t="s">
        <v>551</v>
      </c>
      <c r="C73" s="229" t="s">
        <v>2549</v>
      </c>
      <c r="D73" s="197" t="s">
        <v>2295</v>
      </c>
      <c r="E73" s="227" t="s">
        <v>2540</v>
      </c>
      <c r="F73" s="227" t="s">
        <v>2395</v>
      </c>
      <c r="G73" s="197" t="s">
        <v>2385</v>
      </c>
      <c r="H73" s="197" t="s">
        <v>2186</v>
      </c>
      <c r="I73" s="228" t="s">
        <v>2550</v>
      </c>
      <c r="J73" s="197" t="s">
        <v>2276</v>
      </c>
      <c r="K73" s="229" t="s">
        <v>2276</v>
      </c>
      <c r="L73" s="230" t="s">
        <v>2302</v>
      </c>
      <c r="M73" s="197"/>
      <c r="N73" s="219"/>
      <c r="O73" s="197"/>
      <c r="P73" s="197" t="s">
        <v>2196</v>
      </c>
      <c r="Q73" s="197"/>
      <c r="R73" s="230" t="s">
        <v>1730</v>
      </c>
      <c r="S73" s="574" t="s">
        <v>2551</v>
      </c>
      <c r="T73" s="233"/>
      <c r="U73" s="197">
        <v>96</v>
      </c>
      <c r="V73" s="194"/>
      <c r="W73" s="194"/>
      <c r="X73" s="194"/>
      <c r="Y73" s="575" t="b">
        <f>NOT(ISERROR(MATCH(B73,#REF!,0)))</f>
        <v>0</v>
      </c>
    </row>
    <row r="74" spans="1:25" hidden="1">
      <c r="A74" s="517">
        <f t="shared" si="1"/>
        <v>73</v>
      </c>
      <c r="B74" s="595" t="s">
        <v>599</v>
      </c>
      <c r="C74" s="236" t="s">
        <v>2552</v>
      </c>
      <c r="D74" s="604" t="s">
        <v>2270</v>
      </c>
      <c r="E74" s="596" t="s">
        <v>2526</v>
      </c>
      <c r="F74" s="368" t="s">
        <v>2395</v>
      </c>
      <c r="G74" s="604" t="s">
        <v>2385</v>
      </c>
      <c r="H74" s="369" t="s">
        <v>2186</v>
      </c>
      <c r="I74" s="605" t="s">
        <v>2553</v>
      </c>
      <c r="J74" s="369" t="s">
        <v>2276</v>
      </c>
      <c r="K74" s="367" t="s">
        <v>2276</v>
      </c>
      <c r="L74" s="609" t="s">
        <v>2318</v>
      </c>
      <c r="M74" s="369"/>
      <c r="N74" s="607"/>
      <c r="O74" s="604"/>
      <c r="P74" s="599" t="s">
        <v>2376</v>
      </c>
      <c r="Q74" s="599"/>
      <c r="R74" s="599" t="s">
        <v>1730</v>
      </c>
      <c r="S74" s="601" t="s">
        <v>2554</v>
      </c>
      <c r="T74" s="608"/>
      <c r="U74" s="369">
        <v>121</v>
      </c>
      <c r="V74" s="372"/>
      <c r="W74" s="603"/>
      <c r="X74" s="603"/>
      <c r="Y74" s="486" t="b">
        <f>NOT(ISERROR(MATCH(B74,#REF!,0)))</f>
        <v>0</v>
      </c>
    </row>
    <row r="75" spans="1:25" ht="31.5" customHeight="1">
      <c r="A75" s="197">
        <f t="shared" si="1"/>
        <v>74</v>
      </c>
      <c r="B75" s="568" t="s">
        <v>611</v>
      </c>
      <c r="C75" s="229" t="s">
        <v>2555</v>
      </c>
      <c r="D75" s="197" t="s">
        <v>2295</v>
      </c>
      <c r="E75" s="227" t="s">
        <v>2540</v>
      </c>
      <c r="F75" s="227" t="s">
        <v>2395</v>
      </c>
      <c r="G75" s="197" t="s">
        <v>2385</v>
      </c>
      <c r="H75" s="197" t="s">
        <v>1696</v>
      </c>
      <c r="I75" s="243" t="s">
        <v>2556</v>
      </c>
      <c r="J75" s="197" t="s">
        <v>2275</v>
      </c>
      <c r="K75" s="229" t="s">
        <v>2512</v>
      </c>
      <c r="L75" s="230" t="s">
        <v>2278</v>
      </c>
      <c r="M75" s="197"/>
      <c r="N75" s="197"/>
      <c r="O75" s="197"/>
      <c r="P75" s="197" t="s">
        <v>2278</v>
      </c>
      <c r="Q75" s="230"/>
      <c r="R75" s="230" t="s">
        <v>1730</v>
      </c>
      <c r="S75" s="574" t="s">
        <v>2557</v>
      </c>
      <c r="T75" s="197"/>
      <c r="U75" s="197">
        <v>654</v>
      </c>
      <c r="V75" s="194"/>
      <c r="W75" s="194"/>
      <c r="X75" s="194"/>
      <c r="Y75" s="575" t="b">
        <f>NOT(ISERROR(MATCH(B75,#REF!,0)))</f>
        <v>0</v>
      </c>
    </row>
    <row r="76" spans="1:25" ht="31.5" customHeight="1">
      <c r="A76" s="197">
        <f t="shared" si="1"/>
        <v>75</v>
      </c>
      <c r="B76" s="568" t="s">
        <v>607</v>
      </c>
      <c r="C76" s="229" t="s">
        <v>2558</v>
      </c>
      <c r="D76" s="227" t="s">
        <v>2295</v>
      </c>
      <c r="E76" s="227" t="s">
        <v>2540</v>
      </c>
      <c r="F76" s="227" t="s">
        <v>2395</v>
      </c>
      <c r="G76" s="227" t="s">
        <v>2385</v>
      </c>
      <c r="H76" s="227" t="s">
        <v>2179</v>
      </c>
      <c r="I76" s="246" t="s">
        <v>2559</v>
      </c>
      <c r="J76" s="197" t="s">
        <v>2276</v>
      </c>
      <c r="K76" s="227" t="s">
        <v>2276</v>
      </c>
      <c r="L76" s="227" t="s">
        <v>2302</v>
      </c>
      <c r="M76" s="227"/>
      <c r="N76" s="227"/>
      <c r="O76" s="227"/>
      <c r="P76" s="227"/>
      <c r="Q76" s="227"/>
      <c r="R76" s="230" t="s">
        <v>1730</v>
      </c>
      <c r="S76" s="574" t="s">
        <v>2560</v>
      </c>
      <c r="T76" s="197"/>
      <c r="U76" s="197"/>
      <c r="V76" s="194"/>
      <c r="W76" s="194"/>
      <c r="X76" s="194"/>
      <c r="Y76" s="575" t="b">
        <f>NOT(ISERROR(MATCH(B76,#REF!,0)))</f>
        <v>0</v>
      </c>
    </row>
    <row r="77" spans="1:25" ht="24">
      <c r="A77" s="197">
        <f t="shared" si="1"/>
        <v>76</v>
      </c>
      <c r="B77" s="568" t="s">
        <v>603</v>
      </c>
      <c r="C77" s="229" t="s">
        <v>2561</v>
      </c>
      <c r="D77" s="227" t="s">
        <v>2295</v>
      </c>
      <c r="E77" s="227" t="s">
        <v>2562</v>
      </c>
      <c r="F77" s="227" t="s">
        <v>2272</v>
      </c>
      <c r="G77" s="227" t="s">
        <v>2273</v>
      </c>
      <c r="H77" s="227" t="s">
        <v>2186</v>
      </c>
      <c r="I77" s="246" t="s">
        <v>2563</v>
      </c>
      <c r="J77" s="197" t="s">
        <v>2276</v>
      </c>
      <c r="K77" s="227" t="s">
        <v>2276</v>
      </c>
      <c r="L77" s="227" t="s">
        <v>2302</v>
      </c>
      <c r="M77" s="227"/>
      <c r="N77" s="227"/>
      <c r="O77" s="227"/>
      <c r="P77" s="197" t="s">
        <v>2278</v>
      </c>
      <c r="Q77" s="230" t="s">
        <v>2564</v>
      </c>
      <c r="R77" s="230" t="s">
        <v>1730</v>
      </c>
      <c r="S77" s="574" t="s">
        <v>2565</v>
      </c>
      <c r="T77" s="197"/>
      <c r="U77" s="197">
        <v>102</v>
      </c>
      <c r="V77" s="194"/>
      <c r="W77" s="194"/>
      <c r="X77" s="194"/>
      <c r="Y77" s="575" t="b">
        <f>NOT(ISERROR(MATCH(B77,#REF!,0)))</f>
        <v>0</v>
      </c>
    </row>
    <row r="78" spans="1:25">
      <c r="A78" s="197">
        <f t="shared" si="1"/>
        <v>77</v>
      </c>
      <c r="B78" s="568" t="s">
        <v>149</v>
      </c>
      <c r="C78" s="229" t="s">
        <v>2566</v>
      </c>
      <c r="D78" s="227" t="s">
        <v>2295</v>
      </c>
      <c r="E78" s="227" t="s">
        <v>2383</v>
      </c>
      <c r="F78" s="227" t="s">
        <v>2384</v>
      </c>
      <c r="G78" s="197" t="s">
        <v>2385</v>
      </c>
      <c r="H78" s="197" t="s">
        <v>2183</v>
      </c>
      <c r="I78" s="243" t="s">
        <v>2386</v>
      </c>
      <c r="J78" s="197" t="s">
        <v>2276</v>
      </c>
      <c r="K78" s="227" t="s">
        <v>2276</v>
      </c>
      <c r="L78" s="227" t="s">
        <v>2302</v>
      </c>
      <c r="M78" s="197"/>
      <c r="N78" s="197"/>
      <c r="O78" s="197"/>
      <c r="P78" s="197" t="s">
        <v>2196</v>
      </c>
      <c r="Q78" s="197"/>
      <c r="R78" s="230" t="s">
        <v>1730</v>
      </c>
      <c r="S78" s="574" t="s">
        <v>2567</v>
      </c>
      <c r="T78" s="197"/>
      <c r="U78" s="197">
        <v>123.91</v>
      </c>
      <c r="V78" s="194"/>
      <c r="W78" s="194"/>
      <c r="X78" s="194"/>
      <c r="Y78" s="575" t="b">
        <f>NOT(ISERROR(MATCH(B78,#REF!,0)))</f>
        <v>0</v>
      </c>
    </row>
    <row r="79" spans="1:25" hidden="1">
      <c r="A79" s="369">
        <f t="shared" si="1"/>
        <v>78</v>
      </c>
      <c r="B79" s="366" t="s">
        <v>122</v>
      </c>
      <c r="C79" s="367" t="s">
        <v>2568</v>
      </c>
      <c r="D79" s="604" t="s">
        <v>2270</v>
      </c>
      <c r="E79" s="368" t="s">
        <v>2394</v>
      </c>
      <c r="F79" s="368" t="s">
        <v>2395</v>
      </c>
      <c r="G79" s="369" t="s">
        <v>2385</v>
      </c>
      <c r="H79" s="369" t="s">
        <v>2190</v>
      </c>
      <c r="I79" s="383" t="s">
        <v>2569</v>
      </c>
      <c r="J79" s="369"/>
      <c r="K79" s="368" t="s">
        <v>2290</v>
      </c>
      <c r="L79" s="368"/>
      <c r="M79" s="384" t="s">
        <v>2570</v>
      </c>
      <c r="N79" s="369"/>
      <c r="O79" s="604"/>
      <c r="P79" s="380"/>
      <c r="Q79" s="380"/>
      <c r="R79" s="371" t="s">
        <v>1730</v>
      </c>
      <c r="S79" s="594"/>
      <c r="T79" s="369"/>
      <c r="U79" s="369">
        <v>20</v>
      </c>
      <c r="V79" s="372"/>
      <c r="W79" s="373"/>
      <c r="X79" s="373"/>
      <c r="Y79" s="486" t="b">
        <f>NOT(ISERROR(MATCH(B79,#REF!,0)))</f>
        <v>0</v>
      </c>
    </row>
    <row r="80" spans="1:25" hidden="1">
      <c r="A80" s="198">
        <f t="shared" si="1"/>
        <v>79</v>
      </c>
      <c r="B80" s="244" t="s">
        <v>211</v>
      </c>
      <c r="C80" s="245" t="s">
        <v>2571</v>
      </c>
      <c r="D80" s="239" t="s">
        <v>2270</v>
      </c>
      <c r="E80" s="240" t="s">
        <v>2394</v>
      </c>
      <c r="F80" s="240" t="s">
        <v>2395</v>
      </c>
      <c r="G80" s="198" t="s">
        <v>2385</v>
      </c>
      <c r="H80" s="198" t="s">
        <v>2192</v>
      </c>
      <c r="I80" s="360" t="s">
        <v>2569</v>
      </c>
      <c r="J80" s="198"/>
      <c r="K80" s="240" t="s">
        <v>2290</v>
      </c>
      <c r="L80" s="240"/>
      <c r="M80" s="225" t="s">
        <v>2572</v>
      </c>
      <c r="N80" s="198"/>
      <c r="O80" s="239"/>
      <c r="P80" s="198"/>
      <c r="Q80" s="198"/>
      <c r="R80" s="237" t="s">
        <v>1730</v>
      </c>
      <c r="S80" s="519"/>
      <c r="T80" s="198"/>
      <c r="U80" s="198">
        <v>20</v>
      </c>
      <c r="V80" s="328"/>
      <c r="W80" s="195"/>
      <c r="X80" s="195"/>
      <c r="Y80" s="486" t="b">
        <f>NOT(ISERROR(MATCH(B80,#REF!,0)))</f>
        <v>0</v>
      </c>
    </row>
    <row r="81" spans="1:25">
      <c r="A81" s="197">
        <f t="shared" si="1"/>
        <v>80</v>
      </c>
      <c r="B81" s="568" t="s">
        <v>254</v>
      </c>
      <c r="C81" s="229" t="s">
        <v>2573</v>
      </c>
      <c r="D81" s="227" t="s">
        <v>2295</v>
      </c>
      <c r="E81" s="227" t="s">
        <v>2502</v>
      </c>
      <c r="F81" s="227" t="s">
        <v>2272</v>
      </c>
      <c r="G81" s="197" t="s">
        <v>2273</v>
      </c>
      <c r="H81" s="197" t="s">
        <v>2179</v>
      </c>
      <c r="I81" s="194" t="s">
        <v>2574</v>
      </c>
      <c r="J81" s="197" t="s">
        <v>2276</v>
      </c>
      <c r="K81" s="227" t="s">
        <v>2276</v>
      </c>
      <c r="L81" s="227"/>
      <c r="M81" s="197"/>
      <c r="N81" s="197"/>
      <c r="O81" s="197"/>
      <c r="P81" s="197"/>
      <c r="Q81" s="197"/>
      <c r="R81" s="230" t="s">
        <v>1730</v>
      </c>
      <c r="S81" s="574" t="s">
        <v>2575</v>
      </c>
      <c r="T81" s="219">
        <v>45282</v>
      </c>
      <c r="U81" s="197">
        <v>40</v>
      </c>
      <c r="V81" s="194"/>
      <c r="W81" s="194" t="s">
        <v>2576</v>
      </c>
      <c r="X81" s="194"/>
      <c r="Y81" s="575" t="b">
        <f>NOT(ISERROR(MATCH(B81,#REF!,0)))</f>
        <v>0</v>
      </c>
    </row>
    <row r="82" spans="1:25" hidden="1">
      <c r="A82" s="517">
        <f t="shared" si="1"/>
        <v>81</v>
      </c>
      <c r="B82" s="595" t="s">
        <v>496</v>
      </c>
      <c r="C82" s="236" t="s">
        <v>2577</v>
      </c>
      <c r="D82" s="380" t="s">
        <v>2270</v>
      </c>
      <c r="E82" s="596" t="s">
        <v>2578</v>
      </c>
      <c r="F82" s="368" t="s">
        <v>2272</v>
      </c>
      <c r="G82" s="517" t="s">
        <v>2273</v>
      </c>
      <c r="H82" s="517"/>
      <c r="I82" s="597" t="s">
        <v>2451</v>
      </c>
      <c r="J82" s="517" t="s">
        <v>2289</v>
      </c>
      <c r="K82" s="236" t="s">
        <v>2455</v>
      </c>
      <c r="L82" s="384" t="s">
        <v>2456</v>
      </c>
      <c r="M82" s="384" t="s">
        <v>2448</v>
      </c>
      <c r="N82" s="384"/>
      <c r="O82" s="598"/>
      <c r="P82" s="371"/>
      <c r="Q82" s="371"/>
      <c r="R82" s="371" t="s">
        <v>1730</v>
      </c>
      <c r="S82" s="610"/>
      <c r="T82" s="602"/>
      <c r="U82" s="221" t="e">
        <v>#N/A</v>
      </c>
      <c r="V82" s="365"/>
      <c r="W82" s="369"/>
      <c r="X82" s="603"/>
      <c r="Y82" s="486" t="b">
        <f>NOT(ISERROR(MATCH(B82,#REF!,0)))</f>
        <v>0</v>
      </c>
    </row>
    <row r="83" spans="1:25" ht="13.5">
      <c r="A83" s="239">
        <f t="shared" si="1"/>
        <v>82</v>
      </c>
      <c r="B83" s="570" t="s">
        <v>880</v>
      </c>
      <c r="C83" s="224" t="s">
        <v>2579</v>
      </c>
      <c r="D83" s="217" t="s">
        <v>2295</v>
      </c>
      <c r="E83" s="222" t="s">
        <v>2337</v>
      </c>
      <c r="F83" s="222" t="s">
        <v>2338</v>
      </c>
      <c r="G83" s="217" t="s">
        <v>2273</v>
      </c>
      <c r="H83" s="225" t="s">
        <v>2179</v>
      </c>
      <c r="I83" s="223" t="s">
        <v>2339</v>
      </c>
      <c r="J83" s="217" t="s">
        <v>2276</v>
      </c>
      <c r="K83" s="217" t="s">
        <v>2290</v>
      </c>
      <c r="L83" s="225"/>
      <c r="M83" s="225" t="s">
        <v>2348</v>
      </c>
      <c r="N83" s="198" t="s">
        <v>2504</v>
      </c>
      <c r="O83" s="351"/>
      <c r="P83" s="230"/>
      <c r="Q83" s="230"/>
      <c r="R83" s="230" t="s">
        <v>1730</v>
      </c>
      <c r="S83" s="487" t="s">
        <v>2580</v>
      </c>
      <c r="T83" s="218">
        <v>45315</v>
      </c>
      <c r="U83" s="217"/>
      <c r="V83" s="241"/>
      <c r="W83" s="224"/>
      <c r="X83" s="217"/>
      <c r="Y83" s="486" t="b">
        <f>NOT(ISERROR(MATCH(B83,#REF!,0)))</f>
        <v>0</v>
      </c>
    </row>
    <row r="84" spans="1:25" ht="13.5">
      <c r="A84" s="198">
        <f t="shared" si="1"/>
        <v>83</v>
      </c>
      <c r="B84" s="582" t="s">
        <v>890</v>
      </c>
      <c r="C84" s="245" t="s">
        <v>2581</v>
      </c>
      <c r="D84" s="198" t="s">
        <v>2295</v>
      </c>
      <c r="E84" s="240" t="s">
        <v>2337</v>
      </c>
      <c r="F84" s="240" t="s">
        <v>2338</v>
      </c>
      <c r="G84" s="198" t="s">
        <v>2273</v>
      </c>
      <c r="H84" s="198" t="s">
        <v>2186</v>
      </c>
      <c r="I84" s="234" t="s">
        <v>2339</v>
      </c>
      <c r="J84" s="198" t="s">
        <v>2276</v>
      </c>
      <c r="K84" s="198" t="s">
        <v>2290</v>
      </c>
      <c r="L84" s="225" t="s">
        <v>2302</v>
      </c>
      <c r="M84" s="225" t="s">
        <v>2278</v>
      </c>
      <c r="N84" s="198" t="s">
        <v>2504</v>
      </c>
      <c r="O84" s="518"/>
      <c r="P84" s="237"/>
      <c r="Q84" s="237"/>
      <c r="R84" s="237" t="s">
        <v>1730</v>
      </c>
      <c r="S84" s="583" t="s">
        <v>2582</v>
      </c>
      <c r="T84" s="218">
        <v>45315</v>
      </c>
      <c r="U84" s="198"/>
      <c r="V84" s="244"/>
      <c r="W84" s="245"/>
      <c r="X84" s="198"/>
      <c r="Y84" s="486" t="b">
        <f>NOT(ISERROR(MATCH(B84,#REF!,0)))</f>
        <v>0</v>
      </c>
    </row>
    <row r="85" spans="1:25" ht="24.75">
      <c r="A85" s="197">
        <f t="shared" si="1"/>
        <v>84</v>
      </c>
      <c r="B85" s="568" t="s">
        <v>144</v>
      </c>
      <c r="C85" s="229" t="s">
        <v>145</v>
      </c>
      <c r="D85" s="197" t="s">
        <v>2295</v>
      </c>
      <c r="E85" s="227" t="s">
        <v>2324</v>
      </c>
      <c r="F85" s="227" t="s">
        <v>2272</v>
      </c>
      <c r="G85" s="197" t="s">
        <v>2273</v>
      </c>
      <c r="H85" s="197" t="s">
        <v>2186</v>
      </c>
      <c r="I85" s="576" t="s">
        <v>2583</v>
      </c>
      <c r="J85" s="197" t="s">
        <v>2276</v>
      </c>
      <c r="K85" s="227" t="s">
        <v>2276</v>
      </c>
      <c r="L85" s="230"/>
      <c r="M85" s="230"/>
      <c r="N85" s="197"/>
      <c r="O85" s="230"/>
      <c r="P85" s="230" t="s">
        <v>2278</v>
      </c>
      <c r="Q85" s="230" t="s">
        <v>2564</v>
      </c>
      <c r="R85" s="348" t="s">
        <v>2313</v>
      </c>
      <c r="S85" s="574" t="s">
        <v>2584</v>
      </c>
      <c r="T85" s="219"/>
      <c r="U85" s="197">
        <v>115.7</v>
      </c>
      <c r="V85" s="247"/>
      <c r="W85" s="229"/>
      <c r="X85" s="197"/>
      <c r="Y85" s="575" t="b">
        <f>NOT(ISERROR(MATCH(B85,#REF!,0)))</f>
        <v>0</v>
      </c>
    </row>
    <row r="86" spans="1:25">
      <c r="A86" s="380">
        <f>A85+1</f>
        <v>85</v>
      </c>
      <c r="B86" s="611" t="s">
        <v>2585</v>
      </c>
      <c r="C86" s="381" t="s">
        <v>2586</v>
      </c>
      <c r="D86" s="370" t="s">
        <v>2295</v>
      </c>
      <c r="E86" s="586"/>
      <c r="F86" s="586"/>
      <c r="G86" s="221"/>
      <c r="H86" s="221"/>
      <c r="I86" s="588" t="s">
        <v>2451</v>
      </c>
      <c r="J86" s="380"/>
      <c r="K86" s="370" t="s">
        <v>2452</v>
      </c>
      <c r="L86" s="371"/>
      <c r="M86" s="371"/>
      <c r="N86" s="380"/>
      <c r="O86" s="612"/>
      <c r="P86" s="371"/>
      <c r="Q86" s="371"/>
      <c r="R86" s="371"/>
      <c r="S86" s="594"/>
      <c r="T86" s="382"/>
      <c r="U86" s="221" t="e">
        <v>#N/A</v>
      </c>
      <c r="V86" s="611"/>
      <c r="W86" s="381"/>
      <c r="X86" s="380"/>
      <c r="Y86" s="486" t="b">
        <f>NOT(ISERROR(MATCH(B86,#REF!,0)))</f>
        <v>0</v>
      </c>
    </row>
    <row r="87" spans="1:25" hidden="1">
      <c r="A87" s="198">
        <f>A86+1</f>
        <v>86</v>
      </c>
      <c r="B87" s="244" t="s">
        <v>489</v>
      </c>
      <c r="C87" s="245" t="s">
        <v>2587</v>
      </c>
      <c r="D87" s="198" t="s">
        <v>2270</v>
      </c>
      <c r="E87" s="222"/>
      <c r="F87" s="222"/>
      <c r="G87" s="217" t="s">
        <v>2273</v>
      </c>
      <c r="H87" s="517"/>
      <c r="I87" s="234"/>
      <c r="J87" s="198"/>
      <c r="K87" s="224" t="s">
        <v>2452</v>
      </c>
      <c r="L87" s="237"/>
      <c r="M87" s="237"/>
      <c r="N87" s="198"/>
      <c r="O87" s="518"/>
      <c r="P87" s="237"/>
      <c r="Q87" s="237"/>
      <c r="R87" s="237"/>
      <c r="S87" s="519"/>
      <c r="T87" s="238"/>
      <c r="U87" s="217" t="e">
        <v>#N/A</v>
      </c>
      <c r="V87" s="244"/>
      <c r="W87" s="245"/>
      <c r="X87" s="198"/>
      <c r="Y87" s="486" t="b">
        <f>NOT(ISERROR(MATCH(B87,#REF!,0)))</f>
        <v>0</v>
      </c>
    </row>
    <row r="88" spans="1:25" ht="12.75" customHeight="1">
      <c r="A88" s="197">
        <f>A87+1</f>
        <v>87</v>
      </c>
      <c r="B88" s="568" t="s">
        <v>451</v>
      </c>
      <c r="C88" s="243" t="s">
        <v>2588</v>
      </c>
      <c r="D88" s="227" t="s">
        <v>2295</v>
      </c>
      <c r="E88" s="243" t="s">
        <v>2589</v>
      </c>
      <c r="F88" s="243" t="s">
        <v>2272</v>
      </c>
      <c r="G88" s="197" t="s">
        <v>2273</v>
      </c>
      <c r="H88" s="194" t="s">
        <v>2186</v>
      </c>
      <c r="I88" s="194" t="s">
        <v>2590</v>
      </c>
      <c r="J88" s="197" t="s">
        <v>2276</v>
      </c>
      <c r="K88" s="227" t="s">
        <v>2276</v>
      </c>
      <c r="L88" s="230" t="s">
        <v>2278</v>
      </c>
      <c r="M88" s="197" t="s">
        <v>2278</v>
      </c>
      <c r="N88" s="197" t="s">
        <v>2591</v>
      </c>
      <c r="O88" s="197"/>
      <c r="P88" s="197"/>
      <c r="Q88" s="230"/>
      <c r="R88" s="197"/>
      <c r="S88" s="164" t="s">
        <v>2592</v>
      </c>
      <c r="T88" s="553">
        <v>45519</v>
      </c>
      <c r="U88" s="186" t="s">
        <v>2593</v>
      </c>
      <c r="V88" s="194"/>
      <c r="W88" s="194"/>
      <c r="X88" s="194"/>
      <c r="Y88" s="194"/>
    </row>
    <row r="89" spans="1:25" ht="12.75" customHeight="1">
      <c r="A89" s="197">
        <f>A88+1</f>
        <v>88</v>
      </c>
      <c r="B89" s="568" t="s">
        <v>72</v>
      </c>
      <c r="C89" s="243" t="s">
        <v>2594</v>
      </c>
      <c r="D89" s="227" t="s">
        <v>2295</v>
      </c>
      <c r="E89" s="243" t="s">
        <v>2595</v>
      </c>
      <c r="F89" s="243" t="s">
        <v>2272</v>
      </c>
      <c r="G89" s="197" t="s">
        <v>2273</v>
      </c>
      <c r="H89" s="194" t="s">
        <v>2186</v>
      </c>
      <c r="I89" s="194" t="s">
        <v>2596</v>
      </c>
      <c r="J89" s="197" t="s">
        <v>2275</v>
      </c>
      <c r="K89" s="227" t="s">
        <v>2512</v>
      </c>
      <c r="L89" s="230" t="s">
        <v>2278</v>
      </c>
      <c r="M89" s="197" t="s">
        <v>2278</v>
      </c>
      <c r="N89" s="197" t="s">
        <v>2591</v>
      </c>
      <c r="O89" s="197"/>
      <c r="P89" s="197"/>
      <c r="Q89" s="230"/>
      <c r="R89" s="197"/>
      <c r="S89" s="164" t="s">
        <v>2597</v>
      </c>
      <c r="T89" s="553">
        <v>45512</v>
      </c>
      <c r="U89" s="186" t="s">
        <v>2598</v>
      </c>
      <c r="V89" s="194"/>
      <c r="W89" s="194"/>
      <c r="X89" s="194"/>
      <c r="Y89" s="194"/>
    </row>
    <row r="90" spans="1:25" ht="12.75" customHeight="1">
      <c r="A90" s="550">
        <f>A89+1</f>
        <v>89</v>
      </c>
      <c r="B90" s="568" t="s">
        <v>940</v>
      </c>
      <c r="C90" s="243" t="s">
        <v>941</v>
      </c>
      <c r="D90" s="227" t="s">
        <v>2295</v>
      </c>
      <c r="E90" s="243" t="s">
        <v>2599</v>
      </c>
      <c r="F90" s="243" t="s">
        <v>2272</v>
      </c>
      <c r="G90" s="197" t="s">
        <v>2273</v>
      </c>
      <c r="H90" s="194" t="s">
        <v>2186</v>
      </c>
      <c r="I90" s="194" t="s">
        <v>2600</v>
      </c>
      <c r="J90" s="197" t="s">
        <v>2276</v>
      </c>
      <c r="K90" s="227" t="s">
        <v>2276</v>
      </c>
      <c r="L90" s="230" t="s">
        <v>2278</v>
      </c>
      <c r="M90" s="197" t="s">
        <v>2278</v>
      </c>
      <c r="N90" s="197" t="s">
        <v>2591</v>
      </c>
      <c r="O90" s="197"/>
      <c r="P90" s="197"/>
      <c r="Q90" s="230"/>
      <c r="R90" s="197"/>
      <c r="S90" s="164" t="s">
        <v>2601</v>
      </c>
      <c r="T90" s="553">
        <v>45539</v>
      </c>
      <c r="U90" s="186" t="s">
        <v>2602</v>
      </c>
      <c r="V90" s="194"/>
      <c r="W90" s="194"/>
      <c r="X90" s="194"/>
      <c r="Y90" s="194"/>
    </row>
    <row r="91" spans="1:25" ht="12.75" customHeight="1">
      <c r="A91" s="550">
        <f>A90+1</f>
        <v>90</v>
      </c>
      <c r="B91" s="568" t="s">
        <v>898</v>
      </c>
      <c r="C91" s="243" t="s">
        <v>2603</v>
      </c>
      <c r="D91" s="227" t="s">
        <v>2295</v>
      </c>
      <c r="E91" s="243" t="s">
        <v>2604</v>
      </c>
      <c r="F91" s="549" t="s">
        <v>2272</v>
      </c>
      <c r="G91" s="550" t="s">
        <v>2273</v>
      </c>
      <c r="H91" s="548" t="s">
        <v>2186</v>
      </c>
      <c r="I91" s="320" t="s">
        <v>2605</v>
      </c>
      <c r="J91" s="550" t="s">
        <v>2275</v>
      </c>
      <c r="K91" s="552" t="s">
        <v>2512</v>
      </c>
      <c r="L91" s="230" t="s">
        <v>2278</v>
      </c>
      <c r="M91" s="197" t="s">
        <v>2278</v>
      </c>
      <c r="N91" s="197"/>
      <c r="O91" s="197"/>
      <c r="P91" s="197"/>
      <c r="Q91" s="230"/>
      <c r="R91" s="197"/>
      <c r="S91" s="164" t="s">
        <v>2606</v>
      </c>
      <c r="T91" s="233">
        <v>45576</v>
      </c>
      <c r="U91" s="197"/>
      <c r="V91" s="194"/>
      <c r="W91" s="194"/>
      <c r="X91" s="194"/>
      <c r="Y91" s="194"/>
    </row>
    <row r="92" spans="1:25" ht="12.75" customHeight="1">
      <c r="A92" s="550">
        <f>A91+1</f>
        <v>91</v>
      </c>
      <c r="B92" s="568" t="s">
        <v>66</v>
      </c>
      <c r="C92" s="243" t="s">
        <v>2607</v>
      </c>
      <c r="D92" s="227" t="s">
        <v>2295</v>
      </c>
      <c r="E92" s="243" t="s">
        <v>2608</v>
      </c>
      <c r="F92" s="549" t="s">
        <v>2272</v>
      </c>
      <c r="G92" s="550" t="s">
        <v>2273</v>
      </c>
      <c r="H92" s="548" t="s">
        <v>2186</v>
      </c>
      <c r="I92" s="320" t="s">
        <v>2609</v>
      </c>
      <c r="J92" s="550" t="s">
        <v>2276</v>
      </c>
      <c r="K92" s="552" t="s">
        <v>2276</v>
      </c>
      <c r="L92" s="230" t="s">
        <v>2278</v>
      </c>
      <c r="M92" s="197" t="s">
        <v>2278</v>
      </c>
      <c r="N92" s="197"/>
      <c r="O92" s="197"/>
      <c r="P92" s="197"/>
      <c r="Q92" s="230"/>
      <c r="R92" s="197"/>
      <c r="S92" s="164" t="s">
        <v>2610</v>
      </c>
      <c r="T92" s="233">
        <v>45361</v>
      </c>
      <c r="U92" s="186" t="s">
        <v>2611</v>
      </c>
      <c r="V92" s="194"/>
      <c r="W92" s="194"/>
      <c r="X92" s="194"/>
      <c r="Y92" s="194"/>
    </row>
    <row r="93" spans="1:25" ht="12.75" customHeight="1">
      <c r="B93" s="193" t="s">
        <v>164</v>
      </c>
      <c r="C93" s="243" t="s">
        <v>2612</v>
      </c>
      <c r="D93" s="227" t="s">
        <v>2295</v>
      </c>
      <c r="E93" s="196" t="s">
        <v>2613</v>
      </c>
      <c r="F93" s="549" t="s">
        <v>2272</v>
      </c>
      <c r="G93" s="193" t="s">
        <v>2385</v>
      </c>
      <c r="H93" s="193" t="s">
        <v>2186</v>
      </c>
      <c r="J93" s="550" t="s">
        <v>2614</v>
      </c>
      <c r="K93" s="550" t="s">
        <v>2614</v>
      </c>
      <c r="S93" s="147" t="s">
        <v>2615</v>
      </c>
    </row>
  </sheetData>
  <autoFilter ref="A1:Y93" xr:uid="{2247BBB1-D5F8-49B3-9BF0-7F967CD82841}">
    <filterColumn colId="3">
      <filters>
        <filter val="Open"/>
      </filters>
    </filterColumn>
    <filterColumn colId="10">
      <filters>
        <filter val="Multicashier"/>
        <filter val="Stand Alone"/>
      </filters>
    </filterColumn>
  </autoFilter>
  <conditionalFormatting sqref="B2:B87 V83:V87">
    <cfRule type="containsBlanks" dxfId="16" priority="9">
      <formula>LEN(TRIM(B2))=0</formula>
    </cfRule>
  </conditionalFormatting>
  <conditionalFormatting sqref="D2:D5 J10:J74">
    <cfRule type="containsText" dxfId="15" priority="19" operator="containsText" text="Close">
      <formula>NOT(ISERROR(SEARCH("Close",D2)))</formula>
    </cfRule>
  </conditionalFormatting>
  <conditionalFormatting sqref="D6:D8">
    <cfRule type="containsText" dxfId="14" priority="20" operator="containsText" text="Close">
      <formula>NOT(ISERROR(SEARCH("Close",D6)))</formula>
    </cfRule>
  </conditionalFormatting>
  <conditionalFormatting sqref="D9:D75">
    <cfRule type="containsText" dxfId="13" priority="18" operator="containsText" text="Close">
      <formula>NOT(ISERROR(SEARCH("Close",D9)))</formula>
    </cfRule>
  </conditionalFormatting>
  <conditionalFormatting sqref="D79:D80">
    <cfRule type="containsText" dxfId="12" priority="4" operator="containsText" text="Close">
      <formula>NOT(ISERROR(SEARCH("Close",D79)))</formula>
    </cfRule>
  </conditionalFormatting>
  <conditionalFormatting sqref="D82:D85 X83:X87 D87">
    <cfRule type="containsText" dxfId="11" priority="10" operator="containsText" text="Close">
      <formula>NOT(ISERROR(SEARCH("Close",D82)))</formula>
    </cfRule>
  </conditionalFormatting>
  <conditionalFormatting sqref="J75">
    <cfRule type="containsText" dxfId="10" priority="6" operator="containsText" text="Close">
      <formula>NOT(ISERROR(SEARCH("Close",J75)))</formula>
    </cfRule>
  </conditionalFormatting>
  <conditionalFormatting sqref="J76:J93">
    <cfRule type="containsText" dxfId="9" priority="3" operator="containsText" text="Close">
      <formula>NOT(ISERROR(SEARCH("Close",J76)))</formula>
    </cfRule>
  </conditionalFormatting>
  <conditionalFormatting sqref="J2:K8 J9">
    <cfRule type="containsText" dxfId="8" priority="24" operator="containsText" text="Close">
      <formula>NOT(ISERROR(SEARCH("Close",J2)))</formula>
    </cfRule>
  </conditionalFormatting>
  <conditionalFormatting sqref="K9">
    <cfRule type="containsText" dxfId="7" priority="25" operator="containsText" text="Close">
      <formula>NOT(ISERROR(SEARCH("Close",K9)))</formula>
    </cfRule>
  </conditionalFormatting>
  <conditionalFormatting sqref="K10:K40">
    <cfRule type="containsText" dxfId="6" priority="26" operator="containsText" text="Close">
      <formula>NOT(ISERROR(SEARCH("Close",K10)))</formula>
    </cfRule>
  </conditionalFormatting>
  <conditionalFormatting sqref="K83:K84">
    <cfRule type="containsText" dxfId="5" priority="11" operator="containsText" text="Close">
      <formula>NOT(ISERROR(SEARCH("Close",K83)))</formula>
    </cfRule>
  </conditionalFormatting>
  <conditionalFormatting sqref="T62:T63">
    <cfRule type="containsText" dxfId="4" priority="7" operator="containsText" text="Close">
      <formula>NOT(ISERROR(SEARCH("Close",T62)))</formula>
    </cfRule>
  </conditionalFormatting>
  <conditionalFormatting sqref="W2:W8">
    <cfRule type="containsText" dxfId="3" priority="28" operator="containsText" text="Close">
      <formula>NOT(ISERROR(SEARCH("Close",W2)))</formula>
    </cfRule>
  </conditionalFormatting>
  <conditionalFormatting sqref="W9:W58">
    <cfRule type="containsText" dxfId="2" priority="27" operator="containsText" text="Close">
      <formula>NOT(ISERROR(SEARCH("Close",W9)))</formula>
    </cfRule>
  </conditionalFormatting>
  <conditionalFormatting sqref="W82">
    <cfRule type="containsText" dxfId="1" priority="14" operator="containsText" text="Close">
      <formula>NOT(ISERROR(SEARCH("Close",W82)))</formula>
    </cfRule>
  </conditionalFormatting>
  <conditionalFormatting sqref="K93">
    <cfRule type="containsText" dxfId="0" priority="1" operator="containsText" text="Close">
      <formula>NOT(ISERROR(SEARCH("Close",K93)))</formula>
    </cfRule>
  </conditionalFormatting>
  <hyperlinks>
    <hyperlink ref="S2" r:id="rId1" xr:uid="{FC5282FB-9B69-491D-8A2A-F7D8D5E97101}"/>
    <hyperlink ref="S3" r:id="rId2" xr:uid="{2323ECC1-D8ED-41E3-A54B-9C543A7E6D0B}"/>
    <hyperlink ref="S4" r:id="rId3" xr:uid="{85D4096E-5488-4206-A551-EE1D03799265}"/>
    <hyperlink ref="S15" r:id="rId4" xr:uid="{9FC72240-0E24-4B66-990F-F817D800F80E}"/>
    <hyperlink ref="S27" r:id="rId5" xr:uid="{B79485D4-53C2-4D2C-A8B1-B3C6CBAC0BAF}"/>
    <hyperlink ref="S28" r:id="rId6" xr:uid="{BD2DFEA1-17FC-4093-8900-FA5987518183}"/>
    <hyperlink ref="S29" r:id="rId7" xr:uid="{C8676A2D-B5A3-414B-A9C5-59E94103F916}"/>
    <hyperlink ref="S16" r:id="rId8" xr:uid="{B881A3E4-2E6C-4C6A-93E7-B4B2C0EA395B}"/>
    <hyperlink ref="S17" r:id="rId9" xr:uid="{6C3D85FD-B8C0-4783-81F7-3C7E4F1F686A}"/>
    <hyperlink ref="S31" r:id="rId10" xr:uid="{FA744A7E-F1F0-464F-AD21-C6393ADFD399}"/>
    <hyperlink ref="S33" r:id="rId11" xr:uid="{10FDD425-4ABC-4FDE-A9B5-0C2F1AEBBE5C}"/>
    <hyperlink ref="S32" r:id="rId12" xr:uid="{0C636743-00DA-4D43-A31D-40EF978EEB9D}"/>
    <hyperlink ref="S34" r:id="rId13" xr:uid="{883C44B5-1E27-4FDC-8221-DDB3603C7801}"/>
    <hyperlink ref="S35" r:id="rId14" xr:uid="{5777F9B8-A9BB-4E01-B933-B7D22B5C4BE3}"/>
    <hyperlink ref="S30" r:id="rId15" xr:uid="{B1B300EA-5090-4139-A5D3-B5E9C6A8459D}"/>
    <hyperlink ref="S8" r:id="rId16" xr:uid="{F37873FF-27E8-4928-9F20-C23F3C9764F9}"/>
    <hyperlink ref="S9" r:id="rId17" xr:uid="{67110430-DF29-4CB9-A82A-3B86E2631519}"/>
    <hyperlink ref="S10" r:id="rId18" xr:uid="{922F8546-3630-4266-988B-A22EEF612AFE}"/>
    <hyperlink ref="S11" r:id="rId19" xr:uid="{8763CF9A-9351-4AA4-A84B-12A256D80664}"/>
    <hyperlink ref="S20" r:id="rId20" xr:uid="{FC63FFA9-B435-4A9E-8CEC-B940F2238F59}"/>
    <hyperlink ref="S36" r:id="rId21" xr:uid="{C573D8DF-9C36-4ADE-BFA8-F3E33D9B0A13}"/>
    <hyperlink ref="S24" r:id="rId22" xr:uid="{EFA4868B-5AE4-47D5-825C-A935AD23CDEE}"/>
    <hyperlink ref="S7" r:id="rId23" xr:uid="{52E5C66D-0D79-492D-B1F5-AB1146097E3E}"/>
    <hyperlink ref="S6" r:id="rId24" xr:uid="{D8D03FD1-F8CA-4A29-AD4C-BB2283631012}"/>
    <hyperlink ref="S25" r:id="rId25" xr:uid="{BF8D63CC-9A93-4C70-ACB3-D0B80CDFFDB5}"/>
    <hyperlink ref="S14" r:id="rId26" xr:uid="{38BDC7CA-6235-42B7-A20F-3C9864E3AAF1}"/>
    <hyperlink ref="S18" r:id="rId27" xr:uid="{240E4C54-A39A-440D-B6F5-51D33064DFA3}"/>
    <hyperlink ref="S19" r:id="rId28" xr:uid="{26BF15B1-CF55-4AC6-BB64-0D06C5D94027}"/>
    <hyperlink ref="S38" r:id="rId29" xr:uid="{07B48036-759F-4B59-BD25-1D2AD339AAE6}"/>
    <hyperlink ref="S39" r:id="rId30" xr:uid="{38533A62-82B7-4BEA-95CC-EECDDB0136B6}"/>
    <hyperlink ref="S58" r:id="rId31" xr:uid="{53F6936C-4F77-4D0E-AC2D-A509048C3894}"/>
    <hyperlink ref="S57" r:id="rId32" xr:uid="{DA905F7C-1103-4874-9B3A-35B6F4452556}"/>
    <hyperlink ref="S59" r:id="rId33" xr:uid="{E2257864-A975-42D6-9EE4-19D24D6F5D31}"/>
    <hyperlink ref="S60" r:id="rId34" xr:uid="{D906C0E0-1C3A-4EE5-A385-FC4CF6572C5F}"/>
    <hyperlink ref="S61" r:id="rId35" xr:uid="{800388D0-E2D1-4FA8-913E-938CCC5C13E6}"/>
    <hyperlink ref="S62" r:id="rId36" xr:uid="{11E46E53-CE1C-47EF-A80D-0C9F69CDB985}"/>
    <hyperlink ref="S12" r:id="rId37" xr:uid="{4DEFA75B-901C-431B-8625-E3AE00DA061A}"/>
    <hyperlink ref="S5" r:id="rId38" xr:uid="{45DF5F24-6530-424F-B902-B3BA46BB6857}"/>
    <hyperlink ref="S63" r:id="rId39" xr:uid="{10AABA30-F126-4756-892D-2E52CE6FA47F}"/>
    <hyperlink ref="S40" r:id="rId40" xr:uid="{08E1C31F-ACF6-42B2-937F-0A0E415053C1}"/>
    <hyperlink ref="S83" r:id="rId41" xr:uid="{99EAF830-4FE2-4EC7-AE06-B9E90634AC36}"/>
    <hyperlink ref="S84" r:id="rId42" xr:uid="{2A591BE2-E251-466C-9F84-100AAD469C18}"/>
    <hyperlink ref="S88" r:id="rId43" xr:uid="{10315366-9418-4DFB-B48F-6AF9B3F92AB1}"/>
    <hyperlink ref="S89" r:id="rId44" xr:uid="{0011E145-A086-4ED9-B6D9-151C6961ABF4}"/>
    <hyperlink ref="S90" r:id="rId45" xr:uid="{E6DD972F-C023-4390-A5EC-8AA91D112AF0}"/>
    <hyperlink ref="S91:S92" r:id="rId46" xr:uid="{F1549856-4B8C-4F70-A013-6448F33A59BF}"/>
    <hyperlink ref="S91" r:id="rId47" xr:uid="{9AD72037-AD74-4AB8-B869-FB300107F679}"/>
    <hyperlink ref="S93" r:id="rId48" xr:uid="{6029E490-1A2C-4A3E-846C-9EA65AF55528}"/>
  </hyperlinks>
  <pageMargins left="0.7" right="0.7" top="0.75" bottom="0.75" header="0.3" footer="0.3"/>
  <pageSetup orientation="portrait" verticalDpi="0" r:id="rId49"/>
  <legacyDrawing r:id="rId5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548F-5A12-46EA-922A-6C31E383743D}">
  <dimension ref="A1"/>
  <sheetViews>
    <sheetView workbookViewId="0"/>
  </sheetViews>
  <sheetFormatPr defaultRowHeight="13.5"/>
  <cols>
    <col min="13" max="13" width="13.25" customWidth="1"/>
  </cols>
  <sheetData>
    <row r="1" ht="14.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004E-DC64-44A5-AFF7-06BDE15513CE}">
  <dimension ref="A1:H9"/>
  <sheetViews>
    <sheetView workbookViewId="0">
      <selection activeCell="F3" sqref="F3"/>
    </sheetView>
  </sheetViews>
  <sheetFormatPr defaultColWidth="9.25" defaultRowHeight="15" customHeight="1"/>
  <cols>
    <col min="1" max="1" width="4.125" style="8" bestFit="1" customWidth="1"/>
    <col min="2" max="2" width="15.375" style="8" customWidth="1"/>
    <col min="3" max="3" width="14.375" style="50" bestFit="1" customWidth="1"/>
    <col min="4" max="4" width="17.125" style="50" customWidth="1"/>
    <col min="5" max="5" width="26.25" style="50" bestFit="1" customWidth="1"/>
    <col min="6" max="6" width="19.875" style="50" bestFit="1" customWidth="1"/>
    <col min="7" max="7" width="21.625" style="50" customWidth="1"/>
    <col min="8" max="8" width="38.25" style="50" customWidth="1"/>
    <col min="9" max="16384" width="9.25" style="50"/>
  </cols>
  <sheetData>
    <row r="1" spans="1:8" s="8" customFormat="1" ht="26.25">
      <c r="A1" s="69" t="s">
        <v>0</v>
      </c>
      <c r="B1" s="117" t="s">
        <v>2616</v>
      </c>
      <c r="C1" s="69" t="s">
        <v>1541</v>
      </c>
      <c r="D1" s="69" t="s">
        <v>2617</v>
      </c>
      <c r="E1" s="69" t="s">
        <v>2618</v>
      </c>
      <c r="F1" s="69" t="s">
        <v>52</v>
      </c>
      <c r="G1" s="69" t="s">
        <v>2619</v>
      </c>
      <c r="H1" s="69" t="s">
        <v>3</v>
      </c>
    </row>
    <row r="2" spans="1:8" ht="13.5">
      <c r="A2" s="14">
        <v>1</v>
      </c>
      <c r="B2" s="785" t="s">
        <v>2620</v>
      </c>
      <c r="C2" s="791" t="s">
        <v>2621</v>
      </c>
      <c r="D2" s="788" t="s">
        <v>2622</v>
      </c>
      <c r="E2" s="36" t="s">
        <v>2623</v>
      </c>
      <c r="F2" s="385" t="s">
        <v>2624</v>
      </c>
      <c r="G2" s="36"/>
      <c r="H2" s="36"/>
    </row>
    <row r="3" spans="1:8" ht="13.5">
      <c r="A3" s="14">
        <f>A2+1</f>
        <v>2</v>
      </c>
      <c r="B3" s="786"/>
      <c r="C3" s="792"/>
      <c r="D3" s="788"/>
      <c r="E3" s="36" t="s">
        <v>2625</v>
      </c>
      <c r="F3" s="385" t="s">
        <v>2626</v>
      </c>
      <c r="G3" s="36"/>
      <c r="H3" s="36"/>
    </row>
    <row r="4" spans="1:8" ht="22.5" customHeight="1">
      <c r="A4" s="14">
        <f t="shared" ref="A4:A7" si="0">A3+1</f>
        <v>3</v>
      </c>
      <c r="B4" s="786"/>
      <c r="C4" s="792"/>
      <c r="D4" s="791" t="s">
        <v>47</v>
      </c>
      <c r="E4" s="68" t="s">
        <v>2627</v>
      </c>
      <c r="F4" s="385" t="s">
        <v>2628</v>
      </c>
      <c r="G4" s="36" t="s">
        <v>995</v>
      </c>
      <c r="H4" s="789" t="s">
        <v>2629</v>
      </c>
    </row>
    <row r="5" spans="1:8" ht="22.5" customHeight="1">
      <c r="A5" s="14">
        <f t="shared" si="0"/>
        <v>4</v>
      </c>
      <c r="B5" s="786"/>
      <c r="C5" s="792"/>
      <c r="D5" s="792"/>
      <c r="E5" s="319" t="s">
        <v>2630</v>
      </c>
      <c r="F5" s="385" t="s">
        <v>2631</v>
      </c>
      <c r="G5" s="36" t="s">
        <v>2632</v>
      </c>
      <c r="H5" s="790"/>
    </row>
    <row r="6" spans="1:8" ht="51">
      <c r="A6" s="14">
        <f t="shared" si="0"/>
        <v>5</v>
      </c>
      <c r="B6" s="786"/>
      <c r="C6" s="793"/>
      <c r="D6" s="793"/>
      <c r="E6" s="36" t="s">
        <v>2625</v>
      </c>
      <c r="F6" s="385" t="s">
        <v>2633</v>
      </c>
      <c r="G6" s="36"/>
      <c r="H6" s="70" t="s">
        <v>2634</v>
      </c>
    </row>
    <row r="7" spans="1:8" ht="13.5">
      <c r="A7" s="14">
        <f t="shared" si="0"/>
        <v>6</v>
      </c>
      <c r="B7" s="786"/>
      <c r="C7" s="791" t="s">
        <v>2635</v>
      </c>
      <c r="D7" s="36" t="s">
        <v>2622</v>
      </c>
      <c r="E7" s="36" t="s">
        <v>2623</v>
      </c>
      <c r="F7" s="36"/>
      <c r="G7" s="36"/>
      <c r="H7" s="36"/>
    </row>
    <row r="8" spans="1:8" ht="13.5">
      <c r="A8" s="14"/>
      <c r="B8" s="786"/>
      <c r="C8" s="792"/>
      <c r="D8" s="36"/>
      <c r="E8" s="36" t="s">
        <v>2625</v>
      </c>
      <c r="F8" s="36"/>
      <c r="G8" s="36"/>
      <c r="H8" s="36"/>
    </row>
    <row r="9" spans="1:8" ht="13.5">
      <c r="A9" s="14">
        <f>A7+1</f>
        <v>7</v>
      </c>
      <c r="B9" s="787"/>
      <c r="C9" s="793"/>
      <c r="D9" s="36" t="s">
        <v>47</v>
      </c>
      <c r="E9" s="36"/>
      <c r="F9" s="36"/>
      <c r="G9" s="36"/>
      <c r="H9" s="36"/>
    </row>
  </sheetData>
  <mergeCells count="6">
    <mergeCell ref="B2:B9"/>
    <mergeCell ref="D2:D3"/>
    <mergeCell ref="H4:H5"/>
    <mergeCell ref="C7:C9"/>
    <mergeCell ref="D4:D6"/>
    <mergeCell ref="C2:C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0F12A-7DE6-489C-812F-8A1F153E604E}">
  <dimension ref="A1:B44"/>
  <sheetViews>
    <sheetView topLeftCell="A6" workbookViewId="0">
      <selection activeCell="F24" sqref="F24"/>
    </sheetView>
  </sheetViews>
  <sheetFormatPr defaultRowHeight="13.5"/>
  <cols>
    <col min="1" max="1" width="20.875" customWidth="1"/>
    <col min="2" max="2" width="60" customWidth="1"/>
  </cols>
  <sheetData>
    <row r="1" spans="1:2">
      <c r="A1" s="129" t="s">
        <v>2636</v>
      </c>
      <c r="B1" s="129" t="s">
        <v>1538</v>
      </c>
    </row>
    <row r="2" spans="1:2">
      <c r="A2" s="128" t="s">
        <v>2637</v>
      </c>
      <c r="B2" s="128" t="s">
        <v>2638</v>
      </c>
    </row>
    <row r="3" spans="1:2">
      <c r="A3" s="128" t="s">
        <v>2639</v>
      </c>
      <c r="B3" s="128" t="s">
        <v>2640</v>
      </c>
    </row>
    <row r="4" spans="1:2">
      <c r="A4" s="128" t="s">
        <v>2641</v>
      </c>
      <c r="B4" s="128" t="s">
        <v>2642</v>
      </c>
    </row>
    <row r="5" spans="1:2">
      <c r="A5" s="128" t="s">
        <v>2643</v>
      </c>
      <c r="B5" s="128" t="s">
        <v>2644</v>
      </c>
    </row>
    <row r="6" spans="1:2">
      <c r="A6" s="128" t="s">
        <v>2645</v>
      </c>
      <c r="B6" s="128" t="s">
        <v>1740</v>
      </c>
    </row>
    <row r="7" spans="1:2">
      <c r="A7" s="128" t="s">
        <v>2646</v>
      </c>
      <c r="B7" s="128" t="s">
        <v>2647</v>
      </c>
    </row>
    <row r="8" spans="1:2">
      <c r="A8" s="128" t="s">
        <v>2648</v>
      </c>
      <c r="B8" s="128" t="s">
        <v>2649</v>
      </c>
    </row>
    <row r="9" spans="1:2">
      <c r="A9" s="128" t="s">
        <v>2650</v>
      </c>
      <c r="B9" s="128" t="s">
        <v>2651</v>
      </c>
    </row>
    <row r="10" spans="1:2">
      <c r="A10" s="128" t="s">
        <v>2652</v>
      </c>
      <c r="B10" s="128" t="s">
        <v>2653</v>
      </c>
    </row>
    <row r="11" spans="1:2">
      <c r="A11" s="128" t="s">
        <v>2654</v>
      </c>
      <c r="B11" s="128" t="s">
        <v>2655</v>
      </c>
    </row>
    <row r="12" spans="1:2">
      <c r="A12" s="128" t="s">
        <v>2656</v>
      </c>
      <c r="B12" s="128" t="s">
        <v>2657</v>
      </c>
    </row>
    <row r="13" spans="1:2">
      <c r="A13" s="128" t="s">
        <v>2658</v>
      </c>
      <c r="B13" s="128" t="s">
        <v>2659</v>
      </c>
    </row>
    <row r="14" spans="1:2">
      <c r="A14" s="128" t="s">
        <v>2660</v>
      </c>
      <c r="B14" s="128" t="s">
        <v>2661</v>
      </c>
    </row>
    <row r="15" spans="1:2">
      <c r="A15" s="128" t="s">
        <v>2662</v>
      </c>
      <c r="B15" s="128" t="s">
        <v>2663</v>
      </c>
    </row>
    <row r="16" spans="1:2">
      <c r="A16" s="128" t="s">
        <v>2664</v>
      </c>
      <c r="B16" s="128" t="s">
        <v>2665</v>
      </c>
    </row>
    <row r="17" spans="1:2">
      <c r="A17" s="128" t="s">
        <v>2666</v>
      </c>
      <c r="B17" s="128" t="s">
        <v>2667</v>
      </c>
    </row>
    <row r="18" spans="1:2">
      <c r="A18" s="128" t="s">
        <v>2668</v>
      </c>
      <c r="B18" s="128" t="s">
        <v>1654</v>
      </c>
    </row>
    <row r="19" spans="1:2">
      <c r="A19" s="128" t="s">
        <v>2669</v>
      </c>
      <c r="B19" s="128" t="s">
        <v>2670</v>
      </c>
    </row>
    <row r="20" spans="1:2">
      <c r="A20" s="128" t="s">
        <v>2671</v>
      </c>
      <c r="B20" s="128" t="s">
        <v>2672</v>
      </c>
    </row>
    <row r="21" spans="1:2">
      <c r="A21" s="128" t="s">
        <v>1864</v>
      </c>
      <c r="B21" s="128" t="s">
        <v>2673</v>
      </c>
    </row>
    <row r="22" spans="1:2">
      <c r="A22" s="128" t="s">
        <v>2674</v>
      </c>
      <c r="B22" s="128" t="s">
        <v>2675</v>
      </c>
    </row>
    <row r="23" spans="1:2">
      <c r="A23" s="128" t="s">
        <v>2676</v>
      </c>
      <c r="B23" s="128" t="s">
        <v>2677</v>
      </c>
    </row>
    <row r="24" spans="1:2">
      <c r="A24" s="128" t="s">
        <v>157</v>
      </c>
      <c r="B24" s="128" t="s">
        <v>2678</v>
      </c>
    </row>
    <row r="25" spans="1:2">
      <c r="A25" s="128" t="s">
        <v>2679</v>
      </c>
      <c r="B25" s="128" t="s">
        <v>1672</v>
      </c>
    </row>
    <row r="26" spans="1:2">
      <c r="A26" s="128" t="s">
        <v>2680</v>
      </c>
      <c r="B26" s="128" t="s">
        <v>2681</v>
      </c>
    </row>
    <row r="27" spans="1:2">
      <c r="A27" s="128" t="s">
        <v>2682</v>
      </c>
      <c r="B27" s="128" t="s">
        <v>2683</v>
      </c>
    </row>
    <row r="28" spans="1:2">
      <c r="A28" s="128" t="s">
        <v>2684</v>
      </c>
      <c r="B28" s="128" t="s">
        <v>2685</v>
      </c>
    </row>
    <row r="29" spans="1:2">
      <c r="A29" s="128" t="s">
        <v>2686</v>
      </c>
      <c r="B29" s="128" t="s">
        <v>1800</v>
      </c>
    </row>
    <row r="30" spans="1:2">
      <c r="A30" s="128" t="s">
        <v>2687</v>
      </c>
      <c r="B30" s="128" t="s">
        <v>1785</v>
      </c>
    </row>
    <row r="31" spans="1:2">
      <c r="A31" s="128" t="s">
        <v>2688</v>
      </c>
      <c r="B31" s="128" t="s">
        <v>2689</v>
      </c>
    </row>
    <row r="32" spans="1:2">
      <c r="A32" s="128" t="s">
        <v>2690</v>
      </c>
      <c r="B32" s="128" t="s">
        <v>2691</v>
      </c>
    </row>
    <row r="33" spans="1:2">
      <c r="A33" s="128" t="s">
        <v>2692</v>
      </c>
      <c r="B33" s="128" t="s">
        <v>2693</v>
      </c>
    </row>
    <row r="34" spans="1:2">
      <c r="A34" s="128" t="s">
        <v>2694</v>
      </c>
      <c r="B34" s="128" t="s">
        <v>2695</v>
      </c>
    </row>
    <row r="35" spans="1:2">
      <c r="A35" s="128" t="s">
        <v>2696</v>
      </c>
      <c r="B35" s="128" t="s">
        <v>2697</v>
      </c>
    </row>
    <row r="36" spans="1:2">
      <c r="A36" s="128" t="s">
        <v>2698</v>
      </c>
      <c r="B36" s="128" t="s">
        <v>2699</v>
      </c>
    </row>
    <row r="37" spans="1:2">
      <c r="A37" s="128" t="s">
        <v>2700</v>
      </c>
      <c r="B37" s="128" t="s">
        <v>2701</v>
      </c>
    </row>
    <row r="38" spans="1:2">
      <c r="A38" s="128" t="s">
        <v>2702</v>
      </c>
      <c r="B38" s="128" t="s">
        <v>2703</v>
      </c>
    </row>
    <row r="39" spans="1:2">
      <c r="A39" s="128" t="s">
        <v>2704</v>
      </c>
      <c r="B39" s="128" t="s">
        <v>1706</v>
      </c>
    </row>
    <row r="40" spans="1:2">
      <c r="A40" s="128" t="s">
        <v>2705</v>
      </c>
      <c r="B40" s="128" t="s">
        <v>2706</v>
      </c>
    </row>
    <row r="41" spans="1:2">
      <c r="A41" s="128" t="s">
        <v>2707</v>
      </c>
      <c r="B41" s="128" t="s">
        <v>2708</v>
      </c>
    </row>
    <row r="42" spans="1:2">
      <c r="A42" s="128" t="s">
        <v>2709</v>
      </c>
      <c r="B42" s="128" t="s">
        <v>2710</v>
      </c>
    </row>
    <row r="43" spans="1:2">
      <c r="A43" s="128" t="s">
        <v>2711</v>
      </c>
      <c r="B43" s="128" t="s">
        <v>2712</v>
      </c>
    </row>
    <row r="44" spans="1:2">
      <c r="A44" s="128" t="s">
        <v>2713</v>
      </c>
      <c r="B44" s="128" t="s">
        <v>2714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5B9CE-72EC-49D2-AFEF-8318A49E2F68}">
  <dimension ref="A1:AK11"/>
  <sheetViews>
    <sheetView zoomScale="70" zoomScaleNormal="70" workbookViewId="0">
      <pane ySplit="1" topLeftCell="F2" activePane="bottomLeft" state="frozen"/>
      <selection pane="bottomLeft" activeCell="F8" sqref="F8"/>
    </sheetView>
  </sheetViews>
  <sheetFormatPr defaultColWidth="9.75" defaultRowHeight="15.75" customHeight="1"/>
  <cols>
    <col min="1" max="1" width="5.375" style="93" customWidth="1"/>
    <col min="2" max="2" width="38.25" style="82" bestFit="1" customWidth="1"/>
    <col min="3" max="3" width="21.5" style="93" customWidth="1"/>
    <col min="4" max="4" width="23.875" style="82" bestFit="1" customWidth="1"/>
    <col min="5" max="5" width="26.25" style="82" bestFit="1" customWidth="1"/>
    <col min="6" max="6" width="10.625" style="82" customWidth="1"/>
    <col min="7" max="7" width="26.5" style="82" bestFit="1" customWidth="1"/>
    <col min="8" max="8" width="47.375" style="91" bestFit="1" customWidth="1"/>
    <col min="9" max="9" width="10.125" style="93" customWidth="1"/>
    <col min="10" max="10" width="9.5" style="92" customWidth="1"/>
    <col min="11" max="11" width="13.125" style="92" customWidth="1"/>
    <col min="12" max="12" width="23.375" style="130" customWidth="1"/>
    <col min="13" max="13" width="15.375" style="92" bestFit="1" customWidth="1"/>
    <col min="14" max="14" width="19.125" style="92" bestFit="1" customWidth="1"/>
    <col min="15" max="15" width="14.75" style="93" bestFit="1" customWidth="1"/>
    <col min="16" max="16" width="15.125" style="93" bestFit="1" customWidth="1"/>
    <col min="17" max="17" width="15.875" style="93" bestFit="1" customWidth="1"/>
    <col min="18" max="18" width="106.5" style="114" bestFit="1" customWidth="1"/>
    <col min="19" max="19" width="32" style="82" bestFit="1" customWidth="1"/>
    <col min="20" max="20" width="9.25" style="82"/>
    <col min="21" max="16384" width="9.75" style="82"/>
  </cols>
  <sheetData>
    <row r="1" spans="1:37" s="93" customFormat="1" ht="33" customHeight="1">
      <c r="A1" s="144" t="s">
        <v>0</v>
      </c>
      <c r="B1" s="144" t="s">
        <v>1534</v>
      </c>
      <c r="C1" s="144" t="s">
        <v>1533</v>
      </c>
      <c r="D1" s="144" t="s">
        <v>1535</v>
      </c>
      <c r="E1" s="144" t="s">
        <v>1536</v>
      </c>
      <c r="F1" s="145" t="s">
        <v>1537</v>
      </c>
      <c r="G1" s="144" t="s">
        <v>1538</v>
      </c>
      <c r="H1" s="145" t="s">
        <v>1539</v>
      </c>
      <c r="I1" s="145" t="s">
        <v>1540</v>
      </c>
      <c r="J1" s="145" t="s">
        <v>1541</v>
      </c>
      <c r="K1" s="145" t="s">
        <v>1542</v>
      </c>
      <c r="L1" s="400" t="s">
        <v>1543</v>
      </c>
      <c r="M1" s="401" t="s">
        <v>1544</v>
      </c>
      <c r="N1" s="401" t="s">
        <v>1545</v>
      </c>
      <c r="O1" s="401" t="s">
        <v>1546</v>
      </c>
      <c r="P1" s="401" t="s">
        <v>1547</v>
      </c>
      <c r="Q1" s="401" t="s">
        <v>1548</v>
      </c>
      <c r="R1" s="402" t="s">
        <v>3</v>
      </c>
      <c r="S1" s="144" t="s">
        <v>1549</v>
      </c>
      <c r="T1" s="407"/>
      <c r="U1" s="407"/>
      <c r="V1" s="407"/>
      <c r="W1" s="407"/>
      <c r="X1" s="407"/>
      <c r="Y1" s="407"/>
      <c r="Z1" s="407"/>
      <c r="AA1" s="407"/>
      <c r="AB1" s="407"/>
      <c r="AC1" s="407"/>
      <c r="AD1" s="407"/>
      <c r="AE1" s="407"/>
      <c r="AF1" s="407"/>
      <c r="AG1" s="407"/>
      <c r="AH1" s="407"/>
      <c r="AI1" s="407"/>
      <c r="AJ1" s="407"/>
      <c r="AK1" s="407"/>
    </row>
    <row r="2" spans="1:37" ht="14.25">
      <c r="A2" s="111">
        <v>1</v>
      </c>
      <c r="B2" s="127" t="s">
        <v>2715</v>
      </c>
      <c r="C2" s="71"/>
      <c r="D2" s="113" t="s">
        <v>2716</v>
      </c>
      <c r="E2" s="113" t="s">
        <v>2716</v>
      </c>
      <c r="F2" s="113"/>
      <c r="G2" s="113" t="s">
        <v>1864</v>
      </c>
      <c r="H2" s="403" t="s">
        <v>2717</v>
      </c>
      <c r="I2" s="111" t="s">
        <v>1555</v>
      </c>
      <c r="J2" s="404" t="s">
        <v>1874</v>
      </c>
      <c r="K2" s="404" t="s">
        <v>996</v>
      </c>
      <c r="L2" s="417"/>
      <c r="M2" s="404" t="s">
        <v>1674</v>
      </c>
      <c r="N2" s="404"/>
      <c r="O2" s="111"/>
      <c r="P2" s="111" t="s">
        <v>1674</v>
      </c>
      <c r="Q2" s="111" t="s">
        <v>1674</v>
      </c>
      <c r="R2" s="405" t="s">
        <v>2718</v>
      </c>
      <c r="S2" s="406"/>
      <c r="T2" s="103"/>
      <c r="U2" s="103"/>
      <c r="V2" s="103"/>
      <c r="W2" s="103"/>
      <c r="X2" s="103"/>
      <c r="Y2" s="103"/>
      <c r="Z2" s="103"/>
      <c r="AA2" s="103"/>
      <c r="AB2" s="103"/>
      <c r="AC2" s="103"/>
      <c r="AD2" s="103"/>
      <c r="AE2" s="103"/>
      <c r="AF2" s="103"/>
      <c r="AG2" s="103"/>
      <c r="AH2" s="103"/>
      <c r="AI2" s="103"/>
      <c r="AJ2" s="103"/>
      <c r="AK2" s="103"/>
    </row>
    <row r="3" spans="1:37" ht="14.25">
      <c r="A3" s="111">
        <f>A2+1</f>
        <v>2</v>
      </c>
      <c r="B3" s="127" t="s">
        <v>2719</v>
      </c>
      <c r="C3" s="71"/>
      <c r="D3" s="113" t="s">
        <v>2720</v>
      </c>
      <c r="E3" s="113" t="s">
        <v>2720</v>
      </c>
      <c r="F3" s="113"/>
      <c r="G3" s="113" t="s">
        <v>270</v>
      </c>
      <c r="H3" s="403" t="s">
        <v>2721</v>
      </c>
      <c r="I3" s="111" t="s">
        <v>1555</v>
      </c>
      <c r="J3" s="404" t="s">
        <v>1874</v>
      </c>
      <c r="K3" s="404" t="s">
        <v>996</v>
      </c>
      <c r="L3" s="417"/>
      <c r="M3" s="404" t="s">
        <v>1674</v>
      </c>
      <c r="N3" s="404"/>
      <c r="O3" s="111"/>
      <c r="P3" s="111" t="s">
        <v>1674</v>
      </c>
      <c r="Q3" s="111" t="s">
        <v>1674</v>
      </c>
      <c r="R3" s="405" t="s">
        <v>2718</v>
      </c>
      <c r="S3" s="406"/>
      <c r="T3" s="103"/>
      <c r="U3" s="103"/>
      <c r="V3" s="103"/>
      <c r="W3" s="103"/>
      <c r="X3" s="103"/>
      <c r="Y3" s="103"/>
      <c r="Z3" s="103"/>
      <c r="AA3" s="103"/>
      <c r="AB3" s="103"/>
      <c r="AC3" s="103"/>
      <c r="AD3" s="103"/>
      <c r="AE3" s="103"/>
      <c r="AF3" s="103"/>
      <c r="AG3" s="103"/>
      <c r="AH3" s="103"/>
      <c r="AI3" s="103"/>
      <c r="AJ3" s="103"/>
      <c r="AK3" s="103"/>
    </row>
    <row r="4" spans="1:37" ht="14.25">
      <c r="A4" s="111">
        <f>A3+1</f>
        <v>3</v>
      </c>
      <c r="B4" s="127" t="s">
        <v>2722</v>
      </c>
      <c r="C4" s="71"/>
      <c r="D4" s="113" t="s">
        <v>2723</v>
      </c>
      <c r="E4" s="113" t="s">
        <v>2723</v>
      </c>
      <c r="F4" s="113"/>
      <c r="G4" s="113" t="s">
        <v>157</v>
      </c>
      <c r="H4" s="403" t="s">
        <v>2724</v>
      </c>
      <c r="I4" s="111" t="s">
        <v>1555</v>
      </c>
      <c r="J4" s="404" t="s">
        <v>1874</v>
      </c>
      <c r="K4" s="404" t="s">
        <v>996</v>
      </c>
      <c r="L4" s="417"/>
      <c r="M4" s="404" t="s">
        <v>1674</v>
      </c>
      <c r="N4" s="404"/>
      <c r="O4" s="111"/>
      <c r="P4" s="111" t="s">
        <v>1674</v>
      </c>
      <c r="Q4" s="111" t="s">
        <v>1674</v>
      </c>
      <c r="R4" s="405" t="s">
        <v>2718</v>
      </c>
      <c r="S4" s="406"/>
      <c r="T4" s="103"/>
      <c r="U4" s="103"/>
      <c r="V4" s="103"/>
      <c r="W4" s="103"/>
      <c r="X4" s="103"/>
      <c r="Y4" s="103"/>
      <c r="Z4" s="103"/>
      <c r="AA4" s="103"/>
      <c r="AB4" s="103"/>
      <c r="AC4" s="103"/>
      <c r="AD4" s="103"/>
      <c r="AE4" s="103"/>
      <c r="AF4" s="103"/>
      <c r="AG4" s="103"/>
      <c r="AH4" s="103"/>
      <c r="AI4" s="103"/>
      <c r="AJ4" s="103"/>
      <c r="AK4" s="103"/>
    </row>
    <row r="5" spans="1:37" ht="14.25">
      <c r="A5" s="111">
        <f t="shared" ref="A5:A11" si="0">A4+1</f>
        <v>4</v>
      </c>
      <c r="B5" s="127" t="s">
        <v>2725</v>
      </c>
      <c r="C5" s="71"/>
      <c r="D5" s="113" t="s">
        <v>2726</v>
      </c>
      <c r="E5" s="113" t="s">
        <v>2726</v>
      </c>
      <c r="F5" s="113"/>
      <c r="G5" s="113" t="s">
        <v>1687</v>
      </c>
      <c r="H5" s="403" t="s">
        <v>2727</v>
      </c>
      <c r="I5" s="111" t="s">
        <v>1555</v>
      </c>
      <c r="J5" s="404" t="s">
        <v>1874</v>
      </c>
      <c r="K5" s="404" t="s">
        <v>996</v>
      </c>
      <c r="L5" s="417"/>
      <c r="M5" s="404" t="s">
        <v>1674</v>
      </c>
      <c r="N5" s="404"/>
      <c r="O5" s="111"/>
      <c r="P5" s="111" t="s">
        <v>1674</v>
      </c>
      <c r="Q5" s="111"/>
      <c r="R5" s="405"/>
      <c r="S5" s="406"/>
      <c r="T5" s="103"/>
      <c r="U5" s="103"/>
      <c r="V5" s="103"/>
      <c r="W5" s="103"/>
      <c r="X5" s="103"/>
      <c r="Y5" s="103"/>
      <c r="Z5" s="103"/>
      <c r="AA5" s="103"/>
      <c r="AB5" s="103"/>
      <c r="AC5" s="103"/>
      <c r="AD5" s="103"/>
      <c r="AE5" s="103"/>
      <c r="AF5" s="103"/>
      <c r="AG5" s="103"/>
      <c r="AH5" s="103"/>
      <c r="AI5" s="103"/>
      <c r="AJ5" s="103"/>
      <c r="AK5" s="103"/>
    </row>
    <row r="6" spans="1:37" ht="14.25">
      <c r="A6" s="112">
        <f t="shared" si="0"/>
        <v>5</v>
      </c>
      <c r="B6" s="155" t="s">
        <v>2728</v>
      </c>
      <c r="C6" s="138"/>
      <c r="D6" s="156" t="s">
        <v>2729</v>
      </c>
      <c r="E6" s="156" t="s">
        <v>2729</v>
      </c>
      <c r="F6" s="156"/>
      <c r="G6" s="363" t="s">
        <v>2730</v>
      </c>
      <c r="H6" s="418" t="s">
        <v>2731</v>
      </c>
      <c r="I6" s="419" t="s">
        <v>1555</v>
      </c>
      <c r="J6" s="166" t="s">
        <v>1874</v>
      </c>
      <c r="K6" s="166" t="s">
        <v>996</v>
      </c>
      <c r="L6" s="420"/>
      <c r="M6" s="146" t="s">
        <v>1674</v>
      </c>
      <c r="N6" s="146"/>
      <c r="O6" s="419"/>
      <c r="P6" s="112" t="s">
        <v>1674</v>
      </c>
      <c r="Q6" s="419"/>
      <c r="R6" s="421"/>
      <c r="S6" s="422"/>
      <c r="T6" s="103"/>
      <c r="U6" s="103"/>
      <c r="V6" s="103"/>
      <c r="W6" s="103"/>
      <c r="X6" s="103"/>
      <c r="Y6" s="103"/>
      <c r="Z6" s="103"/>
      <c r="AA6" s="103"/>
      <c r="AB6" s="103"/>
      <c r="AC6" s="103"/>
      <c r="AD6" s="103"/>
      <c r="AE6" s="103"/>
      <c r="AF6" s="103"/>
      <c r="AG6" s="103"/>
      <c r="AH6" s="103"/>
      <c r="AI6" s="103"/>
      <c r="AJ6" s="103"/>
      <c r="AK6" s="103"/>
    </row>
    <row r="7" spans="1:37" ht="14.25">
      <c r="A7" s="86">
        <f t="shared" si="0"/>
        <v>6</v>
      </c>
      <c r="B7" s="164" t="s">
        <v>2732</v>
      </c>
      <c r="C7" s="71"/>
      <c r="D7" s="90" t="s">
        <v>2733</v>
      </c>
      <c r="E7" s="90" t="s">
        <v>2733</v>
      </c>
      <c r="F7" s="90"/>
      <c r="G7" s="361" t="s">
        <v>1700</v>
      </c>
      <c r="H7" s="362" t="s">
        <v>1959</v>
      </c>
      <c r="I7" s="98" t="s">
        <v>1555</v>
      </c>
      <c r="J7" s="88" t="s">
        <v>1874</v>
      </c>
      <c r="K7" s="88" t="s">
        <v>996</v>
      </c>
      <c r="L7" s="90"/>
      <c r="M7" s="87" t="s">
        <v>1674</v>
      </c>
      <c r="N7" s="88"/>
      <c r="O7" s="86"/>
      <c r="P7" s="86" t="s">
        <v>2277</v>
      </c>
      <c r="Q7" s="86" t="s">
        <v>1674</v>
      </c>
      <c r="R7" s="408"/>
      <c r="S7" s="90"/>
      <c r="T7" s="103"/>
      <c r="U7" s="103"/>
      <c r="V7" s="103"/>
      <c r="W7" s="103"/>
      <c r="X7" s="103"/>
      <c r="Y7" s="103"/>
      <c r="Z7" s="103"/>
      <c r="AA7" s="103"/>
      <c r="AB7" s="103"/>
      <c r="AC7" s="103"/>
      <c r="AD7" s="103"/>
      <c r="AE7" s="103"/>
      <c r="AF7" s="103"/>
      <c r="AG7" s="103"/>
      <c r="AH7" s="103"/>
      <c r="AI7" s="103"/>
      <c r="AJ7" s="103"/>
      <c r="AK7" s="103"/>
    </row>
    <row r="8" spans="1:37" ht="15.75" customHeight="1">
      <c r="A8" s="111">
        <v>7</v>
      </c>
      <c r="B8" s="164" t="s">
        <v>2734</v>
      </c>
      <c r="C8" s="90"/>
      <c r="D8" s="90" t="s">
        <v>2735</v>
      </c>
      <c r="E8" s="90" t="s">
        <v>2735</v>
      </c>
      <c r="F8" s="490"/>
      <c r="G8" s="490" t="s">
        <v>1785</v>
      </c>
      <c r="H8" s="516" t="s">
        <v>2736</v>
      </c>
      <c r="I8" s="491" t="s">
        <v>1555</v>
      </c>
      <c r="J8" s="492" t="s">
        <v>1556</v>
      </c>
      <c r="K8" s="492" t="s">
        <v>996</v>
      </c>
      <c r="L8" s="409">
        <v>45509</v>
      </c>
      <c r="M8" s="88" t="s">
        <v>1674</v>
      </c>
      <c r="N8" s="88"/>
      <c r="O8" s="86"/>
      <c r="P8" s="86"/>
      <c r="Q8" s="86"/>
      <c r="R8" s="408"/>
      <c r="S8" s="90"/>
      <c r="T8" s="103"/>
      <c r="U8" s="103"/>
      <c r="V8" s="103"/>
      <c r="W8" s="103"/>
      <c r="X8" s="103"/>
      <c r="Y8" s="103"/>
      <c r="Z8" s="103"/>
      <c r="AA8" s="103"/>
      <c r="AB8" s="103"/>
      <c r="AC8" s="103"/>
      <c r="AD8" s="103"/>
      <c r="AE8" s="103"/>
      <c r="AF8" s="103"/>
      <c r="AG8" s="103"/>
      <c r="AH8" s="103"/>
      <c r="AI8" s="103"/>
      <c r="AJ8" s="103"/>
      <c r="AK8" s="103"/>
    </row>
    <row r="9" spans="1:37" ht="15.75" customHeight="1">
      <c r="A9" s="112">
        <f t="shared" si="0"/>
        <v>8</v>
      </c>
      <c r="B9" s="90"/>
      <c r="C9" s="86"/>
      <c r="D9" s="90"/>
      <c r="E9" s="90"/>
      <c r="F9" s="90"/>
      <c r="G9" s="90"/>
      <c r="H9" s="362"/>
      <c r="I9" s="86"/>
      <c r="J9" s="88" t="s">
        <v>1874</v>
      </c>
      <c r="K9" s="88" t="s">
        <v>1843</v>
      </c>
      <c r="L9" s="409"/>
      <c r="M9" s="88"/>
      <c r="N9" s="88"/>
      <c r="O9" s="86"/>
      <c r="P9" s="86"/>
      <c r="Q9" s="86"/>
      <c r="R9" s="408"/>
      <c r="S9" s="90"/>
      <c r="T9" s="103"/>
      <c r="U9" s="103"/>
      <c r="V9" s="103"/>
      <c r="W9" s="103"/>
      <c r="X9" s="103"/>
      <c r="Y9" s="103"/>
      <c r="Z9" s="103"/>
      <c r="AA9" s="103"/>
      <c r="AB9" s="103"/>
      <c r="AC9" s="103"/>
      <c r="AD9" s="103"/>
      <c r="AE9" s="103"/>
      <c r="AF9" s="103"/>
      <c r="AG9" s="103"/>
      <c r="AH9" s="103"/>
      <c r="AI9" s="103"/>
      <c r="AJ9" s="103"/>
      <c r="AK9" s="103"/>
    </row>
    <row r="10" spans="1:37" ht="15.75" customHeight="1">
      <c r="A10" s="86">
        <f t="shared" si="0"/>
        <v>9</v>
      </c>
      <c r="B10" s="90"/>
      <c r="C10" s="86"/>
      <c r="D10" s="90"/>
      <c r="E10" s="90"/>
      <c r="F10" s="90"/>
      <c r="G10" s="90"/>
      <c r="H10" s="362"/>
      <c r="I10" s="86"/>
      <c r="J10" s="88" t="s">
        <v>1874</v>
      </c>
      <c r="K10" s="88"/>
      <c r="L10" s="409"/>
      <c r="M10" s="88"/>
      <c r="N10" s="88"/>
      <c r="O10" s="86"/>
      <c r="P10" s="86"/>
      <c r="Q10" s="86"/>
      <c r="R10" s="408"/>
      <c r="S10" s="90"/>
      <c r="T10" s="103"/>
      <c r="U10" s="103"/>
      <c r="V10" s="103"/>
      <c r="W10" s="103"/>
      <c r="X10" s="103"/>
      <c r="Y10" s="103"/>
      <c r="Z10" s="103"/>
      <c r="AA10" s="103"/>
      <c r="AB10" s="103"/>
      <c r="AC10" s="103"/>
      <c r="AD10" s="103"/>
      <c r="AE10" s="103"/>
      <c r="AF10" s="103"/>
      <c r="AG10" s="103"/>
      <c r="AH10" s="103"/>
      <c r="AI10" s="103"/>
      <c r="AJ10" s="103"/>
      <c r="AK10" s="103"/>
    </row>
    <row r="11" spans="1:37" ht="15.75" customHeight="1">
      <c r="A11" s="111">
        <v>8</v>
      </c>
      <c r="B11" s="90"/>
      <c r="C11" s="86"/>
      <c r="D11" s="90"/>
      <c r="E11" s="90"/>
      <c r="F11" s="90"/>
      <c r="G11" s="90"/>
      <c r="H11" s="362"/>
      <c r="I11" s="86"/>
      <c r="J11" s="88" t="s">
        <v>1874</v>
      </c>
      <c r="K11" s="88"/>
      <c r="L11" s="409"/>
      <c r="M11" s="88"/>
      <c r="N11" s="88"/>
      <c r="O11" s="86"/>
      <c r="P11" s="86"/>
      <c r="Q11" s="86"/>
      <c r="R11" s="408"/>
      <c r="S11" s="90"/>
      <c r="T11" s="103"/>
      <c r="U11" s="103"/>
      <c r="V11" s="103"/>
      <c r="W11" s="103"/>
      <c r="X11" s="103"/>
      <c r="Y11" s="103"/>
      <c r="Z11" s="103"/>
      <c r="AA11" s="103"/>
      <c r="AB11" s="103"/>
      <c r="AC11" s="103"/>
      <c r="AD11" s="103"/>
      <c r="AE11" s="103"/>
      <c r="AF11" s="103"/>
      <c r="AG11" s="103"/>
      <c r="AH11" s="103"/>
      <c r="AI11" s="103"/>
      <c r="AJ11" s="103"/>
      <c r="AK11" s="103"/>
    </row>
  </sheetData>
  <autoFilter ref="A1:R7" xr:uid="{00000000-0001-0000-0000-000000000000}"/>
  <hyperlinks>
    <hyperlink ref="B2" r:id="rId1" xr:uid="{5CA37DD6-A7D9-4D40-95BD-643B46042C94}"/>
    <hyperlink ref="B3" r:id="rId2" xr:uid="{6FD9838A-8946-4AC9-ACE0-93A4F6370276}"/>
    <hyperlink ref="B4" r:id="rId3" xr:uid="{82D3379E-6EEA-41A3-93A4-4BAB7C7DB6E1}"/>
    <hyperlink ref="B5" r:id="rId4" xr:uid="{ADC4F83E-3C86-4EF6-BFAD-58981FDFEB57}"/>
    <hyperlink ref="B6" r:id="rId5" xr:uid="{2D2DE371-5716-4B96-B077-E5172C50C04B}"/>
    <hyperlink ref="B7" r:id="rId6" xr:uid="{F3A65257-FDA1-4553-A42C-F2FBDCBEE55B}"/>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F5B4-6512-472F-A90A-EEF9624A2819}">
  <dimension ref="A1:AP10"/>
  <sheetViews>
    <sheetView workbookViewId="0">
      <pane xSplit="9" ySplit="1" topLeftCell="L2" activePane="bottomRight" state="frozen"/>
      <selection pane="bottomRight" activeCell="L29" sqref="L29"/>
      <selection pane="bottomLeft" activeCell="A2" sqref="A2"/>
      <selection pane="topRight" activeCell="G1" sqref="G1"/>
    </sheetView>
  </sheetViews>
  <sheetFormatPr defaultColWidth="9.25" defaultRowHeight="13.5"/>
  <cols>
    <col min="1" max="1" width="4.125" style="66" customWidth="1"/>
    <col min="2" max="2" width="8.125" style="66" bestFit="1" customWidth="1"/>
    <col min="3" max="3" width="9.5" style="66" customWidth="1"/>
    <col min="4" max="4" width="15.375" style="66" customWidth="1"/>
    <col min="5" max="5" width="17.375" style="66" hidden="1" customWidth="1"/>
    <col min="6" max="6" width="16.75" style="66" customWidth="1"/>
    <col min="7" max="7" width="21.375" style="66" hidden="1" customWidth="1"/>
    <col min="8" max="8" width="10.875" style="66" bestFit="1" customWidth="1"/>
    <col min="9" max="9" width="31" style="67" customWidth="1"/>
    <col min="10" max="10" width="12" style="67" customWidth="1"/>
    <col min="11" max="11" width="8.625" style="67" customWidth="1"/>
    <col min="12" max="12" width="9.5" style="67" customWidth="1"/>
    <col min="13" max="13" width="14.375" style="67" customWidth="1"/>
    <col min="14" max="15" width="13.375" style="66" customWidth="1"/>
    <col min="16" max="16" width="14.875" style="66" customWidth="1"/>
    <col min="17" max="17" width="29" style="67" customWidth="1"/>
    <col min="18" max="19" width="16.125" style="66" customWidth="1"/>
    <col min="20" max="20" width="27" style="66" customWidth="1"/>
    <col min="21" max="21" width="27.5" style="80" customWidth="1"/>
    <col min="22" max="22" width="9.25" style="66" bestFit="1" customWidth="1"/>
    <col min="23" max="23" width="13.875" style="66" customWidth="1"/>
    <col min="24" max="16384" width="9.25" style="66"/>
  </cols>
  <sheetData>
    <row r="1" spans="1:42" s="67" customFormat="1" ht="26.25">
      <c r="A1" s="386" t="s">
        <v>0</v>
      </c>
      <c r="B1" s="386" t="s">
        <v>27</v>
      </c>
      <c r="C1" s="386" t="s">
        <v>28</v>
      </c>
      <c r="D1" s="386" t="s">
        <v>29</v>
      </c>
      <c r="E1" s="386" t="s">
        <v>2737</v>
      </c>
      <c r="F1" s="386" t="s">
        <v>47</v>
      </c>
      <c r="G1" s="386" t="s">
        <v>46</v>
      </c>
      <c r="H1" s="386" t="s">
        <v>31</v>
      </c>
      <c r="I1" s="386" t="s">
        <v>990</v>
      </c>
      <c r="J1" s="386" t="s">
        <v>33</v>
      </c>
      <c r="K1" s="386" t="s">
        <v>34</v>
      </c>
      <c r="L1" s="386" t="s">
        <v>35</v>
      </c>
      <c r="M1" s="386" t="s">
        <v>37</v>
      </c>
      <c r="N1" s="386" t="s">
        <v>38</v>
      </c>
      <c r="O1" s="386" t="s">
        <v>39</v>
      </c>
      <c r="P1" s="386" t="s">
        <v>40</v>
      </c>
      <c r="Q1" s="386" t="s">
        <v>41</v>
      </c>
      <c r="R1" s="386" t="s">
        <v>42</v>
      </c>
      <c r="S1" s="386" t="s">
        <v>43</v>
      </c>
      <c r="T1" s="386" t="s">
        <v>44</v>
      </c>
      <c r="U1" s="387" t="s">
        <v>45</v>
      </c>
      <c r="V1" s="388" t="s">
        <v>49</v>
      </c>
      <c r="W1" s="388" t="s">
        <v>50</v>
      </c>
    </row>
    <row r="2" spans="1:42" s="75" customFormat="1" ht="26.25">
      <c r="A2" s="389">
        <v>1</v>
      </c>
      <c r="B2" s="331"/>
      <c r="C2" s="331" t="s">
        <v>65</v>
      </c>
      <c r="D2" s="332" t="s">
        <v>2738</v>
      </c>
      <c r="E2" s="332"/>
      <c r="F2" s="333" t="s">
        <v>2739</v>
      </c>
      <c r="G2" s="334"/>
      <c r="H2" s="334" t="s">
        <v>1843</v>
      </c>
      <c r="I2" s="390" t="str">
        <f>K2&amp;" "&amp;L2</f>
        <v>HP Prodesk 400 G7</v>
      </c>
      <c r="J2" s="331" t="s">
        <v>57</v>
      </c>
      <c r="K2" s="331" t="s">
        <v>58</v>
      </c>
      <c r="L2" s="331" t="s">
        <v>2740</v>
      </c>
      <c r="M2" s="335" t="s">
        <v>2741</v>
      </c>
      <c r="N2" s="331">
        <v>8</v>
      </c>
      <c r="O2" s="331">
        <v>512</v>
      </c>
      <c r="P2" s="331" t="s">
        <v>2742</v>
      </c>
      <c r="Q2" s="331" t="s">
        <v>2743</v>
      </c>
      <c r="R2" s="331"/>
      <c r="S2" s="331"/>
      <c r="T2" s="331"/>
      <c r="U2" s="336"/>
      <c r="V2" s="334" t="s">
        <v>64</v>
      </c>
      <c r="W2" s="334" t="s">
        <v>64</v>
      </c>
    </row>
    <row r="3" spans="1:42" s="75" customFormat="1" ht="26.25">
      <c r="A3" s="389">
        <f t="shared" ref="A3:A10" si="0">A2+1</f>
        <v>2</v>
      </c>
      <c r="B3" s="331"/>
      <c r="C3" s="331" t="s">
        <v>65</v>
      </c>
      <c r="D3" s="332" t="s">
        <v>2738</v>
      </c>
      <c r="E3" s="332"/>
      <c r="F3" s="333" t="s">
        <v>2744</v>
      </c>
      <c r="G3" s="334"/>
      <c r="H3" s="334" t="s">
        <v>1843</v>
      </c>
      <c r="I3" s="390" t="str">
        <f t="shared" ref="I3:I10" si="1">K3&amp;" "&amp;L3</f>
        <v>HP Prodesk 400 G7</v>
      </c>
      <c r="J3" s="331" t="s">
        <v>57</v>
      </c>
      <c r="K3" s="331" t="s">
        <v>58</v>
      </c>
      <c r="L3" s="331" t="s">
        <v>2740</v>
      </c>
      <c r="M3" s="331" t="s">
        <v>2745</v>
      </c>
      <c r="N3" s="331">
        <v>8</v>
      </c>
      <c r="O3" s="331">
        <v>512</v>
      </c>
      <c r="P3" s="331" t="s">
        <v>2742</v>
      </c>
      <c r="Q3" s="331" t="s">
        <v>2743</v>
      </c>
      <c r="R3" s="331"/>
      <c r="S3" s="331"/>
      <c r="T3" s="331"/>
      <c r="U3" s="336"/>
      <c r="V3" s="334" t="s">
        <v>64</v>
      </c>
      <c r="W3" s="334" t="s">
        <v>64</v>
      </c>
    </row>
    <row r="4" spans="1:42" ht="26.25">
      <c r="A4" s="389">
        <f t="shared" si="0"/>
        <v>3</v>
      </c>
      <c r="B4" s="331"/>
      <c r="C4" s="331" t="s">
        <v>65</v>
      </c>
      <c r="D4" s="332" t="s">
        <v>2738</v>
      </c>
      <c r="E4" s="332"/>
      <c r="F4" s="333" t="s">
        <v>2746</v>
      </c>
      <c r="G4" s="334"/>
      <c r="H4" s="334" t="s">
        <v>1843</v>
      </c>
      <c r="I4" s="390" t="str">
        <f t="shared" si="1"/>
        <v>HP Prodesk 400 G7</v>
      </c>
      <c r="J4" s="331" t="s">
        <v>57</v>
      </c>
      <c r="K4" s="331" t="s">
        <v>58</v>
      </c>
      <c r="L4" s="331" t="s">
        <v>2740</v>
      </c>
      <c r="M4" s="331" t="s">
        <v>2747</v>
      </c>
      <c r="N4" s="331">
        <v>8</v>
      </c>
      <c r="O4" s="331">
        <v>512</v>
      </c>
      <c r="P4" s="331" t="s">
        <v>2742</v>
      </c>
      <c r="Q4" s="331" t="s">
        <v>2743</v>
      </c>
      <c r="R4" s="331"/>
      <c r="S4" s="331"/>
      <c r="T4" s="331"/>
      <c r="U4" s="336"/>
      <c r="V4" s="334" t="s">
        <v>64</v>
      </c>
      <c r="W4" s="334" t="s">
        <v>64</v>
      </c>
    </row>
    <row r="5" spans="1:42" ht="26.25">
      <c r="A5" s="389">
        <f t="shared" si="0"/>
        <v>4</v>
      </c>
      <c r="B5" s="331"/>
      <c r="C5" s="331" t="s">
        <v>65</v>
      </c>
      <c r="D5" s="332" t="s">
        <v>2738</v>
      </c>
      <c r="E5" s="332"/>
      <c r="F5" s="333" t="s">
        <v>2748</v>
      </c>
      <c r="G5" s="334"/>
      <c r="H5" s="334" t="s">
        <v>1843</v>
      </c>
      <c r="I5" s="390" t="str">
        <f t="shared" si="1"/>
        <v>HP Prodesk 400 G7</v>
      </c>
      <c r="J5" s="331" t="s">
        <v>57</v>
      </c>
      <c r="K5" s="331" t="s">
        <v>58</v>
      </c>
      <c r="L5" s="331" t="s">
        <v>2740</v>
      </c>
      <c r="M5" s="335" t="s">
        <v>2749</v>
      </c>
      <c r="N5" s="331">
        <v>8</v>
      </c>
      <c r="O5" s="331">
        <v>512</v>
      </c>
      <c r="P5" s="331" t="s">
        <v>2742</v>
      </c>
      <c r="Q5" s="331" t="s">
        <v>2743</v>
      </c>
      <c r="R5" s="331"/>
      <c r="S5" s="331"/>
      <c r="T5" s="331"/>
      <c r="U5" s="336"/>
      <c r="V5" s="334" t="s">
        <v>64</v>
      </c>
      <c r="W5" s="334" t="s">
        <v>64</v>
      </c>
    </row>
    <row r="6" spans="1:42" ht="26.25">
      <c r="A6" s="389">
        <f t="shared" si="0"/>
        <v>5</v>
      </c>
      <c r="B6" s="331"/>
      <c r="C6" s="331" t="s">
        <v>65</v>
      </c>
      <c r="D6" s="332" t="s">
        <v>2738</v>
      </c>
      <c r="E6" s="332"/>
      <c r="F6" s="333" t="s">
        <v>2750</v>
      </c>
      <c r="G6" s="334"/>
      <c r="H6" s="334" t="s">
        <v>1843</v>
      </c>
      <c r="I6" s="390" t="str">
        <f t="shared" si="1"/>
        <v>HP Prodesk 400 G7</v>
      </c>
      <c r="J6" s="331" t="s">
        <v>57</v>
      </c>
      <c r="K6" s="331" t="s">
        <v>58</v>
      </c>
      <c r="L6" s="331" t="s">
        <v>2740</v>
      </c>
      <c r="M6" s="335" t="s">
        <v>2751</v>
      </c>
      <c r="N6" s="331">
        <v>8</v>
      </c>
      <c r="O6" s="331">
        <v>512</v>
      </c>
      <c r="P6" s="331" t="s">
        <v>2742</v>
      </c>
      <c r="Q6" s="331" t="s">
        <v>2743</v>
      </c>
      <c r="R6" s="331"/>
      <c r="S6" s="331"/>
      <c r="T6" s="331"/>
      <c r="U6" s="336"/>
      <c r="V6" s="334" t="s">
        <v>64</v>
      </c>
      <c r="W6" s="334" t="s">
        <v>64</v>
      </c>
    </row>
    <row r="7" spans="1:42" ht="26.25">
      <c r="A7" s="389">
        <f t="shared" si="0"/>
        <v>6</v>
      </c>
      <c r="B7" s="331"/>
      <c r="C7" s="331" t="s">
        <v>65</v>
      </c>
      <c r="D7" s="332" t="s">
        <v>2738</v>
      </c>
      <c r="E7" s="332"/>
      <c r="F7" s="333" t="s">
        <v>2752</v>
      </c>
      <c r="G7" s="334"/>
      <c r="H7" s="334" t="s">
        <v>1843</v>
      </c>
      <c r="I7" s="390" t="str">
        <f t="shared" si="1"/>
        <v>HP Prodesk 400 G7</v>
      </c>
      <c r="J7" s="331" t="s">
        <v>57</v>
      </c>
      <c r="K7" s="331" t="s">
        <v>58</v>
      </c>
      <c r="L7" s="331" t="s">
        <v>2740</v>
      </c>
      <c r="M7" s="331" t="s">
        <v>2753</v>
      </c>
      <c r="N7" s="331">
        <v>8</v>
      </c>
      <c r="O7" s="331">
        <v>512</v>
      </c>
      <c r="P7" s="331" t="s">
        <v>2742</v>
      </c>
      <c r="Q7" s="331" t="s">
        <v>2743</v>
      </c>
      <c r="R7" s="331"/>
      <c r="S7" s="331"/>
      <c r="T7" s="331"/>
      <c r="U7" s="336"/>
      <c r="V7" s="334" t="s">
        <v>64</v>
      </c>
      <c r="W7" s="334" t="s">
        <v>64</v>
      </c>
    </row>
    <row r="8" spans="1:42" s="75" customFormat="1" ht="26.25">
      <c r="A8" s="389">
        <f t="shared" si="0"/>
        <v>7</v>
      </c>
      <c r="B8" s="331"/>
      <c r="C8" s="331" t="s">
        <v>65</v>
      </c>
      <c r="D8" s="332" t="s">
        <v>2738</v>
      </c>
      <c r="E8" s="332"/>
      <c r="F8" s="333" t="s">
        <v>2754</v>
      </c>
      <c r="G8" s="334"/>
      <c r="H8" s="334" t="s">
        <v>1843</v>
      </c>
      <c r="I8" s="390" t="str">
        <f t="shared" si="1"/>
        <v>HP Prodesk 400 G7</v>
      </c>
      <c r="J8" s="331" t="s">
        <v>57</v>
      </c>
      <c r="K8" s="331" t="s">
        <v>58</v>
      </c>
      <c r="L8" s="331" t="s">
        <v>2740</v>
      </c>
      <c r="M8" s="331" t="s">
        <v>2755</v>
      </c>
      <c r="N8" s="331">
        <v>8</v>
      </c>
      <c r="O8" s="331">
        <v>512</v>
      </c>
      <c r="P8" s="331" t="s">
        <v>2742</v>
      </c>
      <c r="Q8" s="331" t="s">
        <v>2743</v>
      </c>
      <c r="R8" s="331"/>
      <c r="S8" s="331"/>
      <c r="T8" s="331"/>
      <c r="U8" s="336"/>
      <c r="V8" s="334" t="s">
        <v>64</v>
      </c>
      <c r="W8" s="334" t="s">
        <v>64</v>
      </c>
    </row>
    <row r="9" spans="1:42" ht="26.25">
      <c r="A9" s="389">
        <f t="shared" si="0"/>
        <v>8</v>
      </c>
      <c r="B9" s="331"/>
      <c r="C9" s="331" t="s">
        <v>65</v>
      </c>
      <c r="D9" s="332" t="s">
        <v>2738</v>
      </c>
      <c r="E9" s="332"/>
      <c r="F9" s="333" t="s">
        <v>2756</v>
      </c>
      <c r="G9" s="334"/>
      <c r="H9" s="334" t="s">
        <v>1843</v>
      </c>
      <c r="I9" s="390" t="str">
        <f t="shared" si="1"/>
        <v>Dell Latitude 5430</v>
      </c>
      <c r="J9" s="331" t="s">
        <v>86</v>
      </c>
      <c r="K9" s="331" t="s">
        <v>133</v>
      </c>
      <c r="L9" s="331" t="s">
        <v>1018</v>
      </c>
      <c r="M9" s="331" t="s">
        <v>2757</v>
      </c>
      <c r="N9" s="331">
        <v>16</v>
      </c>
      <c r="O9" s="331">
        <v>500</v>
      </c>
      <c r="P9" s="331" t="s">
        <v>2758</v>
      </c>
      <c r="Q9" s="331" t="s">
        <v>2759</v>
      </c>
      <c r="R9" s="337"/>
      <c r="S9" s="337"/>
      <c r="T9" s="337"/>
      <c r="U9" s="336"/>
      <c r="V9" s="334" t="s">
        <v>64</v>
      </c>
      <c r="W9" s="334" t="s">
        <v>64</v>
      </c>
      <c r="X9" s="75"/>
      <c r="Y9" s="75"/>
      <c r="Z9" s="75"/>
      <c r="AA9" s="75"/>
      <c r="AB9" s="75"/>
      <c r="AC9" s="75"/>
      <c r="AD9" s="75"/>
      <c r="AE9" s="75"/>
      <c r="AF9" s="75"/>
      <c r="AG9" s="75"/>
      <c r="AH9" s="75"/>
      <c r="AI9" s="75"/>
      <c r="AJ9" s="75"/>
      <c r="AK9" s="75"/>
      <c r="AL9" s="75"/>
      <c r="AM9" s="75"/>
      <c r="AN9" s="75"/>
      <c r="AO9" s="75"/>
      <c r="AP9" s="75"/>
    </row>
    <row r="10" spans="1:42" ht="26.25">
      <c r="A10" s="389">
        <f t="shared" si="0"/>
        <v>9</v>
      </c>
      <c r="B10" s="331"/>
      <c r="C10" s="331" t="s">
        <v>65</v>
      </c>
      <c r="D10" s="332" t="s">
        <v>2738</v>
      </c>
      <c r="E10" s="332"/>
      <c r="F10" s="333" t="s">
        <v>2760</v>
      </c>
      <c r="G10" s="334"/>
      <c r="H10" s="334" t="s">
        <v>1843</v>
      </c>
      <c r="I10" s="390" t="str">
        <f t="shared" si="1"/>
        <v>HP Prodesk 400 G7</v>
      </c>
      <c r="J10" s="331" t="s">
        <v>57</v>
      </c>
      <c r="K10" s="331" t="s">
        <v>58</v>
      </c>
      <c r="L10" s="331" t="s">
        <v>2740</v>
      </c>
      <c r="M10" s="335" t="s">
        <v>2761</v>
      </c>
      <c r="N10" s="331">
        <v>8</v>
      </c>
      <c r="O10" s="331">
        <v>512</v>
      </c>
      <c r="P10" s="331" t="s">
        <v>2762</v>
      </c>
      <c r="Q10" s="331" t="s">
        <v>2743</v>
      </c>
      <c r="R10" s="331"/>
      <c r="S10" s="331"/>
      <c r="T10" s="331"/>
      <c r="U10" s="336"/>
      <c r="V10" s="334" t="s">
        <v>64</v>
      </c>
      <c r="W10" s="334" t="s">
        <v>64</v>
      </c>
      <c r="X10" s="75"/>
      <c r="Y10" s="75"/>
      <c r="Z10" s="75"/>
      <c r="AA10" s="75"/>
      <c r="AB10" s="75"/>
      <c r="AC10" s="75"/>
      <c r="AD10" s="75"/>
      <c r="AE10" s="75"/>
      <c r="AF10" s="75"/>
      <c r="AG10" s="75"/>
      <c r="AH10" s="75"/>
      <c r="AI10" s="75"/>
      <c r="AJ10" s="75"/>
      <c r="AK10" s="75"/>
      <c r="AL10" s="75"/>
      <c r="AM10" s="75"/>
      <c r="AN10" s="75"/>
      <c r="AO10" s="75"/>
      <c r="AP10" s="75"/>
    </row>
  </sheetData>
  <phoneticPr fontId="3" type="noConversion"/>
  <dataValidations count="2">
    <dataValidation type="list" allowBlank="1" showInputMessage="1" showErrorMessage="1" sqref="J2:J10" xr:uid="{409B9421-94CB-47E4-A6E9-9ACFDE6817F6}">
      <formula1>"Laptop,Desktop,Printer"</formula1>
    </dataValidation>
    <dataValidation type="list" allowBlank="1" showInputMessage="1" showErrorMessage="1" sqref="C2:C10" xr:uid="{991675C4-2E41-4541-899C-12D44D08241D}">
      <formula1>"In Use,Available,Reserved,Maintenance,Retired,Disposed,Lost,On Loan,Spare"</formula1>
    </dataValidation>
  </dataValidations>
  <printOptions horizontalCentered="1"/>
  <pageMargins left="0.7" right="0.7" top="0.75" bottom="0.75" header="0.3" footer="0.3"/>
  <pageSetup paperSize="9" fitToWidth="0" fitToHeight="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8FFE2-ACFA-4A1F-8215-C5714CA1DF40}">
  <dimension ref="A1:H5"/>
  <sheetViews>
    <sheetView workbookViewId="0">
      <selection activeCell="F4" sqref="F4"/>
    </sheetView>
  </sheetViews>
  <sheetFormatPr defaultColWidth="9.25" defaultRowHeight="13.5"/>
  <cols>
    <col min="1" max="1" width="4.125" style="379" bestFit="1" customWidth="1"/>
    <col min="2" max="2" width="27.875" style="378" bestFit="1" customWidth="1"/>
    <col min="3" max="3" width="32.875" style="378" bestFit="1" customWidth="1"/>
    <col min="4" max="4" width="20.625" style="378" bestFit="1" customWidth="1"/>
    <col min="5" max="5" width="31.5" style="378" bestFit="1" customWidth="1"/>
    <col min="6" max="6" width="8.625" style="379" bestFit="1" customWidth="1"/>
    <col min="7" max="7" width="28.625" style="378" customWidth="1"/>
    <col min="8" max="16384" width="9.25" style="378"/>
  </cols>
  <sheetData>
    <row r="1" spans="1:8" s="379" customFormat="1">
      <c r="A1" s="480" t="s">
        <v>0</v>
      </c>
      <c r="B1" s="480" t="s">
        <v>1536</v>
      </c>
      <c r="C1" s="480" t="s">
        <v>2763</v>
      </c>
      <c r="D1" s="481" t="s">
        <v>2764</v>
      </c>
      <c r="E1" s="481" t="s">
        <v>2765</v>
      </c>
      <c r="F1" s="482" t="s">
        <v>2766</v>
      </c>
      <c r="G1" s="483" t="s">
        <v>2767</v>
      </c>
      <c r="H1" s="484"/>
    </row>
    <row r="2" spans="1:8" ht="32.25" customHeight="1">
      <c r="A2" s="334">
        <v>1</v>
      </c>
      <c r="B2" s="333" t="s">
        <v>2768</v>
      </c>
      <c r="C2" s="164" t="s">
        <v>2769</v>
      </c>
      <c r="D2" s="333" t="s">
        <v>2770</v>
      </c>
      <c r="E2" s="794" t="s">
        <v>2771</v>
      </c>
      <c r="F2" s="391">
        <v>10</v>
      </c>
      <c r="G2" s="385" t="s">
        <v>2772</v>
      </c>
      <c r="H2" s="485"/>
    </row>
    <row r="3" spans="1:8" ht="32.25" customHeight="1">
      <c r="A3" s="391">
        <f>A2+1</f>
        <v>2</v>
      </c>
      <c r="B3" s="333" t="s">
        <v>2773</v>
      </c>
      <c r="C3" s="164" t="s">
        <v>2774</v>
      </c>
      <c r="D3" s="385" t="s">
        <v>2775</v>
      </c>
      <c r="E3" s="795"/>
      <c r="F3" s="391">
        <v>5</v>
      </c>
      <c r="G3" s="385" t="s">
        <v>2776</v>
      </c>
      <c r="H3" s="485"/>
    </row>
    <row r="4" spans="1:8" ht="32.25" customHeight="1">
      <c r="A4" s="391">
        <f>A3+1</f>
        <v>3</v>
      </c>
      <c r="B4" s="333" t="s">
        <v>2777</v>
      </c>
      <c r="C4" s="164" t="s">
        <v>2778</v>
      </c>
      <c r="D4" s="385" t="s">
        <v>2779</v>
      </c>
      <c r="E4" s="796"/>
      <c r="F4" s="391">
        <v>6</v>
      </c>
      <c r="G4" s="385" t="s">
        <v>2780</v>
      </c>
      <c r="H4" s="485"/>
    </row>
    <row r="5" spans="1:8">
      <c r="A5" s="484"/>
      <c r="B5" s="485"/>
      <c r="C5" s="485"/>
      <c r="D5" s="485"/>
      <c r="E5" s="485"/>
      <c r="F5" s="484"/>
      <c r="G5" s="485"/>
      <c r="H5" s="485"/>
    </row>
  </sheetData>
  <mergeCells count="1">
    <mergeCell ref="E2:E4"/>
  </mergeCells>
  <hyperlinks>
    <hyperlink ref="C2" r:id="rId1" xr:uid="{23A46424-B7D2-447C-A474-93472C1D56C1}"/>
    <hyperlink ref="C3" r:id="rId2" xr:uid="{EE4BC6A0-D3A3-4BDA-B899-7485A7E12AE1}"/>
    <hyperlink ref="C4" r:id="rId3" xr:uid="{67DF8F5B-0F20-49CA-993B-1F63CBD4CCB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5D3DC-C449-47F5-9B4B-BA483958A514}">
  <dimension ref="A1:K81"/>
  <sheetViews>
    <sheetView topLeftCell="F1" workbookViewId="0">
      <selection activeCell="H28" sqref="H28"/>
    </sheetView>
  </sheetViews>
  <sheetFormatPr defaultRowHeight="13.5"/>
  <cols>
    <col min="1" max="1" width="5.875" customWidth="1"/>
    <col min="2" max="2" width="28" customWidth="1"/>
    <col min="3" max="3" width="21.5" customWidth="1"/>
    <col min="4" max="4" width="38.25" customWidth="1"/>
    <col min="5" max="5" width="13.625" customWidth="1"/>
    <col min="6" max="6" width="40.625" style="50" customWidth="1"/>
    <col min="7" max="7" width="14.625" customWidth="1"/>
    <col min="8" max="8" width="9" bestFit="1" customWidth="1"/>
    <col min="9" max="9" width="13.625" customWidth="1"/>
    <col min="10" max="10" width="43.875" style="50" customWidth="1"/>
    <col min="11" max="11" width="37.5" customWidth="1"/>
  </cols>
  <sheetData>
    <row r="1" spans="1:11">
      <c r="A1" s="1" t="s">
        <v>0</v>
      </c>
      <c r="B1" s="1" t="s">
        <v>2781</v>
      </c>
      <c r="C1" s="1" t="s">
        <v>2782</v>
      </c>
      <c r="D1" s="1" t="s">
        <v>2783</v>
      </c>
      <c r="E1" s="10" t="s">
        <v>2784</v>
      </c>
      <c r="F1" s="10" t="s">
        <v>2785</v>
      </c>
      <c r="G1" s="1" t="s">
        <v>2786</v>
      </c>
      <c r="H1" s="1" t="s">
        <v>2787</v>
      </c>
      <c r="I1" s="1" t="s">
        <v>2788</v>
      </c>
      <c r="J1" s="10" t="s">
        <v>41</v>
      </c>
      <c r="K1" s="1" t="s">
        <v>44</v>
      </c>
    </row>
    <row r="2" spans="1:11">
      <c r="A2" s="2">
        <v>1</v>
      </c>
      <c r="B2" s="2" t="s">
        <v>1709</v>
      </c>
      <c r="C2" s="2" t="s">
        <v>63</v>
      </c>
      <c r="D2" s="2" t="s">
        <v>2789</v>
      </c>
      <c r="E2" s="11" t="s">
        <v>2790</v>
      </c>
      <c r="F2" s="11" t="s">
        <v>2327</v>
      </c>
      <c r="G2" s="2" t="s">
        <v>60</v>
      </c>
      <c r="H2" s="2">
        <v>8032</v>
      </c>
      <c r="I2" s="2">
        <v>473291</v>
      </c>
      <c r="J2" s="11" t="s">
        <v>62</v>
      </c>
      <c r="K2" s="2"/>
    </row>
    <row r="3" spans="1:11" s="4" customFormat="1">
      <c r="A3" s="3">
        <v>2</v>
      </c>
      <c r="B3" s="2" t="s">
        <v>1709</v>
      </c>
      <c r="C3" s="3" t="s">
        <v>2791</v>
      </c>
      <c r="D3" s="3" t="s">
        <v>68</v>
      </c>
      <c r="E3" s="12" t="s">
        <v>2792</v>
      </c>
      <c r="F3" s="12" t="s">
        <v>2793</v>
      </c>
      <c r="G3" s="3" t="s">
        <v>74</v>
      </c>
      <c r="H3" s="3">
        <v>8096</v>
      </c>
      <c r="I3" s="3">
        <v>476318</v>
      </c>
      <c r="J3" s="12" t="s">
        <v>80</v>
      </c>
      <c r="K3" s="3" t="s">
        <v>2794</v>
      </c>
    </row>
    <row r="4" spans="1:11" s="4" customFormat="1">
      <c r="A4" s="3">
        <v>3</v>
      </c>
      <c r="B4" s="2" t="s">
        <v>1709</v>
      </c>
      <c r="C4" s="3" t="s">
        <v>83</v>
      </c>
      <c r="D4" s="3" t="s">
        <v>68</v>
      </c>
      <c r="E4" s="12" t="s">
        <v>2792</v>
      </c>
      <c r="F4" s="12" t="s">
        <v>2793</v>
      </c>
      <c r="G4" s="3"/>
      <c r="H4" s="3"/>
      <c r="I4" s="3"/>
      <c r="J4" s="12"/>
      <c r="K4" s="3"/>
    </row>
    <row r="5" spans="1:11" s="4" customFormat="1">
      <c r="A5" s="3">
        <v>4</v>
      </c>
      <c r="B5" s="2" t="s">
        <v>1709</v>
      </c>
      <c r="C5" s="3" t="s">
        <v>148</v>
      </c>
      <c r="D5" s="3" t="s">
        <v>68</v>
      </c>
      <c r="E5" s="12" t="s">
        <v>2792</v>
      </c>
      <c r="F5" s="12" t="s">
        <v>2793</v>
      </c>
      <c r="G5" s="3"/>
      <c r="H5" s="3"/>
      <c r="I5" s="3"/>
      <c r="J5" s="12"/>
      <c r="K5" s="3"/>
    </row>
    <row r="6" spans="1:11" s="4" customFormat="1">
      <c r="A6" s="3">
        <v>5</v>
      </c>
      <c r="B6" s="2" t="s">
        <v>1709</v>
      </c>
      <c r="C6" s="3" t="s">
        <v>148</v>
      </c>
      <c r="D6" s="3" t="s">
        <v>68</v>
      </c>
      <c r="E6" s="12" t="s">
        <v>2792</v>
      </c>
      <c r="F6" s="12" t="s">
        <v>2793</v>
      </c>
      <c r="G6" s="3"/>
      <c r="H6" s="3"/>
      <c r="I6" s="3"/>
      <c r="J6" s="12"/>
      <c r="K6" s="3"/>
    </row>
    <row r="7" spans="1:11">
      <c r="A7" s="2">
        <v>3</v>
      </c>
      <c r="B7" s="2" t="s">
        <v>1709</v>
      </c>
      <c r="C7" s="2" t="s">
        <v>91</v>
      </c>
      <c r="D7" s="2" t="s">
        <v>2795</v>
      </c>
      <c r="E7" s="11" t="s">
        <v>85</v>
      </c>
      <c r="F7" s="11" t="s">
        <v>2796</v>
      </c>
      <c r="G7" s="2" t="s">
        <v>88</v>
      </c>
      <c r="H7" s="2">
        <v>16000</v>
      </c>
      <c r="I7" s="2">
        <v>487749</v>
      </c>
      <c r="J7" s="11" t="s">
        <v>89</v>
      </c>
      <c r="K7" s="2"/>
    </row>
    <row r="8" spans="1:11">
      <c r="A8" s="2">
        <v>4</v>
      </c>
      <c r="B8" s="2" t="s">
        <v>1709</v>
      </c>
      <c r="C8" s="2" t="s">
        <v>110</v>
      </c>
      <c r="D8" s="2" t="s">
        <v>2795</v>
      </c>
      <c r="E8" s="11" t="s">
        <v>107</v>
      </c>
      <c r="F8" s="61" t="s">
        <v>2797</v>
      </c>
      <c r="G8" s="2" t="s">
        <v>109</v>
      </c>
      <c r="H8" s="2">
        <v>16000</v>
      </c>
      <c r="I8" s="2">
        <v>487757</v>
      </c>
      <c r="J8" s="11" t="s">
        <v>89</v>
      </c>
      <c r="K8" s="2"/>
    </row>
    <row r="9" spans="1:11">
      <c r="A9" s="2">
        <v>5</v>
      </c>
      <c r="B9" s="2" t="s">
        <v>2798</v>
      </c>
      <c r="C9" s="2" t="s">
        <v>2799</v>
      </c>
      <c r="D9" s="2" t="s">
        <v>68</v>
      </c>
      <c r="E9" s="13" t="s">
        <v>2792</v>
      </c>
      <c r="F9" s="11" t="s">
        <v>2280</v>
      </c>
      <c r="G9" s="2" t="s">
        <v>193</v>
      </c>
      <c r="H9" s="2">
        <v>8096</v>
      </c>
      <c r="I9" s="2">
        <v>475773</v>
      </c>
      <c r="J9" s="11" t="s">
        <v>80</v>
      </c>
      <c r="K9" s="2"/>
    </row>
    <row r="10" spans="1:11">
      <c r="A10" s="2">
        <v>6</v>
      </c>
      <c r="B10" s="2" t="s">
        <v>2798</v>
      </c>
      <c r="C10" s="2" t="s">
        <v>2800</v>
      </c>
      <c r="D10" s="2" t="s">
        <v>2801</v>
      </c>
      <c r="E10" s="11" t="s">
        <v>2792</v>
      </c>
      <c r="F10" s="11" t="s">
        <v>2802</v>
      </c>
      <c r="G10" s="2" t="s">
        <v>1529</v>
      </c>
      <c r="H10" s="2">
        <v>7968</v>
      </c>
      <c r="I10" s="2">
        <v>243034</v>
      </c>
      <c r="J10" s="11" t="s">
        <v>2803</v>
      </c>
      <c r="K10" s="2"/>
    </row>
    <row r="11" spans="1:11">
      <c r="A11" s="2">
        <v>7</v>
      </c>
      <c r="B11" s="2" t="s">
        <v>1709</v>
      </c>
      <c r="C11" s="2" t="s">
        <v>210</v>
      </c>
      <c r="D11" s="2" t="s">
        <v>68</v>
      </c>
      <c r="E11" s="11" t="s">
        <v>206</v>
      </c>
      <c r="F11" s="11" t="s">
        <v>2382</v>
      </c>
      <c r="G11" s="2" t="s">
        <v>207</v>
      </c>
      <c r="H11" s="2">
        <v>8096</v>
      </c>
      <c r="I11" s="2">
        <v>444427</v>
      </c>
      <c r="J11" s="11" t="s">
        <v>80</v>
      </c>
      <c r="K11" s="2"/>
    </row>
    <row r="12" spans="1:11">
      <c r="A12" s="2">
        <v>8</v>
      </c>
      <c r="B12" s="2"/>
      <c r="C12" s="2" t="s">
        <v>168</v>
      </c>
      <c r="D12" s="2" t="s">
        <v>165</v>
      </c>
      <c r="E12" s="11" t="s">
        <v>2392</v>
      </c>
      <c r="F12" s="11" t="s">
        <v>2804</v>
      </c>
      <c r="G12" s="2" t="s">
        <v>166</v>
      </c>
      <c r="H12" s="2">
        <v>6016</v>
      </c>
      <c r="I12" s="2">
        <v>227320</v>
      </c>
      <c r="J12" s="11" t="s">
        <v>167</v>
      </c>
      <c r="K12" s="2"/>
    </row>
    <row r="13" spans="1:11">
      <c r="A13" s="2">
        <v>9</v>
      </c>
      <c r="B13" s="2"/>
      <c r="C13" s="2" t="s">
        <v>225</v>
      </c>
      <c r="D13" s="2" t="s">
        <v>68</v>
      </c>
      <c r="E13" s="11" t="s">
        <v>2792</v>
      </c>
      <c r="F13" s="11" t="s">
        <v>2316</v>
      </c>
      <c r="G13" s="2" t="s">
        <v>224</v>
      </c>
      <c r="H13" s="2">
        <v>8096</v>
      </c>
      <c r="I13" s="2">
        <v>475772</v>
      </c>
      <c r="J13" s="11" t="s">
        <v>80</v>
      </c>
      <c r="K13" s="2"/>
    </row>
    <row r="14" spans="1:11">
      <c r="A14" s="2">
        <v>10</v>
      </c>
      <c r="B14" s="2"/>
      <c r="C14" s="2" t="s">
        <v>186</v>
      </c>
      <c r="D14" s="2" t="s">
        <v>165</v>
      </c>
      <c r="E14" s="11" t="s">
        <v>184</v>
      </c>
      <c r="F14" s="11" t="s">
        <v>2805</v>
      </c>
      <c r="G14" s="2" t="s">
        <v>185</v>
      </c>
      <c r="H14" s="2">
        <v>6016</v>
      </c>
      <c r="I14" s="2">
        <v>227320</v>
      </c>
      <c r="J14" s="11" t="s">
        <v>167</v>
      </c>
      <c r="K14" s="2"/>
    </row>
    <row r="15" spans="1:11">
      <c r="A15" s="2">
        <v>11</v>
      </c>
      <c r="B15" s="2"/>
      <c r="C15" s="2" t="s">
        <v>239</v>
      </c>
      <c r="D15" s="2" t="s">
        <v>236</v>
      </c>
      <c r="E15" s="11" t="s">
        <v>2792</v>
      </c>
      <c r="F15" s="11" t="s">
        <v>2806</v>
      </c>
      <c r="G15" s="2" t="s">
        <v>237</v>
      </c>
      <c r="H15" s="2">
        <v>8096</v>
      </c>
      <c r="I15" s="2">
        <v>853298</v>
      </c>
      <c r="J15" s="11" t="s">
        <v>238</v>
      </c>
      <c r="K15" s="2"/>
    </row>
    <row r="16" spans="1:11">
      <c r="A16" s="2">
        <v>12</v>
      </c>
      <c r="B16" s="2"/>
      <c r="C16" s="2" t="s">
        <v>258</v>
      </c>
      <c r="D16" s="2" t="s">
        <v>68</v>
      </c>
      <c r="E16" s="11" t="s">
        <v>2388</v>
      </c>
      <c r="F16" s="11" t="s">
        <v>2807</v>
      </c>
      <c r="G16" s="2" t="s">
        <v>255</v>
      </c>
      <c r="H16" s="2">
        <v>8096</v>
      </c>
      <c r="I16" s="2">
        <v>476323</v>
      </c>
      <c r="J16" s="11" t="s">
        <v>80</v>
      </c>
      <c r="K16" s="2"/>
    </row>
    <row r="17" spans="1:11">
      <c r="A17" s="2">
        <v>13</v>
      </c>
      <c r="B17" s="2"/>
      <c r="C17" s="2" t="s">
        <v>288</v>
      </c>
      <c r="D17" s="2" t="s">
        <v>285</v>
      </c>
      <c r="E17" s="11" t="s">
        <v>2808</v>
      </c>
      <c r="F17" s="11" t="s">
        <v>2809</v>
      </c>
      <c r="G17" s="2" t="s">
        <v>286</v>
      </c>
      <c r="H17" s="2">
        <v>8096</v>
      </c>
      <c r="I17" s="2">
        <v>476315</v>
      </c>
      <c r="J17" s="13" t="s">
        <v>287</v>
      </c>
      <c r="K17" s="2"/>
    </row>
    <row r="18" spans="1:11">
      <c r="A18" s="2">
        <v>14</v>
      </c>
      <c r="B18" s="2"/>
      <c r="C18" s="2" t="s">
        <v>320</v>
      </c>
      <c r="D18" s="2" t="s">
        <v>68</v>
      </c>
      <c r="E18" s="11" t="s">
        <v>2810</v>
      </c>
      <c r="F18" s="11" t="s">
        <v>2811</v>
      </c>
      <c r="G18" s="2" t="s">
        <v>70</v>
      </c>
      <c r="H18" s="2">
        <v>8096</v>
      </c>
      <c r="I18" s="2">
        <v>476293</v>
      </c>
      <c r="J18" s="11" t="s">
        <v>80</v>
      </c>
      <c r="K18" s="2"/>
    </row>
    <row r="19" spans="1:11">
      <c r="A19" s="2">
        <v>15</v>
      </c>
      <c r="B19" s="2"/>
      <c r="C19" s="2" t="s">
        <v>251</v>
      </c>
      <c r="D19" s="2" t="s">
        <v>2795</v>
      </c>
      <c r="E19" s="11" t="s">
        <v>248</v>
      </c>
      <c r="F19" s="11" t="s">
        <v>2812</v>
      </c>
      <c r="G19" s="2" t="s">
        <v>250</v>
      </c>
      <c r="H19" s="2">
        <v>16000</v>
      </c>
      <c r="I19" s="2">
        <v>487757</v>
      </c>
      <c r="J19" s="11" t="s">
        <v>89</v>
      </c>
      <c r="K19" s="2"/>
    </row>
    <row r="20" spans="1:11">
      <c r="A20" s="2">
        <v>16</v>
      </c>
      <c r="B20" s="2"/>
      <c r="C20" s="2" t="s">
        <v>333</v>
      </c>
      <c r="D20" s="2" t="s">
        <v>68</v>
      </c>
      <c r="E20" s="11" t="s">
        <v>2792</v>
      </c>
      <c r="F20" s="11" t="s">
        <v>2283</v>
      </c>
      <c r="G20" s="2" t="s">
        <v>332</v>
      </c>
      <c r="H20" s="2">
        <v>8096</v>
      </c>
      <c r="I20" s="2">
        <v>476356</v>
      </c>
      <c r="J20" s="11" t="s">
        <v>80</v>
      </c>
      <c r="K20" s="2"/>
    </row>
    <row r="21" spans="1:11">
      <c r="A21" s="2">
        <v>17</v>
      </c>
      <c r="B21" s="2"/>
      <c r="C21" s="2" t="s">
        <v>283</v>
      </c>
      <c r="D21" s="2" t="s">
        <v>280</v>
      </c>
      <c r="E21" s="11" t="s">
        <v>2813</v>
      </c>
      <c r="F21" s="11" t="s">
        <v>2307</v>
      </c>
      <c r="G21" s="2" t="s">
        <v>281</v>
      </c>
      <c r="H21" s="2">
        <v>8064</v>
      </c>
      <c r="I21" s="2">
        <v>1075228</v>
      </c>
      <c r="J21" s="11" t="s">
        <v>282</v>
      </c>
      <c r="K21" s="2"/>
    </row>
    <row r="22" spans="1:11">
      <c r="A22" s="2">
        <v>18</v>
      </c>
      <c r="B22" s="2"/>
      <c r="C22" s="2" t="s">
        <v>345</v>
      </c>
      <c r="D22" s="2" t="s">
        <v>68</v>
      </c>
      <c r="E22" s="11" t="s">
        <v>2792</v>
      </c>
      <c r="F22" s="11" t="s">
        <v>2333</v>
      </c>
      <c r="G22" s="2" t="s">
        <v>344</v>
      </c>
      <c r="H22" s="2">
        <v>8096</v>
      </c>
      <c r="I22" s="2">
        <v>476323</v>
      </c>
      <c r="J22" s="11" t="s">
        <v>80</v>
      </c>
      <c r="K22" s="2"/>
    </row>
    <row r="23" spans="1:11">
      <c r="A23" s="2">
        <v>19</v>
      </c>
      <c r="B23" s="2"/>
      <c r="C23" s="2" t="s">
        <v>296</v>
      </c>
      <c r="D23" s="2" t="s">
        <v>2814</v>
      </c>
      <c r="E23" s="11" t="s">
        <v>2341</v>
      </c>
      <c r="F23" s="11" t="s">
        <v>2815</v>
      </c>
      <c r="G23" s="2" t="s">
        <v>293</v>
      </c>
      <c r="H23" s="2">
        <v>12160</v>
      </c>
      <c r="I23" s="2">
        <v>476416</v>
      </c>
      <c r="J23" s="11" t="s">
        <v>294</v>
      </c>
      <c r="K23" s="2"/>
    </row>
    <row r="24" spans="1:11">
      <c r="A24" s="2">
        <v>20</v>
      </c>
      <c r="B24" s="2"/>
      <c r="C24" s="2" t="s">
        <v>307</v>
      </c>
      <c r="D24" s="2" t="s">
        <v>2795</v>
      </c>
      <c r="E24" s="11" t="s">
        <v>304</v>
      </c>
      <c r="F24" s="11" t="s">
        <v>2816</v>
      </c>
      <c r="G24" s="2" t="s">
        <v>305</v>
      </c>
      <c r="H24" s="2">
        <v>16000</v>
      </c>
      <c r="I24" s="2">
        <v>487751</v>
      </c>
      <c r="J24" s="11" t="s">
        <v>89</v>
      </c>
      <c r="K24" s="2"/>
    </row>
    <row r="25" spans="1:11">
      <c r="A25" s="2">
        <v>21</v>
      </c>
      <c r="B25" s="2"/>
      <c r="C25" s="2" t="s">
        <v>311</v>
      </c>
      <c r="D25" s="2" t="s">
        <v>165</v>
      </c>
      <c r="E25" s="11" t="s">
        <v>2792</v>
      </c>
      <c r="F25" s="11" t="s">
        <v>2817</v>
      </c>
      <c r="G25" s="2" t="s">
        <v>310</v>
      </c>
      <c r="H25" s="2">
        <v>6016</v>
      </c>
      <c r="I25" s="2">
        <v>227319</v>
      </c>
      <c r="J25" s="11" t="s">
        <v>167</v>
      </c>
      <c r="K25" s="2"/>
    </row>
    <row r="26" spans="1:11">
      <c r="A26" s="2">
        <v>22</v>
      </c>
      <c r="B26" s="2"/>
      <c r="C26" s="2" t="s">
        <v>364</v>
      </c>
      <c r="D26" s="2" t="s">
        <v>2818</v>
      </c>
      <c r="E26" s="11" t="s">
        <v>360</v>
      </c>
      <c r="F26" s="11" t="s">
        <v>2354</v>
      </c>
      <c r="G26" s="2" t="s">
        <v>362</v>
      </c>
      <c r="H26" s="2">
        <v>7968</v>
      </c>
      <c r="I26" s="2">
        <v>243279</v>
      </c>
      <c r="J26" s="11" t="s">
        <v>363</v>
      </c>
      <c r="K26" s="2"/>
    </row>
    <row r="27" spans="1:11">
      <c r="A27" s="2">
        <v>23</v>
      </c>
      <c r="B27" s="2"/>
      <c r="C27" s="2" t="s">
        <v>326</v>
      </c>
      <c r="D27" s="2" t="s">
        <v>131</v>
      </c>
      <c r="E27" s="11" t="s">
        <v>2298</v>
      </c>
      <c r="F27" s="11" t="s">
        <v>2819</v>
      </c>
      <c r="G27" s="2" t="s">
        <v>324</v>
      </c>
      <c r="H27" s="2">
        <v>7936</v>
      </c>
      <c r="I27" s="2">
        <v>243574</v>
      </c>
      <c r="J27" s="11" t="s">
        <v>135</v>
      </c>
      <c r="K27" s="2"/>
    </row>
    <row r="28" spans="1:11" s="5" customFormat="1">
      <c r="A28" s="6">
        <v>24</v>
      </c>
      <c r="B28" s="6"/>
      <c r="C28" s="6" t="s">
        <v>368</v>
      </c>
      <c r="D28" s="6" t="s">
        <v>68</v>
      </c>
      <c r="E28" s="16" t="s">
        <v>2820</v>
      </c>
      <c r="F28" s="16" t="s">
        <v>2821</v>
      </c>
      <c r="G28" s="6" t="s">
        <v>367</v>
      </c>
      <c r="H28" s="6">
        <v>7552</v>
      </c>
      <c r="I28" s="6">
        <v>476216</v>
      </c>
      <c r="J28" s="16" t="s">
        <v>80</v>
      </c>
      <c r="K28" s="6" t="s">
        <v>2822</v>
      </c>
    </row>
    <row r="29" spans="1:11">
      <c r="A29" s="2">
        <v>25</v>
      </c>
      <c r="B29" s="2"/>
      <c r="C29" s="2" t="s">
        <v>372</v>
      </c>
      <c r="D29" s="2" t="s">
        <v>68</v>
      </c>
      <c r="E29" s="11" t="s">
        <v>2792</v>
      </c>
      <c r="F29" s="11" t="s">
        <v>2311</v>
      </c>
      <c r="G29" s="2" t="s">
        <v>371</v>
      </c>
      <c r="H29" s="2">
        <v>8096</v>
      </c>
      <c r="I29" s="2">
        <v>476323</v>
      </c>
      <c r="J29" s="11" t="s">
        <v>80</v>
      </c>
      <c r="K29" s="2"/>
    </row>
    <row r="30" spans="1:11">
      <c r="A30" s="2">
        <v>26</v>
      </c>
      <c r="B30" s="2"/>
      <c r="C30" s="2" t="s">
        <v>351</v>
      </c>
      <c r="D30" s="2" t="s">
        <v>2823</v>
      </c>
      <c r="E30" s="11" t="s">
        <v>2792</v>
      </c>
      <c r="F30" s="11" t="s">
        <v>2824</v>
      </c>
      <c r="G30" s="2" t="s">
        <v>349</v>
      </c>
      <c r="H30" s="2">
        <v>8096</v>
      </c>
      <c r="I30" s="2">
        <v>243995</v>
      </c>
      <c r="J30" s="11" t="s">
        <v>350</v>
      </c>
      <c r="K30" s="2"/>
    </row>
    <row r="31" spans="1:11">
      <c r="A31" s="2">
        <v>27</v>
      </c>
      <c r="B31" s="2"/>
      <c r="C31" s="2" t="s">
        <v>383</v>
      </c>
      <c r="D31" s="2" t="s">
        <v>68</v>
      </c>
      <c r="E31" s="11" t="s">
        <v>2792</v>
      </c>
      <c r="F31" s="11" t="s">
        <v>2350</v>
      </c>
      <c r="G31" s="2" t="s">
        <v>382</v>
      </c>
      <c r="H31" s="2">
        <v>8096</v>
      </c>
      <c r="I31" s="2">
        <v>476323</v>
      </c>
      <c r="J31" s="11" t="s">
        <v>80</v>
      </c>
      <c r="K31" s="2"/>
    </row>
    <row r="32" spans="1:11">
      <c r="A32" s="2">
        <v>28</v>
      </c>
      <c r="B32" s="2"/>
      <c r="C32" s="2" t="s">
        <v>387</v>
      </c>
      <c r="D32" s="2" t="s">
        <v>68</v>
      </c>
      <c r="E32" s="11" t="s">
        <v>385</v>
      </c>
      <c r="F32" s="11" t="s">
        <v>2378</v>
      </c>
      <c r="G32" s="2" t="s">
        <v>386</v>
      </c>
      <c r="H32" s="2">
        <v>8096</v>
      </c>
      <c r="I32" s="2">
        <v>476260</v>
      </c>
      <c r="J32" s="11" t="s">
        <v>80</v>
      </c>
      <c r="K32" s="2"/>
    </row>
    <row r="33" spans="1:11">
      <c r="A33" s="2">
        <v>29</v>
      </c>
      <c r="B33" s="2"/>
      <c r="C33" s="2" t="s">
        <v>413</v>
      </c>
      <c r="D33" s="2" t="s">
        <v>68</v>
      </c>
      <c r="E33" s="11" t="s">
        <v>373</v>
      </c>
      <c r="F33" s="11" t="s">
        <v>2363</v>
      </c>
      <c r="G33" s="2" t="s">
        <v>412</v>
      </c>
      <c r="H33" s="2">
        <v>8096</v>
      </c>
      <c r="I33" s="2">
        <v>476305</v>
      </c>
      <c r="J33" s="11" t="s">
        <v>80</v>
      </c>
      <c r="K33" s="2"/>
    </row>
    <row r="34" spans="1:11">
      <c r="A34" s="2">
        <v>30</v>
      </c>
      <c r="B34" s="2"/>
      <c r="C34" s="2" t="s">
        <v>417</v>
      </c>
      <c r="D34" s="2" t="s">
        <v>68</v>
      </c>
      <c r="E34" s="11" t="s">
        <v>415</v>
      </c>
      <c r="F34" s="11" t="s">
        <v>2368</v>
      </c>
      <c r="G34" s="2" t="s">
        <v>416</v>
      </c>
      <c r="H34" s="2">
        <v>8096</v>
      </c>
      <c r="I34" s="2">
        <v>476323</v>
      </c>
      <c r="J34" s="11" t="s">
        <v>80</v>
      </c>
      <c r="K34" s="2"/>
    </row>
    <row r="35" spans="1:11">
      <c r="A35" s="2">
        <v>31</v>
      </c>
      <c r="B35" s="2"/>
      <c r="C35" s="2" t="s">
        <v>430</v>
      </c>
      <c r="D35" s="2" t="s">
        <v>68</v>
      </c>
      <c r="E35" s="11" t="s">
        <v>2792</v>
      </c>
      <c r="F35" s="11" t="s">
        <v>2825</v>
      </c>
      <c r="G35" s="2" t="s">
        <v>429</v>
      </c>
      <c r="H35" s="2">
        <v>8096</v>
      </c>
      <c r="I35" s="2">
        <v>476294</v>
      </c>
      <c r="J35" s="11" t="s">
        <v>80</v>
      </c>
      <c r="K35" s="2"/>
    </row>
    <row r="36" spans="1:11">
      <c r="A36" s="2">
        <v>32</v>
      </c>
      <c r="B36" s="2"/>
      <c r="C36" s="2" t="s">
        <v>403</v>
      </c>
      <c r="D36" s="2" t="s">
        <v>2826</v>
      </c>
      <c r="E36" s="11" t="s">
        <v>2792</v>
      </c>
      <c r="F36" s="11" t="s">
        <v>2827</v>
      </c>
      <c r="G36" s="2" t="s">
        <v>401</v>
      </c>
      <c r="H36" s="2">
        <v>8096</v>
      </c>
      <c r="I36" s="2">
        <v>953251</v>
      </c>
      <c r="J36" s="11" t="s">
        <v>402</v>
      </c>
      <c r="K36" s="2"/>
    </row>
    <row r="37" spans="1:11">
      <c r="A37" s="2">
        <v>33</v>
      </c>
      <c r="B37" s="2"/>
      <c r="C37" s="2" t="s">
        <v>457</v>
      </c>
      <c r="D37" s="2" t="s">
        <v>68</v>
      </c>
      <c r="E37" s="11" t="s">
        <v>2792</v>
      </c>
      <c r="F37" s="11" t="s">
        <v>2358</v>
      </c>
      <c r="G37" s="2" t="s">
        <v>456</v>
      </c>
      <c r="H37" s="2">
        <v>8096</v>
      </c>
      <c r="I37" s="2">
        <v>476322</v>
      </c>
      <c r="J37" s="11" t="s">
        <v>80</v>
      </c>
      <c r="K37" s="2"/>
    </row>
    <row r="38" spans="1:11">
      <c r="A38" s="2">
        <v>34</v>
      </c>
      <c r="B38" s="2"/>
      <c r="C38" s="2" t="s">
        <v>480</v>
      </c>
      <c r="D38" s="2" t="s">
        <v>68</v>
      </c>
      <c r="E38" s="11" t="s">
        <v>2792</v>
      </c>
      <c r="F38" s="11" t="s">
        <v>2828</v>
      </c>
      <c r="G38" s="2" t="s">
        <v>477</v>
      </c>
      <c r="H38" s="2">
        <v>7904</v>
      </c>
      <c r="I38" s="2">
        <v>487751</v>
      </c>
      <c r="J38" s="11" t="s">
        <v>478</v>
      </c>
      <c r="K38" s="2"/>
    </row>
    <row r="39" spans="1:11">
      <c r="A39" s="2">
        <v>35</v>
      </c>
      <c r="B39" s="2"/>
      <c r="C39" s="2" t="s">
        <v>515</v>
      </c>
      <c r="D39" s="2" t="s">
        <v>519</v>
      </c>
      <c r="E39" s="11" t="s">
        <v>2829</v>
      </c>
      <c r="F39" s="11" t="s">
        <v>2830</v>
      </c>
      <c r="G39" s="2" t="s">
        <v>513</v>
      </c>
      <c r="H39" s="2">
        <v>7904</v>
      </c>
      <c r="I39" s="2">
        <v>487751</v>
      </c>
      <c r="J39" s="11" t="s">
        <v>478</v>
      </c>
      <c r="K39" s="2"/>
    </row>
    <row r="40" spans="1:11">
      <c r="A40" s="2">
        <v>36</v>
      </c>
      <c r="B40" s="2"/>
      <c r="C40" s="2" t="s">
        <v>522</v>
      </c>
      <c r="D40" s="2" t="s">
        <v>519</v>
      </c>
      <c r="E40" s="11" t="s">
        <v>2831</v>
      </c>
      <c r="F40" s="11" t="s">
        <v>2832</v>
      </c>
      <c r="G40" s="2" t="s">
        <v>520</v>
      </c>
      <c r="H40" s="2">
        <v>7904</v>
      </c>
      <c r="I40" s="2">
        <v>488283</v>
      </c>
      <c r="J40" s="11" t="s">
        <v>521</v>
      </c>
      <c r="K40" s="2"/>
    </row>
    <row r="41" spans="1:11">
      <c r="A41" s="2">
        <v>37</v>
      </c>
      <c r="B41" s="2"/>
      <c r="C41" s="2" t="s">
        <v>529</v>
      </c>
      <c r="D41" s="2" t="s">
        <v>519</v>
      </c>
      <c r="E41" s="11" t="s">
        <v>458</v>
      </c>
      <c r="F41" s="11" t="s">
        <v>2833</v>
      </c>
      <c r="G41" s="2" t="s">
        <v>2834</v>
      </c>
      <c r="H41" s="2">
        <v>7904</v>
      </c>
      <c r="I41" s="2">
        <v>487751</v>
      </c>
      <c r="J41" s="11" t="s">
        <v>521</v>
      </c>
      <c r="K41" s="2"/>
    </row>
    <row r="42" spans="1:11" s="4" customFormat="1">
      <c r="A42" s="3">
        <v>38</v>
      </c>
      <c r="B42" s="3"/>
      <c r="C42" s="3" t="s">
        <v>2835</v>
      </c>
      <c r="D42" s="3" t="s">
        <v>2836</v>
      </c>
      <c r="E42" s="12" t="s">
        <v>2836</v>
      </c>
      <c r="F42" s="12" t="s">
        <v>2455</v>
      </c>
      <c r="G42" s="3" t="s">
        <v>2836</v>
      </c>
      <c r="H42" s="3" t="s">
        <v>2836</v>
      </c>
      <c r="I42" s="3" t="s">
        <v>2836</v>
      </c>
      <c r="J42" s="12" t="s">
        <v>2836</v>
      </c>
      <c r="K42" s="3"/>
    </row>
    <row r="43" spans="1:11">
      <c r="A43" s="2">
        <v>39</v>
      </c>
      <c r="B43" s="2"/>
      <c r="C43" s="2" t="s">
        <v>474</v>
      </c>
      <c r="D43" s="2" t="s">
        <v>280</v>
      </c>
      <c r="E43" s="11" t="s">
        <v>2792</v>
      </c>
      <c r="F43" s="11" t="s">
        <v>2452</v>
      </c>
      <c r="G43" s="2" t="s">
        <v>471</v>
      </c>
      <c r="H43" s="2">
        <v>8064</v>
      </c>
      <c r="I43" s="2">
        <v>1073784</v>
      </c>
      <c r="J43" s="11" t="s">
        <v>282</v>
      </c>
      <c r="K43" s="2"/>
    </row>
    <row r="44" spans="1:11">
      <c r="A44" s="2">
        <v>40</v>
      </c>
      <c r="B44" s="2"/>
      <c r="C44" s="2" t="s">
        <v>539</v>
      </c>
      <c r="D44" s="2" t="s">
        <v>68</v>
      </c>
      <c r="E44" s="11" t="s">
        <v>535</v>
      </c>
      <c r="F44" s="11" t="s">
        <v>2452</v>
      </c>
      <c r="G44" s="2" t="s">
        <v>537</v>
      </c>
      <c r="H44" s="2">
        <v>8096</v>
      </c>
      <c r="I44" s="2">
        <v>475773</v>
      </c>
      <c r="J44" s="11" t="s">
        <v>80</v>
      </c>
      <c r="K44" s="2"/>
    </row>
    <row r="45" spans="1:11">
      <c r="A45" s="2">
        <v>41</v>
      </c>
      <c r="B45" s="2"/>
      <c r="C45" s="2" t="s">
        <v>487</v>
      </c>
      <c r="D45" s="2" t="s">
        <v>2837</v>
      </c>
      <c r="E45" s="11" t="s">
        <v>2585</v>
      </c>
      <c r="F45" s="11" t="s">
        <v>2452</v>
      </c>
      <c r="G45" s="2" t="s">
        <v>484</v>
      </c>
      <c r="H45" s="2">
        <v>8032</v>
      </c>
      <c r="I45" s="2">
        <v>1181938</v>
      </c>
      <c r="J45" s="11" t="s">
        <v>485</v>
      </c>
      <c r="K45" s="2"/>
    </row>
    <row r="46" spans="1:11">
      <c r="A46" s="2">
        <v>42</v>
      </c>
      <c r="B46" s="2"/>
      <c r="C46" s="2" t="s">
        <v>494</v>
      </c>
      <c r="D46" s="2" t="s">
        <v>2838</v>
      </c>
      <c r="E46" s="11" t="s">
        <v>489</v>
      </c>
      <c r="F46" s="11" t="s">
        <v>2452</v>
      </c>
      <c r="G46" s="2" t="s">
        <v>484</v>
      </c>
      <c r="H46" s="2">
        <v>16000</v>
      </c>
      <c r="I46" s="2">
        <v>512000</v>
      </c>
      <c r="J46" s="49" t="s">
        <v>492</v>
      </c>
      <c r="K46" s="2"/>
    </row>
    <row r="47" spans="1:11">
      <c r="A47" s="2">
        <v>43</v>
      </c>
      <c r="B47" s="2"/>
      <c r="C47" s="2" t="s">
        <v>499</v>
      </c>
      <c r="D47" s="2" t="s">
        <v>2838</v>
      </c>
      <c r="E47" s="11" t="s">
        <v>496</v>
      </c>
      <c r="F47" s="11" t="s">
        <v>2452</v>
      </c>
      <c r="G47" s="43" t="s">
        <v>497</v>
      </c>
      <c r="H47" s="2">
        <v>16000</v>
      </c>
      <c r="I47" s="2">
        <v>512000</v>
      </c>
      <c r="J47" s="49" t="s">
        <v>492</v>
      </c>
      <c r="K47" s="2"/>
    </row>
    <row r="48" spans="1:11">
      <c r="A48" s="2">
        <v>44</v>
      </c>
      <c r="B48" s="2"/>
      <c r="C48" s="2" t="s">
        <v>907</v>
      </c>
      <c r="D48" s="2" t="s">
        <v>68</v>
      </c>
      <c r="E48" s="11" t="s">
        <v>2792</v>
      </c>
      <c r="F48" s="11" t="s">
        <v>2455</v>
      </c>
      <c r="G48" s="2" t="s">
        <v>908</v>
      </c>
      <c r="H48" s="2">
        <v>8096</v>
      </c>
      <c r="I48" s="2">
        <v>248681</v>
      </c>
      <c r="J48" s="11" t="s">
        <v>80</v>
      </c>
      <c r="K48" s="2"/>
    </row>
    <row r="49" spans="1:11">
      <c r="A49" s="2">
        <v>45</v>
      </c>
      <c r="B49" s="2"/>
      <c r="C49" s="2" t="s">
        <v>504</v>
      </c>
      <c r="D49" s="2" t="s">
        <v>2795</v>
      </c>
      <c r="E49" s="11" t="s">
        <v>2792</v>
      </c>
      <c r="F49" s="11" t="s">
        <v>2839</v>
      </c>
      <c r="G49" s="2" t="s">
        <v>2840</v>
      </c>
      <c r="H49" s="2">
        <v>16000</v>
      </c>
      <c r="I49" s="2">
        <v>512000</v>
      </c>
      <c r="J49" s="11" t="s">
        <v>503</v>
      </c>
      <c r="K49" s="2"/>
    </row>
    <row r="50" spans="1:11">
      <c r="A50" s="2">
        <v>46</v>
      </c>
      <c r="B50" s="2"/>
      <c r="C50" s="2" t="s">
        <v>510</v>
      </c>
      <c r="D50" s="2" t="s">
        <v>2841</v>
      </c>
      <c r="E50" s="11" t="s">
        <v>2792</v>
      </c>
      <c r="F50" s="11" t="s">
        <v>2842</v>
      </c>
      <c r="G50" s="9" t="s">
        <v>508</v>
      </c>
      <c r="H50" s="2">
        <v>8096</v>
      </c>
      <c r="I50" s="2">
        <v>248681</v>
      </c>
      <c r="J50" s="11" t="s">
        <v>509</v>
      </c>
      <c r="K50" s="2"/>
    </row>
    <row r="51" spans="1:11">
      <c r="A51" s="2">
        <v>47</v>
      </c>
      <c r="B51" s="24"/>
      <c r="C51" s="24" t="s">
        <v>544</v>
      </c>
      <c r="D51" s="24" t="s">
        <v>2843</v>
      </c>
      <c r="E51" s="39" t="s">
        <v>2844</v>
      </c>
      <c r="F51" s="39" t="s">
        <v>2845</v>
      </c>
      <c r="G51" s="24" t="s">
        <v>542</v>
      </c>
      <c r="H51" s="24">
        <v>16000</v>
      </c>
      <c r="I51" s="24">
        <v>512000</v>
      </c>
      <c r="J51" s="39" t="s">
        <v>543</v>
      </c>
      <c r="K51" s="2"/>
    </row>
    <row r="52" spans="1:11">
      <c r="A52" s="2">
        <v>48</v>
      </c>
      <c r="B52" s="8"/>
      <c r="C52" s="14" t="s">
        <v>547</v>
      </c>
      <c r="D52" s="14" t="s">
        <v>2843</v>
      </c>
      <c r="E52" s="36" t="s">
        <v>2846</v>
      </c>
      <c r="F52" s="36" t="s">
        <v>2845</v>
      </c>
      <c r="G52" s="14" t="s">
        <v>546</v>
      </c>
      <c r="H52" s="14">
        <v>16000</v>
      </c>
      <c r="I52" s="14">
        <v>512000</v>
      </c>
      <c r="J52" s="36" t="s">
        <v>543</v>
      </c>
      <c r="K52" s="26"/>
    </row>
    <row r="53" spans="1:11">
      <c r="A53" s="2">
        <v>49</v>
      </c>
      <c r="B53" s="8"/>
      <c r="C53" s="14" t="s">
        <v>550</v>
      </c>
      <c r="D53" s="14" t="s">
        <v>2843</v>
      </c>
      <c r="E53" s="36" t="s">
        <v>2847</v>
      </c>
      <c r="F53" s="36" t="s">
        <v>2845</v>
      </c>
      <c r="G53" s="14" t="s">
        <v>549</v>
      </c>
      <c r="H53" s="14">
        <v>16000</v>
      </c>
      <c r="I53" s="14">
        <v>512000</v>
      </c>
      <c r="J53" s="36" t="s">
        <v>543</v>
      </c>
      <c r="K53" s="26"/>
    </row>
    <row r="54" spans="1:11" ht="15">
      <c r="A54" s="2">
        <v>50</v>
      </c>
      <c r="B54" s="8"/>
      <c r="C54" s="14" t="s">
        <v>567</v>
      </c>
      <c r="D54" s="14" t="s">
        <v>2843</v>
      </c>
      <c r="E54" s="27" t="s">
        <v>2848</v>
      </c>
      <c r="F54" s="36" t="s">
        <v>2845</v>
      </c>
      <c r="G54" s="14" t="s">
        <v>566</v>
      </c>
      <c r="H54" s="14">
        <v>16000</v>
      </c>
      <c r="I54" s="14">
        <v>512000</v>
      </c>
      <c r="J54" s="36" t="s">
        <v>543</v>
      </c>
      <c r="K54" s="26"/>
    </row>
    <row r="55" spans="1:11">
      <c r="A55" s="2">
        <v>51</v>
      </c>
      <c r="B55" s="8"/>
      <c r="C55" s="37" t="s">
        <v>533</v>
      </c>
      <c r="D55" s="15" t="s">
        <v>2849</v>
      </c>
      <c r="E55" s="36" t="s">
        <v>2847</v>
      </c>
      <c r="F55" s="36" t="s">
        <v>2850</v>
      </c>
      <c r="G55" s="42" t="s">
        <v>532</v>
      </c>
      <c r="H55" s="14">
        <v>16000</v>
      </c>
      <c r="I55" s="14">
        <v>512000</v>
      </c>
      <c r="J55" s="36" t="s">
        <v>492</v>
      </c>
      <c r="K55" s="26"/>
    </row>
    <row r="56" spans="1:11">
      <c r="A56" s="2">
        <v>52</v>
      </c>
      <c r="B56" s="8"/>
      <c r="C56" s="14" t="s">
        <v>572</v>
      </c>
      <c r="D56" s="14" t="s">
        <v>2851</v>
      </c>
      <c r="E56" s="36" t="s">
        <v>2847</v>
      </c>
      <c r="F56" s="62" t="s">
        <v>2852</v>
      </c>
      <c r="G56" s="38" t="s">
        <v>571</v>
      </c>
      <c r="H56" s="41">
        <v>16000</v>
      </c>
      <c r="I56" s="14">
        <v>512000</v>
      </c>
      <c r="J56" s="36" t="s">
        <v>492</v>
      </c>
      <c r="K56" s="26"/>
    </row>
    <row r="57" spans="1:11">
      <c r="A57" s="2">
        <v>53</v>
      </c>
      <c r="B57" s="8"/>
      <c r="C57" s="14" t="s">
        <v>583</v>
      </c>
      <c r="D57" s="14" t="s">
        <v>2843</v>
      </c>
      <c r="E57" s="40" t="s">
        <v>2847</v>
      </c>
      <c r="F57" s="63" t="s">
        <v>2853</v>
      </c>
      <c r="G57" s="38" t="s">
        <v>582</v>
      </c>
      <c r="H57" s="41">
        <v>16000</v>
      </c>
      <c r="I57" s="14">
        <v>512000</v>
      </c>
      <c r="J57" s="36" t="s">
        <v>492</v>
      </c>
      <c r="K57" s="26"/>
    </row>
    <row r="58" spans="1:11">
      <c r="A58" s="2">
        <v>54</v>
      </c>
      <c r="B58" s="8"/>
      <c r="C58" s="14" t="s">
        <v>587</v>
      </c>
      <c r="D58" s="14" t="s">
        <v>2843</v>
      </c>
      <c r="E58" s="40" t="s">
        <v>2847</v>
      </c>
      <c r="F58" s="63" t="s">
        <v>2854</v>
      </c>
      <c r="G58" s="38" t="s">
        <v>586</v>
      </c>
      <c r="H58" s="41">
        <v>16000</v>
      </c>
      <c r="I58" s="14">
        <v>512000</v>
      </c>
      <c r="J58" s="36" t="s">
        <v>492</v>
      </c>
      <c r="K58" s="26"/>
    </row>
    <row r="59" spans="1:11">
      <c r="A59" s="2">
        <v>55</v>
      </c>
      <c r="B59" s="8"/>
      <c r="C59" s="45" t="s">
        <v>590</v>
      </c>
      <c r="D59" s="45" t="s">
        <v>2843</v>
      </c>
      <c r="E59" s="46" t="s">
        <v>2847</v>
      </c>
      <c r="F59" s="62" t="s">
        <v>2855</v>
      </c>
      <c r="G59" s="42" t="s">
        <v>589</v>
      </c>
      <c r="H59" s="47">
        <v>16000</v>
      </c>
      <c r="I59" s="45">
        <v>512000</v>
      </c>
      <c r="J59" s="48" t="s">
        <v>492</v>
      </c>
      <c r="K59" s="26"/>
    </row>
    <row r="60" spans="1:11">
      <c r="A60" s="17">
        <v>56</v>
      </c>
      <c r="B60" s="8"/>
      <c r="C60" s="14" t="s">
        <v>595</v>
      </c>
      <c r="D60" s="14" t="s">
        <v>2851</v>
      </c>
      <c r="E60" s="36" t="s">
        <v>2847</v>
      </c>
      <c r="F60" s="57" t="s">
        <v>2856</v>
      </c>
      <c r="G60" s="38" t="s">
        <v>589</v>
      </c>
      <c r="H60" s="14">
        <v>16000</v>
      </c>
      <c r="I60" s="14">
        <v>512000</v>
      </c>
      <c r="J60" s="36" t="s">
        <v>492</v>
      </c>
      <c r="K60" s="26"/>
    </row>
    <row r="61" spans="1:11">
      <c r="A61" s="17">
        <v>57</v>
      </c>
      <c r="B61" s="8"/>
      <c r="C61" s="14" t="s">
        <v>597</v>
      </c>
      <c r="D61" s="14" t="s">
        <v>2843</v>
      </c>
      <c r="E61" s="36" t="s">
        <v>2847</v>
      </c>
      <c r="F61" s="57" t="s">
        <v>2857</v>
      </c>
      <c r="G61" s="38" t="s">
        <v>526</v>
      </c>
      <c r="H61" s="14">
        <v>16000</v>
      </c>
      <c r="I61" s="14">
        <v>512000</v>
      </c>
      <c r="J61" s="36" t="s">
        <v>492</v>
      </c>
      <c r="K61" s="26"/>
    </row>
    <row r="62" spans="1:11">
      <c r="A62" s="17">
        <v>58</v>
      </c>
      <c r="B62" s="8"/>
      <c r="C62" s="14" t="s">
        <v>601</v>
      </c>
      <c r="D62" s="14" t="s">
        <v>2851</v>
      </c>
      <c r="E62" s="36" t="s">
        <v>2847</v>
      </c>
      <c r="F62" s="57" t="s">
        <v>2858</v>
      </c>
      <c r="G62" s="38" t="s">
        <v>600</v>
      </c>
      <c r="H62" s="14">
        <v>16000</v>
      </c>
      <c r="I62" s="14">
        <v>512000</v>
      </c>
      <c r="J62" s="36" t="s">
        <v>492</v>
      </c>
      <c r="K62" s="26"/>
    </row>
    <row r="63" spans="1:11">
      <c r="A63" s="17">
        <v>59</v>
      </c>
      <c r="B63" s="8"/>
      <c r="C63" s="14" t="s">
        <v>605</v>
      </c>
      <c r="D63" s="14" t="s">
        <v>2851</v>
      </c>
      <c r="E63" s="36" t="s">
        <v>2847</v>
      </c>
      <c r="F63" s="57" t="s">
        <v>2561</v>
      </c>
      <c r="G63" s="38" t="s">
        <v>604</v>
      </c>
      <c r="H63" s="14">
        <v>16000</v>
      </c>
      <c r="I63" s="14">
        <v>512000</v>
      </c>
      <c r="J63" s="36" t="s">
        <v>492</v>
      </c>
      <c r="K63" s="26"/>
    </row>
    <row r="64" spans="1:11">
      <c r="A64" s="17">
        <v>60</v>
      </c>
      <c r="B64" s="8"/>
      <c r="C64" s="14" t="s">
        <v>609</v>
      </c>
      <c r="D64" s="14" t="s">
        <v>2851</v>
      </c>
      <c r="E64" s="36" t="s">
        <v>2847</v>
      </c>
      <c r="F64" s="57" t="s">
        <v>2859</v>
      </c>
      <c r="G64" s="43" t="s">
        <v>608</v>
      </c>
      <c r="H64" s="14">
        <v>16000</v>
      </c>
      <c r="I64" s="14">
        <v>512000</v>
      </c>
      <c r="J64" s="36" t="s">
        <v>492</v>
      </c>
      <c r="K64" s="26"/>
    </row>
    <row r="65" spans="1:11" ht="15">
      <c r="A65" s="17">
        <v>61</v>
      </c>
      <c r="B65" s="8"/>
      <c r="C65" s="14" t="s">
        <v>615</v>
      </c>
      <c r="D65" s="14" t="s">
        <v>2860</v>
      </c>
      <c r="E65" s="36" t="s">
        <v>2847</v>
      </c>
      <c r="F65" s="57" t="s">
        <v>2861</v>
      </c>
      <c r="G65" s="44" t="s">
        <v>613</v>
      </c>
      <c r="H65" s="14">
        <v>16000</v>
      </c>
      <c r="I65" s="14">
        <v>512000</v>
      </c>
      <c r="J65" s="36" t="s">
        <v>614</v>
      </c>
      <c r="K65" s="26"/>
    </row>
    <row r="66" spans="1:11" ht="15">
      <c r="A66" s="17">
        <v>62</v>
      </c>
      <c r="B66" s="8"/>
      <c r="C66" s="14" t="s">
        <v>618</v>
      </c>
      <c r="D66" s="14" t="s">
        <v>2860</v>
      </c>
      <c r="E66" s="36" t="s">
        <v>2848</v>
      </c>
      <c r="F66" s="57" t="s">
        <v>2861</v>
      </c>
      <c r="G66" s="44" t="s">
        <v>617</v>
      </c>
      <c r="H66" s="14">
        <v>16000</v>
      </c>
      <c r="I66" s="14">
        <v>512000</v>
      </c>
      <c r="J66" s="36" t="s">
        <v>614</v>
      </c>
      <c r="K66" s="26"/>
    </row>
    <row r="67" spans="1:11" ht="15">
      <c r="A67" s="17">
        <v>63</v>
      </c>
      <c r="B67" s="8"/>
      <c r="C67" s="14" t="s">
        <v>621</v>
      </c>
      <c r="D67" s="14" t="s">
        <v>2860</v>
      </c>
      <c r="E67" s="36" t="s">
        <v>2844</v>
      </c>
      <c r="F67" s="57" t="s">
        <v>2861</v>
      </c>
      <c r="G67" s="44" t="s">
        <v>620</v>
      </c>
      <c r="H67" s="14">
        <v>16000</v>
      </c>
      <c r="I67" s="14">
        <v>512000</v>
      </c>
      <c r="J67" s="36" t="s">
        <v>614</v>
      </c>
      <c r="K67" s="26"/>
    </row>
    <row r="68" spans="1:11" ht="15">
      <c r="A68" s="17">
        <v>64</v>
      </c>
      <c r="B68" s="8"/>
      <c r="C68" s="14" t="s">
        <v>624</v>
      </c>
      <c r="D68" s="14" t="s">
        <v>2860</v>
      </c>
      <c r="E68" s="36" t="s">
        <v>2846</v>
      </c>
      <c r="F68" s="57" t="s">
        <v>2861</v>
      </c>
      <c r="G68" s="44" t="s">
        <v>623</v>
      </c>
      <c r="H68" s="14">
        <v>16000</v>
      </c>
      <c r="I68" s="14">
        <v>512000</v>
      </c>
      <c r="J68" s="36" t="s">
        <v>614</v>
      </c>
      <c r="K68" s="26"/>
    </row>
    <row r="69" spans="1:11" ht="15">
      <c r="A69" s="17">
        <v>65</v>
      </c>
      <c r="B69" s="8"/>
      <c r="C69" s="14" t="s">
        <v>627</v>
      </c>
      <c r="D69" s="14" t="s">
        <v>2860</v>
      </c>
      <c r="E69" s="36" t="s">
        <v>2862</v>
      </c>
      <c r="F69" s="57" t="s">
        <v>2861</v>
      </c>
      <c r="G69" s="44" t="s">
        <v>626</v>
      </c>
      <c r="H69" s="14">
        <v>16000</v>
      </c>
      <c r="I69" s="14">
        <v>512000</v>
      </c>
      <c r="J69" s="36" t="s">
        <v>614</v>
      </c>
      <c r="K69" s="26"/>
    </row>
    <row r="70" spans="1:11">
      <c r="A70" s="14"/>
      <c r="B70" s="8"/>
      <c r="C70" s="51"/>
      <c r="D70" s="25"/>
      <c r="E70" s="29"/>
      <c r="F70" s="29"/>
      <c r="G70" s="25"/>
      <c r="H70" s="25"/>
      <c r="I70" s="25"/>
      <c r="J70" s="29"/>
      <c r="K70" s="2"/>
    </row>
    <row r="71" spans="1:11">
      <c r="A71" s="14"/>
      <c r="B71" s="8"/>
      <c r="C71" s="26"/>
      <c r="D71" s="2"/>
      <c r="E71" s="11"/>
      <c r="F71" s="11"/>
      <c r="G71" s="2"/>
      <c r="H71" s="2"/>
      <c r="I71" s="2"/>
      <c r="J71" s="11"/>
      <c r="K71" s="2"/>
    </row>
    <row r="72" spans="1:11">
      <c r="A72" s="14"/>
      <c r="B72" s="8"/>
      <c r="C72" s="26"/>
      <c r="D72" s="2"/>
      <c r="E72" s="11"/>
      <c r="F72" s="11"/>
      <c r="G72" s="2"/>
      <c r="H72" s="2"/>
      <c r="I72" s="2"/>
      <c r="J72" s="11"/>
      <c r="K72" s="2"/>
    </row>
    <row r="73" spans="1:11">
      <c r="A73" s="25"/>
      <c r="B73" s="25"/>
      <c r="C73" s="2"/>
      <c r="D73" s="2"/>
      <c r="E73" s="11"/>
      <c r="F73" s="11"/>
      <c r="G73" s="2"/>
      <c r="H73" s="2"/>
      <c r="I73" s="2"/>
      <c r="J73" s="11"/>
      <c r="K73" s="2"/>
    </row>
    <row r="74" spans="1:11">
      <c r="A74" s="2"/>
      <c r="B74" s="2"/>
      <c r="C74" s="2"/>
      <c r="D74" s="2"/>
      <c r="E74" s="11"/>
      <c r="F74" s="11"/>
      <c r="G74" s="2"/>
      <c r="H74" s="2"/>
      <c r="I74" s="2"/>
      <c r="J74" s="11"/>
      <c r="K74" s="2"/>
    </row>
    <row r="75" spans="1:11">
      <c r="A75" s="2"/>
      <c r="B75" s="2"/>
      <c r="C75" s="2"/>
      <c r="D75" s="2"/>
      <c r="E75" s="11"/>
      <c r="F75" s="11"/>
      <c r="G75" s="2"/>
      <c r="H75" s="2"/>
      <c r="I75" s="2"/>
      <c r="J75" s="11"/>
      <c r="K75" s="2"/>
    </row>
    <row r="76" spans="1:11">
      <c r="A76" s="2"/>
      <c r="B76" s="2"/>
      <c r="C76" s="2"/>
      <c r="D76" s="2"/>
      <c r="E76" s="11"/>
      <c r="F76" s="11"/>
      <c r="G76" s="2"/>
      <c r="H76" s="2"/>
      <c r="I76" s="2"/>
      <c r="J76" s="11"/>
      <c r="K76" s="2"/>
    </row>
    <row r="77" spans="1:11">
      <c r="A77" s="2"/>
      <c r="B77" s="2"/>
      <c r="C77" s="2"/>
      <c r="D77" s="2"/>
      <c r="E77" s="11"/>
      <c r="F77" s="11"/>
      <c r="G77" s="2"/>
      <c r="H77" s="2"/>
      <c r="I77" s="2"/>
      <c r="J77" s="11"/>
      <c r="K77" s="2"/>
    </row>
    <row r="78" spans="1:11">
      <c r="A78" s="2"/>
      <c r="B78" s="2"/>
      <c r="C78" s="2"/>
      <c r="D78" s="2"/>
      <c r="E78" s="11"/>
      <c r="F78" s="11"/>
      <c r="G78" s="2"/>
      <c r="H78" s="2"/>
      <c r="I78" s="2"/>
      <c r="J78" s="11"/>
      <c r="K78" s="2"/>
    </row>
    <row r="79" spans="1:11">
      <c r="A79" s="2"/>
      <c r="B79" s="2"/>
      <c r="C79" s="2"/>
      <c r="D79" s="2"/>
      <c r="E79" s="11"/>
      <c r="F79" s="11"/>
      <c r="G79" s="2"/>
      <c r="H79" s="2"/>
      <c r="I79" s="2"/>
      <c r="J79" s="11"/>
      <c r="K79" s="2"/>
    </row>
    <row r="80" spans="1:11">
      <c r="A80" s="2"/>
      <c r="B80" s="2"/>
      <c r="C80" s="2"/>
      <c r="D80" s="2"/>
      <c r="E80" s="11"/>
      <c r="F80" s="11"/>
      <c r="G80" s="2"/>
      <c r="H80" s="2"/>
      <c r="I80" s="2"/>
      <c r="J80" s="11"/>
      <c r="K80" s="2"/>
    </row>
    <row r="81" spans="1:11">
      <c r="A81" s="2"/>
      <c r="B81" s="2"/>
      <c r="C81" s="2"/>
      <c r="D81" s="2"/>
      <c r="E81" s="11"/>
      <c r="F81" s="11"/>
      <c r="G81" s="2"/>
      <c r="H81" s="2"/>
      <c r="I81" s="2"/>
      <c r="J81" s="11"/>
      <c r="K81" s="2"/>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7865-5885-40E8-B440-7848EC03F96E}">
  <dimension ref="A1:J143"/>
  <sheetViews>
    <sheetView topLeftCell="A14" workbookViewId="0">
      <selection activeCell="H92" sqref="H92"/>
    </sheetView>
  </sheetViews>
  <sheetFormatPr defaultRowHeight="13.5"/>
  <cols>
    <col min="2" max="2" width="37.375" customWidth="1"/>
    <col min="6" max="6" width="4.25" bestFit="1" customWidth="1"/>
    <col min="7" max="7" width="21.375" bestFit="1" customWidth="1"/>
    <col min="8" max="8" width="31.375" bestFit="1" customWidth="1"/>
    <col min="10" max="10" width="11.75" bestFit="1" customWidth="1"/>
  </cols>
  <sheetData>
    <row r="1" spans="1:10" ht="15">
      <c r="A1" s="808" t="s">
        <v>2863</v>
      </c>
      <c r="B1" s="809"/>
      <c r="C1" s="809"/>
      <c r="D1" s="809"/>
      <c r="E1" s="809"/>
      <c r="F1" s="809"/>
      <c r="G1" s="809"/>
      <c r="H1" s="809"/>
      <c r="I1" s="809"/>
      <c r="J1" s="810"/>
    </row>
    <row r="2" spans="1:10" ht="15">
      <c r="A2" s="797" t="s">
        <v>2864</v>
      </c>
      <c r="B2" s="798"/>
      <c r="C2" s="798"/>
      <c r="D2" s="799"/>
      <c r="E2" s="30" t="s">
        <v>2865</v>
      </c>
      <c r="F2" s="800" t="s">
        <v>2866</v>
      </c>
      <c r="G2" s="801"/>
      <c r="H2" s="801"/>
      <c r="I2" s="801"/>
      <c r="J2" s="801"/>
    </row>
    <row r="3" spans="1:10" ht="15">
      <c r="A3" s="427" t="s">
        <v>2867</v>
      </c>
      <c r="B3" s="428" t="s">
        <v>2868</v>
      </c>
      <c r="C3" s="428" t="s">
        <v>2869</v>
      </c>
      <c r="D3" s="429" t="s">
        <v>2870</v>
      </c>
      <c r="E3" s="30" t="s">
        <v>2865</v>
      </c>
      <c r="F3" s="430" t="s">
        <v>2867</v>
      </c>
      <c r="G3" s="431" t="s">
        <v>2871</v>
      </c>
      <c r="H3" s="431" t="s">
        <v>2784</v>
      </c>
      <c r="I3" s="432" t="s">
        <v>2872</v>
      </c>
      <c r="J3" s="431" t="s">
        <v>2870</v>
      </c>
    </row>
    <row r="4" spans="1:10" ht="16.5">
      <c r="A4" s="433">
        <v>1</v>
      </c>
      <c r="B4" s="434" t="s">
        <v>2873</v>
      </c>
      <c r="C4" s="435" t="s">
        <v>64</v>
      </c>
      <c r="D4" s="436" t="s">
        <v>64</v>
      </c>
      <c r="E4" s="437" t="s">
        <v>2865</v>
      </c>
      <c r="F4" s="433">
        <v>1</v>
      </c>
      <c r="G4" s="438" t="s">
        <v>2874</v>
      </c>
      <c r="H4" s="433" t="s">
        <v>2875</v>
      </c>
      <c r="I4" s="31" t="s">
        <v>64</v>
      </c>
      <c r="J4" s="31" t="s">
        <v>64</v>
      </c>
    </row>
    <row r="5" spans="1:10" ht="16.5">
      <c r="A5" s="433">
        <v>2</v>
      </c>
      <c r="B5" s="439" t="s">
        <v>2876</v>
      </c>
      <c r="C5" s="440" t="s">
        <v>64</v>
      </c>
      <c r="D5" s="436" t="s">
        <v>64</v>
      </c>
      <c r="E5" s="437" t="s">
        <v>2865</v>
      </c>
      <c r="F5" s="433">
        <v>2</v>
      </c>
      <c r="G5" s="438" t="s">
        <v>2877</v>
      </c>
      <c r="H5" s="441" t="s">
        <v>1551</v>
      </c>
      <c r="I5" s="32" t="s">
        <v>64</v>
      </c>
      <c r="J5" s="31" t="s">
        <v>64</v>
      </c>
    </row>
    <row r="6" spans="1:10" ht="16.5">
      <c r="A6" s="433">
        <v>3</v>
      </c>
      <c r="B6" s="442" t="s">
        <v>2878</v>
      </c>
      <c r="C6" s="435" t="s">
        <v>64</v>
      </c>
      <c r="D6" s="436" t="s">
        <v>64</v>
      </c>
      <c r="E6" s="437" t="s">
        <v>2865</v>
      </c>
      <c r="F6" s="433">
        <v>3</v>
      </c>
      <c r="G6" s="438" t="s">
        <v>2879</v>
      </c>
      <c r="H6" s="438" t="s">
        <v>1760</v>
      </c>
      <c r="I6" s="32" t="s">
        <v>64</v>
      </c>
      <c r="J6" s="31" t="s">
        <v>64</v>
      </c>
    </row>
    <row r="7" spans="1:10" ht="16.5">
      <c r="A7" s="433">
        <v>4</v>
      </c>
      <c r="B7" s="442" t="s">
        <v>148</v>
      </c>
      <c r="C7" s="435" t="s">
        <v>64</v>
      </c>
      <c r="D7" s="436" t="s">
        <v>64</v>
      </c>
      <c r="E7" s="437" t="s">
        <v>2865</v>
      </c>
      <c r="F7" s="433">
        <v>4</v>
      </c>
      <c r="G7" s="438" t="s">
        <v>2880</v>
      </c>
      <c r="H7" s="438" t="s">
        <v>2881</v>
      </c>
      <c r="I7" s="32" t="s">
        <v>64</v>
      </c>
      <c r="J7" s="31" t="s">
        <v>64</v>
      </c>
    </row>
    <row r="8" spans="1:10" ht="16.5">
      <c r="A8" s="433">
        <v>5</v>
      </c>
      <c r="B8" s="442" t="s">
        <v>182</v>
      </c>
      <c r="C8" s="435" t="s">
        <v>64</v>
      </c>
      <c r="D8" s="436" t="s">
        <v>64</v>
      </c>
      <c r="E8" s="437" t="s">
        <v>2865</v>
      </c>
      <c r="F8" s="433">
        <v>5</v>
      </c>
      <c r="G8" s="438" t="s">
        <v>2882</v>
      </c>
      <c r="H8" s="438" t="s">
        <v>2883</v>
      </c>
      <c r="I8" s="32" t="s">
        <v>64</v>
      </c>
      <c r="J8" s="31" t="s">
        <v>64</v>
      </c>
    </row>
    <row r="9" spans="1:10" ht="16.5">
      <c r="A9" s="433">
        <v>6</v>
      </c>
      <c r="B9" s="442" t="s">
        <v>2884</v>
      </c>
      <c r="C9" s="435" t="s">
        <v>64</v>
      </c>
      <c r="D9" s="436" t="s">
        <v>64</v>
      </c>
      <c r="E9" s="437" t="s">
        <v>2865</v>
      </c>
      <c r="F9" s="433">
        <v>6</v>
      </c>
      <c r="G9" s="438" t="s">
        <v>2885</v>
      </c>
      <c r="H9" s="438" t="s">
        <v>2886</v>
      </c>
      <c r="I9" s="32" t="s">
        <v>64</v>
      </c>
      <c r="J9" s="31" t="s">
        <v>64</v>
      </c>
    </row>
    <row r="10" spans="1:10" ht="16.5">
      <c r="A10" s="433">
        <v>7</v>
      </c>
      <c r="B10" s="442" t="s">
        <v>2887</v>
      </c>
      <c r="C10" s="435" t="s">
        <v>64</v>
      </c>
      <c r="D10" s="436" t="s">
        <v>64</v>
      </c>
      <c r="E10" s="437" t="s">
        <v>2865</v>
      </c>
      <c r="F10" s="433">
        <v>7</v>
      </c>
      <c r="G10" s="438" t="s">
        <v>1027</v>
      </c>
      <c r="H10" s="438" t="s">
        <v>2888</v>
      </c>
      <c r="I10" s="32" t="s">
        <v>64</v>
      </c>
      <c r="J10" s="31" t="s">
        <v>64</v>
      </c>
    </row>
    <row r="11" spans="1:10" ht="16.5">
      <c r="A11" s="433">
        <v>8</v>
      </c>
      <c r="B11" s="442" t="s">
        <v>2889</v>
      </c>
      <c r="C11" s="435" t="s">
        <v>64</v>
      </c>
      <c r="D11" s="436" t="s">
        <v>64</v>
      </c>
      <c r="E11" s="437" t="s">
        <v>2865</v>
      </c>
      <c r="F11" s="433">
        <v>8</v>
      </c>
      <c r="G11" s="438" t="s">
        <v>2890</v>
      </c>
      <c r="H11" s="438" t="s">
        <v>2891</v>
      </c>
      <c r="I11" s="32" t="s">
        <v>64</v>
      </c>
      <c r="J11" s="31" t="s">
        <v>64</v>
      </c>
    </row>
    <row r="12" spans="1:10" ht="16.5">
      <c r="A12" s="433">
        <v>9</v>
      </c>
      <c r="B12" s="442" t="s">
        <v>2892</v>
      </c>
      <c r="C12" s="435" t="s">
        <v>64</v>
      </c>
      <c r="D12" s="436" t="s">
        <v>64</v>
      </c>
      <c r="E12" s="437" t="s">
        <v>2865</v>
      </c>
      <c r="F12" s="433">
        <v>9</v>
      </c>
      <c r="G12" s="438" t="s">
        <v>2893</v>
      </c>
      <c r="H12" s="438" t="s">
        <v>2894</v>
      </c>
      <c r="I12" s="32" t="s">
        <v>64</v>
      </c>
      <c r="J12" s="31" t="s">
        <v>64</v>
      </c>
    </row>
    <row r="13" spans="1:10" ht="16.5">
      <c r="A13" s="433">
        <v>10</v>
      </c>
      <c r="B13" s="442" t="s">
        <v>2895</v>
      </c>
      <c r="C13" s="435" t="s">
        <v>64</v>
      </c>
      <c r="D13" s="436" t="s">
        <v>64</v>
      </c>
      <c r="E13" s="437" t="s">
        <v>2865</v>
      </c>
      <c r="F13" s="433">
        <v>10</v>
      </c>
      <c r="G13" s="438" t="s">
        <v>1041</v>
      </c>
      <c r="H13" s="438" t="s">
        <v>2896</v>
      </c>
      <c r="I13" s="32" t="s">
        <v>64</v>
      </c>
      <c r="J13" s="31" t="s">
        <v>64</v>
      </c>
    </row>
    <row r="14" spans="1:10" ht="16.5">
      <c r="A14" s="433">
        <v>11</v>
      </c>
      <c r="B14" s="442" t="s">
        <v>2897</v>
      </c>
      <c r="C14" s="435" t="s">
        <v>64</v>
      </c>
      <c r="D14" s="436" t="s">
        <v>64</v>
      </c>
      <c r="E14" s="437" t="s">
        <v>2865</v>
      </c>
      <c r="F14" s="433">
        <v>11</v>
      </c>
      <c r="G14" s="438" t="s">
        <v>2898</v>
      </c>
      <c r="H14" s="438" t="s">
        <v>2899</v>
      </c>
      <c r="I14" s="32" t="s">
        <v>64</v>
      </c>
      <c r="J14" s="31" t="s">
        <v>64</v>
      </c>
    </row>
    <row r="15" spans="1:10" ht="16.5">
      <c r="A15" s="433">
        <v>12</v>
      </c>
      <c r="B15" s="442" t="s">
        <v>2900</v>
      </c>
      <c r="C15" s="435" t="s">
        <v>64</v>
      </c>
      <c r="D15" s="436" t="s">
        <v>64</v>
      </c>
      <c r="E15" s="437" t="s">
        <v>2865</v>
      </c>
      <c r="F15" s="433">
        <v>12</v>
      </c>
      <c r="G15" s="438" t="s">
        <v>2901</v>
      </c>
      <c r="H15" s="438" t="s">
        <v>2902</v>
      </c>
      <c r="I15" s="32" t="s">
        <v>64</v>
      </c>
      <c r="J15" s="31" t="s">
        <v>64</v>
      </c>
    </row>
    <row r="16" spans="1:10" ht="16.5">
      <c r="A16" s="433">
        <v>13</v>
      </c>
      <c r="B16" s="442" t="s">
        <v>2903</v>
      </c>
      <c r="C16" s="435" t="s">
        <v>64</v>
      </c>
      <c r="D16" s="436" t="s">
        <v>64</v>
      </c>
      <c r="E16" s="437" t="s">
        <v>2865</v>
      </c>
      <c r="F16" s="433">
        <v>13</v>
      </c>
      <c r="G16" s="438" t="s">
        <v>1055</v>
      </c>
      <c r="H16" s="438" t="s">
        <v>2904</v>
      </c>
      <c r="I16" s="32" t="s">
        <v>64</v>
      </c>
      <c r="J16" s="31" t="s">
        <v>64</v>
      </c>
    </row>
    <row r="17" spans="1:10" ht="16.5">
      <c r="A17" s="433">
        <v>14</v>
      </c>
      <c r="B17" s="442" t="s">
        <v>2905</v>
      </c>
      <c r="C17" s="435" t="s">
        <v>64</v>
      </c>
      <c r="D17" s="436" t="s">
        <v>64</v>
      </c>
      <c r="E17" s="437" t="s">
        <v>2865</v>
      </c>
      <c r="F17" s="433">
        <v>14</v>
      </c>
      <c r="G17" s="438" t="s">
        <v>1061</v>
      </c>
      <c r="H17" s="438" t="s">
        <v>2906</v>
      </c>
      <c r="I17" s="32" t="s">
        <v>64</v>
      </c>
      <c r="J17" s="31" t="s">
        <v>64</v>
      </c>
    </row>
    <row r="18" spans="1:10" ht="16.5">
      <c r="A18" s="433">
        <v>15</v>
      </c>
      <c r="B18" s="442" t="s">
        <v>2907</v>
      </c>
      <c r="C18" s="435" t="s">
        <v>64</v>
      </c>
      <c r="D18" s="436" t="s">
        <v>64</v>
      </c>
      <c r="E18" s="437" t="s">
        <v>2865</v>
      </c>
      <c r="F18" s="433">
        <v>15</v>
      </c>
      <c r="G18" s="438" t="s">
        <v>1066</v>
      </c>
      <c r="H18" s="438" t="s">
        <v>1685</v>
      </c>
      <c r="I18" s="32" t="s">
        <v>64</v>
      </c>
      <c r="J18" s="31" t="s">
        <v>64</v>
      </c>
    </row>
    <row r="19" spans="1:10" ht="16.5">
      <c r="A19" s="433">
        <v>16</v>
      </c>
      <c r="B19" s="442" t="s">
        <v>510</v>
      </c>
      <c r="C19" s="435" t="s">
        <v>64</v>
      </c>
      <c r="D19" s="436" t="s">
        <v>64</v>
      </c>
      <c r="E19" s="437" t="s">
        <v>2865</v>
      </c>
      <c r="F19" s="433">
        <v>16</v>
      </c>
      <c r="G19" s="438" t="s">
        <v>1070</v>
      </c>
      <c r="H19" s="438" t="s">
        <v>2908</v>
      </c>
      <c r="I19" s="32" t="s">
        <v>64</v>
      </c>
      <c r="J19" s="31" t="s">
        <v>64</v>
      </c>
    </row>
    <row r="20" spans="1:10" ht="16.5">
      <c r="A20" s="433">
        <v>17</v>
      </c>
      <c r="B20" s="442" t="s">
        <v>2909</v>
      </c>
      <c r="C20" s="435" t="s">
        <v>64</v>
      </c>
      <c r="D20" s="436" t="s">
        <v>64</v>
      </c>
      <c r="E20" s="437" t="s">
        <v>2865</v>
      </c>
      <c r="F20" s="433">
        <v>17</v>
      </c>
      <c r="G20" s="438" t="s">
        <v>1075</v>
      </c>
      <c r="H20" s="438" t="s">
        <v>2910</v>
      </c>
      <c r="I20" s="32" t="s">
        <v>64</v>
      </c>
      <c r="J20" s="31" t="s">
        <v>64</v>
      </c>
    </row>
    <row r="21" spans="1:10" ht="16.5">
      <c r="A21" s="433">
        <v>18</v>
      </c>
      <c r="B21" s="442" t="s">
        <v>2813</v>
      </c>
      <c r="C21" s="435" t="s">
        <v>64</v>
      </c>
      <c r="D21" s="436" t="s">
        <v>64</v>
      </c>
      <c r="E21" s="437" t="s">
        <v>2865</v>
      </c>
      <c r="F21" s="433">
        <v>18</v>
      </c>
      <c r="G21" s="438" t="s">
        <v>1079</v>
      </c>
      <c r="H21" s="438" t="s">
        <v>1616</v>
      </c>
      <c r="I21" s="32" t="s">
        <v>64</v>
      </c>
      <c r="J21" s="31" t="s">
        <v>64</v>
      </c>
    </row>
    <row r="22" spans="1:10" ht="16.5">
      <c r="A22" s="433">
        <v>19</v>
      </c>
      <c r="B22" s="442" t="s">
        <v>2911</v>
      </c>
      <c r="C22" s="435" t="s">
        <v>64</v>
      </c>
      <c r="D22" s="436" t="s">
        <v>64</v>
      </c>
      <c r="E22" s="437" t="s">
        <v>2865</v>
      </c>
      <c r="F22" s="433">
        <v>19</v>
      </c>
      <c r="G22" s="438" t="s">
        <v>1083</v>
      </c>
      <c r="H22" s="438" t="s">
        <v>1599</v>
      </c>
      <c r="I22" s="32" t="s">
        <v>64</v>
      </c>
      <c r="J22" s="31" t="s">
        <v>64</v>
      </c>
    </row>
    <row r="23" spans="1:10" ht="16.5">
      <c r="A23" s="433">
        <v>20</v>
      </c>
      <c r="B23" s="442" t="s">
        <v>2912</v>
      </c>
      <c r="C23" s="435" t="s">
        <v>64</v>
      </c>
      <c r="D23" s="436" t="s">
        <v>64</v>
      </c>
      <c r="E23" s="437" t="s">
        <v>2865</v>
      </c>
      <c r="F23" s="433">
        <v>20</v>
      </c>
      <c r="G23" s="438" t="s">
        <v>1088</v>
      </c>
      <c r="H23" s="438" t="s">
        <v>2913</v>
      </c>
      <c r="I23" s="32" t="s">
        <v>64</v>
      </c>
      <c r="J23" s="31" t="s">
        <v>64</v>
      </c>
    </row>
    <row r="24" spans="1:10" ht="16.5">
      <c r="A24" s="433">
        <v>21</v>
      </c>
      <c r="B24" s="442" t="s">
        <v>2914</v>
      </c>
      <c r="C24" s="435" t="s">
        <v>64</v>
      </c>
      <c r="D24" s="436" t="s">
        <v>64</v>
      </c>
      <c r="E24" s="437" t="s">
        <v>2865</v>
      </c>
      <c r="F24" s="433">
        <v>21</v>
      </c>
      <c r="G24" s="438" t="s">
        <v>1092</v>
      </c>
      <c r="H24" s="438" t="s">
        <v>1644</v>
      </c>
      <c r="I24" s="32" t="s">
        <v>64</v>
      </c>
      <c r="J24" s="31" t="s">
        <v>64</v>
      </c>
    </row>
    <row r="25" spans="1:10" ht="16.5">
      <c r="A25" s="433">
        <v>22</v>
      </c>
      <c r="B25" s="442" t="s">
        <v>2915</v>
      </c>
      <c r="C25" s="435" t="s">
        <v>64</v>
      </c>
      <c r="D25" s="436" t="s">
        <v>64</v>
      </c>
      <c r="E25" s="437" t="s">
        <v>2865</v>
      </c>
      <c r="F25" s="433">
        <v>22</v>
      </c>
      <c r="G25" s="438" t="s">
        <v>1096</v>
      </c>
      <c r="H25" s="438" t="s">
        <v>2916</v>
      </c>
      <c r="I25" s="32" t="s">
        <v>64</v>
      </c>
      <c r="J25" s="31" t="s">
        <v>64</v>
      </c>
    </row>
    <row r="26" spans="1:10" ht="16.5">
      <c r="A26" s="433">
        <v>23</v>
      </c>
      <c r="B26" s="442" t="s">
        <v>2917</v>
      </c>
      <c r="C26" s="435" t="s">
        <v>64</v>
      </c>
      <c r="D26" s="436" t="s">
        <v>64</v>
      </c>
      <c r="E26" s="437" t="s">
        <v>2865</v>
      </c>
      <c r="F26" s="433">
        <v>23</v>
      </c>
      <c r="G26" s="438" t="s">
        <v>1101</v>
      </c>
      <c r="H26" s="438" t="s">
        <v>2918</v>
      </c>
      <c r="I26" s="32" t="s">
        <v>64</v>
      </c>
      <c r="J26" s="31" t="s">
        <v>64</v>
      </c>
    </row>
    <row r="27" spans="1:10" ht="16.5">
      <c r="A27" s="433">
        <v>24</v>
      </c>
      <c r="B27" s="442" t="s">
        <v>2919</v>
      </c>
      <c r="C27" s="435" t="s">
        <v>64</v>
      </c>
      <c r="D27" s="436" t="s">
        <v>64</v>
      </c>
      <c r="E27" s="437" t="s">
        <v>2865</v>
      </c>
      <c r="F27" s="433">
        <v>24</v>
      </c>
      <c r="G27" s="438" t="s">
        <v>1108</v>
      </c>
      <c r="H27" s="438" t="s">
        <v>2920</v>
      </c>
      <c r="I27" s="32" t="s">
        <v>64</v>
      </c>
      <c r="J27" s="31" t="s">
        <v>64</v>
      </c>
    </row>
    <row r="28" spans="1:10" ht="16.5">
      <c r="A28" s="433">
        <v>25</v>
      </c>
      <c r="B28" s="442" t="s">
        <v>2921</v>
      </c>
      <c r="C28" s="435" t="s">
        <v>64</v>
      </c>
      <c r="D28" s="436" t="s">
        <v>64</v>
      </c>
      <c r="E28" s="437" t="s">
        <v>2865</v>
      </c>
      <c r="F28" s="433">
        <v>25</v>
      </c>
      <c r="G28" s="438" t="s">
        <v>1112</v>
      </c>
      <c r="H28" s="438" t="s">
        <v>2065</v>
      </c>
      <c r="I28" s="32" t="s">
        <v>64</v>
      </c>
      <c r="J28" s="31" t="s">
        <v>64</v>
      </c>
    </row>
    <row r="29" spans="1:10" ht="16.5">
      <c r="A29" s="433">
        <v>26</v>
      </c>
      <c r="B29" s="442" t="s">
        <v>2922</v>
      </c>
      <c r="C29" s="435" t="s">
        <v>64</v>
      </c>
      <c r="D29" s="436" t="s">
        <v>64</v>
      </c>
      <c r="E29" s="437" t="s">
        <v>2865</v>
      </c>
      <c r="F29" s="433">
        <v>26</v>
      </c>
      <c r="G29" s="438" t="s">
        <v>1116</v>
      </c>
      <c r="H29" s="438" t="s">
        <v>1995</v>
      </c>
      <c r="I29" s="32" t="s">
        <v>64</v>
      </c>
      <c r="J29" s="31" t="s">
        <v>64</v>
      </c>
    </row>
    <row r="30" spans="1:10" ht="16.5">
      <c r="A30" s="433">
        <v>27</v>
      </c>
      <c r="B30" s="442" t="s">
        <v>2923</v>
      </c>
      <c r="C30" s="435" t="s">
        <v>64</v>
      </c>
      <c r="D30" s="436" t="s">
        <v>64</v>
      </c>
      <c r="E30" s="437" t="s">
        <v>2865</v>
      </c>
      <c r="F30" s="433">
        <v>27</v>
      </c>
      <c r="G30" s="438" t="s">
        <v>1124</v>
      </c>
      <c r="H30" s="438" t="s">
        <v>2924</v>
      </c>
      <c r="I30" s="32" t="s">
        <v>64</v>
      </c>
      <c r="J30" s="31" t="s">
        <v>64</v>
      </c>
    </row>
    <row r="31" spans="1:10" ht="16.5">
      <c r="A31" s="433">
        <v>28</v>
      </c>
      <c r="B31" s="442" t="s">
        <v>2925</v>
      </c>
      <c r="C31" s="435" t="s">
        <v>64</v>
      </c>
      <c r="D31" s="436" t="s">
        <v>64</v>
      </c>
      <c r="E31" s="437" t="s">
        <v>2865</v>
      </c>
      <c r="F31" s="433">
        <v>28</v>
      </c>
      <c r="G31" s="438" t="s">
        <v>2926</v>
      </c>
      <c r="H31" s="438" t="s">
        <v>2927</v>
      </c>
      <c r="I31" s="32" t="s">
        <v>64</v>
      </c>
      <c r="J31" s="31" t="s">
        <v>64</v>
      </c>
    </row>
    <row r="32" spans="1:10" ht="16.5">
      <c r="A32" s="433">
        <v>29</v>
      </c>
      <c r="B32" s="442" t="s">
        <v>2928</v>
      </c>
      <c r="C32" s="435" t="s">
        <v>64</v>
      </c>
      <c r="D32" s="436" t="s">
        <v>64</v>
      </c>
      <c r="E32" s="437" t="s">
        <v>2865</v>
      </c>
      <c r="F32" s="433">
        <v>29</v>
      </c>
      <c r="G32" s="438" t="s">
        <v>2929</v>
      </c>
      <c r="H32" s="438" t="s">
        <v>2930</v>
      </c>
      <c r="I32" s="32" t="s">
        <v>64</v>
      </c>
      <c r="J32" s="31" t="s">
        <v>64</v>
      </c>
    </row>
    <row r="33" spans="1:10" ht="16.5">
      <c r="A33" s="433">
        <v>30</v>
      </c>
      <c r="B33" s="442" t="s">
        <v>2931</v>
      </c>
      <c r="C33" s="435" t="s">
        <v>64</v>
      </c>
      <c r="D33" s="436" t="s">
        <v>64</v>
      </c>
      <c r="E33" s="437" t="s">
        <v>2865</v>
      </c>
      <c r="F33" s="433">
        <v>30</v>
      </c>
      <c r="G33" s="438" t="s">
        <v>1140</v>
      </c>
      <c r="H33" s="438" t="s">
        <v>1953</v>
      </c>
      <c r="I33" s="32" t="s">
        <v>64</v>
      </c>
      <c r="J33" s="31" t="s">
        <v>64</v>
      </c>
    </row>
    <row r="34" spans="1:10" ht="16.5">
      <c r="A34" s="433">
        <v>31</v>
      </c>
      <c r="B34" s="442" t="s">
        <v>2932</v>
      </c>
      <c r="C34" s="435" t="s">
        <v>64</v>
      </c>
      <c r="D34" s="436" t="s">
        <v>64</v>
      </c>
      <c r="E34" s="437" t="s">
        <v>2865</v>
      </c>
      <c r="F34" s="433">
        <v>31</v>
      </c>
      <c r="G34" s="438" t="s">
        <v>1147</v>
      </c>
      <c r="H34" s="438" t="s">
        <v>1559</v>
      </c>
      <c r="I34" s="32" t="s">
        <v>64</v>
      </c>
      <c r="J34" s="31" t="s">
        <v>64</v>
      </c>
    </row>
    <row r="35" spans="1:10" ht="16.5">
      <c r="A35" s="433">
        <v>32</v>
      </c>
      <c r="B35" s="442" t="s">
        <v>2933</v>
      </c>
      <c r="C35" s="435" t="s">
        <v>64</v>
      </c>
      <c r="D35" s="436" t="s">
        <v>64</v>
      </c>
      <c r="E35" s="437" t="s">
        <v>2865</v>
      </c>
      <c r="F35" s="433">
        <v>32</v>
      </c>
      <c r="G35" s="438" t="s">
        <v>1152</v>
      </c>
      <c r="H35" s="438" t="s">
        <v>2127</v>
      </c>
      <c r="I35" s="32" t="s">
        <v>64</v>
      </c>
      <c r="J35" s="31" t="s">
        <v>64</v>
      </c>
    </row>
    <row r="36" spans="1:10" ht="16.5">
      <c r="A36" s="433">
        <v>33</v>
      </c>
      <c r="B36" s="442" t="s">
        <v>2934</v>
      </c>
      <c r="C36" s="435" t="s">
        <v>64</v>
      </c>
      <c r="D36" s="436" t="s">
        <v>64</v>
      </c>
      <c r="E36" s="437" t="s">
        <v>2865</v>
      </c>
      <c r="F36" s="433">
        <v>33</v>
      </c>
      <c r="G36" s="438" t="s">
        <v>1158</v>
      </c>
      <c r="H36" s="438" t="s">
        <v>2935</v>
      </c>
      <c r="I36" s="32" t="s">
        <v>64</v>
      </c>
      <c r="J36" s="31" t="s">
        <v>64</v>
      </c>
    </row>
    <row r="37" spans="1:10" ht="16.5">
      <c r="A37" s="433">
        <v>34</v>
      </c>
      <c r="B37" s="442" t="s">
        <v>2936</v>
      </c>
      <c r="C37" s="435" t="s">
        <v>64</v>
      </c>
      <c r="D37" s="436" t="s">
        <v>64</v>
      </c>
      <c r="E37" s="437" t="s">
        <v>2865</v>
      </c>
      <c r="F37" s="433">
        <v>34</v>
      </c>
      <c r="G37" s="438" t="s">
        <v>1162</v>
      </c>
      <c r="H37" s="438" t="s">
        <v>2937</v>
      </c>
      <c r="I37" s="32" t="s">
        <v>64</v>
      </c>
      <c r="J37" s="31" t="s">
        <v>64</v>
      </c>
    </row>
    <row r="38" spans="1:10" ht="16.5">
      <c r="A38" s="433">
        <v>35</v>
      </c>
      <c r="B38" s="442" t="s">
        <v>2938</v>
      </c>
      <c r="C38" s="435" t="s">
        <v>64</v>
      </c>
      <c r="D38" s="436" t="s">
        <v>64</v>
      </c>
      <c r="E38" s="437" t="s">
        <v>2865</v>
      </c>
      <c r="F38" s="433">
        <v>35</v>
      </c>
      <c r="G38" s="438" t="s">
        <v>1166</v>
      </c>
      <c r="H38" s="438" t="s">
        <v>2939</v>
      </c>
      <c r="I38" s="32" t="s">
        <v>64</v>
      </c>
      <c r="J38" s="31" t="s">
        <v>64</v>
      </c>
    </row>
    <row r="39" spans="1:10" ht="16.5">
      <c r="A39" s="433">
        <v>36</v>
      </c>
      <c r="B39" s="442" t="s">
        <v>2940</v>
      </c>
      <c r="C39" s="435" t="s">
        <v>64</v>
      </c>
      <c r="D39" s="436" t="s">
        <v>64</v>
      </c>
      <c r="E39" s="437" t="s">
        <v>2865</v>
      </c>
      <c r="F39" s="433">
        <v>36</v>
      </c>
      <c r="G39" s="438" t="s">
        <v>1172</v>
      </c>
      <c r="H39" s="438" t="s">
        <v>2941</v>
      </c>
      <c r="I39" s="32" t="s">
        <v>64</v>
      </c>
      <c r="J39" s="31" t="s">
        <v>64</v>
      </c>
    </row>
    <row r="40" spans="1:10" ht="16.5">
      <c r="A40" s="433">
        <v>37</v>
      </c>
      <c r="B40" s="442" t="s">
        <v>91</v>
      </c>
      <c r="C40" s="435" t="s">
        <v>64</v>
      </c>
      <c r="D40" s="436" t="s">
        <v>64</v>
      </c>
      <c r="E40" s="437" t="s">
        <v>2865</v>
      </c>
      <c r="F40" s="433">
        <v>37</v>
      </c>
      <c r="G40" s="438" t="s">
        <v>1179</v>
      </c>
      <c r="H40" s="438" t="s">
        <v>2942</v>
      </c>
      <c r="I40" s="32" t="s">
        <v>64</v>
      </c>
      <c r="J40" s="31" t="s">
        <v>64</v>
      </c>
    </row>
    <row r="41" spans="1:10" ht="16.5">
      <c r="A41" s="433">
        <v>38</v>
      </c>
      <c r="B41" s="442" t="s">
        <v>110</v>
      </c>
      <c r="C41" s="435" t="s">
        <v>64</v>
      </c>
      <c r="D41" s="436" t="s">
        <v>64</v>
      </c>
      <c r="E41" s="437" t="s">
        <v>2865</v>
      </c>
      <c r="F41" s="433">
        <v>38</v>
      </c>
      <c r="G41" s="438" t="s">
        <v>1183</v>
      </c>
      <c r="H41" s="438" t="s">
        <v>2943</v>
      </c>
      <c r="I41" s="32" t="s">
        <v>64</v>
      </c>
      <c r="J41" s="31" t="s">
        <v>64</v>
      </c>
    </row>
    <row r="42" spans="1:10" ht="16.5">
      <c r="A42" s="433">
        <v>39</v>
      </c>
      <c r="B42" s="442" t="s">
        <v>251</v>
      </c>
      <c r="C42" s="435" t="s">
        <v>64</v>
      </c>
      <c r="D42" s="436" t="s">
        <v>64</v>
      </c>
      <c r="E42" s="437" t="s">
        <v>2865</v>
      </c>
      <c r="F42" s="433">
        <v>39</v>
      </c>
      <c r="G42" s="438" t="s">
        <v>2944</v>
      </c>
      <c r="H42" s="438" t="s">
        <v>2945</v>
      </c>
      <c r="I42" s="32" t="s">
        <v>64</v>
      </c>
      <c r="J42" s="31" t="s">
        <v>64</v>
      </c>
    </row>
    <row r="43" spans="1:10" ht="16.5">
      <c r="A43" s="433">
        <v>40</v>
      </c>
      <c r="B43" s="442" t="s">
        <v>2946</v>
      </c>
      <c r="C43" s="435" t="s">
        <v>64</v>
      </c>
      <c r="D43" s="436" t="s">
        <v>64</v>
      </c>
      <c r="E43" s="437" t="s">
        <v>2865</v>
      </c>
      <c r="F43" s="433">
        <v>40</v>
      </c>
      <c r="G43" s="438" t="s">
        <v>2947</v>
      </c>
      <c r="H43" s="438" t="s">
        <v>2948</v>
      </c>
      <c r="I43" s="32" t="s">
        <v>64</v>
      </c>
      <c r="J43" s="31" t="s">
        <v>64</v>
      </c>
    </row>
    <row r="44" spans="1:10" ht="16.5">
      <c r="A44" s="433">
        <v>41</v>
      </c>
      <c r="B44" s="442" t="s">
        <v>2949</v>
      </c>
      <c r="C44" s="435" t="s">
        <v>64</v>
      </c>
      <c r="D44" s="436" t="s">
        <v>64</v>
      </c>
      <c r="E44" s="437" t="s">
        <v>2865</v>
      </c>
      <c r="F44" s="433">
        <v>41</v>
      </c>
      <c r="G44" s="438" t="s">
        <v>2950</v>
      </c>
      <c r="H44" s="428" t="s">
        <v>2951</v>
      </c>
      <c r="I44" s="32" t="s">
        <v>64</v>
      </c>
      <c r="J44" s="31" t="s">
        <v>64</v>
      </c>
    </row>
    <row r="45" spans="1:10" ht="16.5">
      <c r="A45" s="433">
        <v>42</v>
      </c>
      <c r="B45" s="442" t="s">
        <v>544</v>
      </c>
      <c r="C45" s="435" t="s">
        <v>64</v>
      </c>
      <c r="D45" s="436" t="s">
        <v>64</v>
      </c>
      <c r="E45" s="437" t="s">
        <v>2865</v>
      </c>
      <c r="F45" s="433">
        <v>42</v>
      </c>
      <c r="G45" s="438" t="s">
        <v>2952</v>
      </c>
      <c r="H45" s="443" t="s">
        <v>1692</v>
      </c>
      <c r="I45" s="32" t="s">
        <v>64</v>
      </c>
      <c r="J45" s="31" t="s">
        <v>64</v>
      </c>
    </row>
    <row r="46" spans="1:10" ht="16.5">
      <c r="A46" s="433">
        <v>43</v>
      </c>
      <c r="B46" s="442" t="s">
        <v>547</v>
      </c>
      <c r="C46" s="435" t="s">
        <v>64</v>
      </c>
      <c r="D46" s="436" t="s">
        <v>64</v>
      </c>
      <c r="E46" s="437" t="s">
        <v>2865</v>
      </c>
      <c r="F46" s="433">
        <v>43</v>
      </c>
      <c r="G46" s="438" t="s">
        <v>2953</v>
      </c>
      <c r="H46" s="438" t="s">
        <v>2954</v>
      </c>
      <c r="I46" s="32" t="s">
        <v>64</v>
      </c>
      <c r="J46" s="31" t="s">
        <v>64</v>
      </c>
    </row>
    <row r="47" spans="1:10" ht="16.5">
      <c r="A47" s="433">
        <v>44</v>
      </c>
      <c r="B47" s="442" t="s">
        <v>567</v>
      </c>
      <c r="C47" s="435" t="s">
        <v>64</v>
      </c>
      <c r="D47" s="436" t="s">
        <v>64</v>
      </c>
      <c r="E47" s="437" t="s">
        <v>2865</v>
      </c>
      <c r="F47" s="433">
        <v>44</v>
      </c>
      <c r="G47" s="438" t="s">
        <v>1212</v>
      </c>
      <c r="H47" s="438" t="s">
        <v>2955</v>
      </c>
      <c r="I47" s="32" t="s">
        <v>64</v>
      </c>
      <c r="J47" s="31" t="s">
        <v>64</v>
      </c>
    </row>
    <row r="48" spans="1:10" ht="16.5">
      <c r="A48" s="433">
        <v>45</v>
      </c>
      <c r="B48" s="442" t="s">
        <v>550</v>
      </c>
      <c r="C48" s="435" t="s">
        <v>64</v>
      </c>
      <c r="D48" s="436" t="s">
        <v>64</v>
      </c>
      <c r="E48" s="437" t="s">
        <v>2865</v>
      </c>
      <c r="F48" s="433">
        <v>45</v>
      </c>
      <c r="G48" s="438" t="s">
        <v>1216</v>
      </c>
      <c r="H48" s="444" t="s">
        <v>2956</v>
      </c>
      <c r="I48" s="32" t="s">
        <v>64</v>
      </c>
      <c r="J48" s="31" t="s">
        <v>64</v>
      </c>
    </row>
    <row r="49" spans="1:10" ht="16.5">
      <c r="A49" s="433">
        <v>46</v>
      </c>
      <c r="B49" s="442" t="s">
        <v>2957</v>
      </c>
      <c r="C49" s="435" t="s">
        <v>64</v>
      </c>
      <c r="D49" s="436" t="s">
        <v>64</v>
      </c>
      <c r="E49" s="437" t="s">
        <v>2865</v>
      </c>
      <c r="F49" s="433">
        <v>46</v>
      </c>
      <c r="G49" s="438" t="s">
        <v>1224</v>
      </c>
      <c r="H49" s="438" t="s">
        <v>2114</v>
      </c>
      <c r="I49" s="32" t="s">
        <v>64</v>
      </c>
      <c r="J49" s="31" t="s">
        <v>64</v>
      </c>
    </row>
    <row r="50" spans="1:10" ht="16.5">
      <c r="A50" s="433">
        <v>47</v>
      </c>
      <c r="B50" s="442" t="s">
        <v>2958</v>
      </c>
      <c r="C50" s="435" t="s">
        <v>64</v>
      </c>
      <c r="D50" s="436" t="s">
        <v>64</v>
      </c>
      <c r="E50" s="437" t="s">
        <v>2865</v>
      </c>
      <c r="F50" s="433">
        <v>47</v>
      </c>
      <c r="G50" s="438" t="s">
        <v>1229</v>
      </c>
      <c r="H50" s="438" t="s">
        <v>2959</v>
      </c>
      <c r="I50" s="32" t="s">
        <v>64</v>
      </c>
      <c r="J50" s="31" t="s">
        <v>64</v>
      </c>
    </row>
    <row r="51" spans="1:10" ht="16.5">
      <c r="A51" s="433">
        <v>48</v>
      </c>
      <c r="B51" s="442" t="s">
        <v>2960</v>
      </c>
      <c r="C51" s="435" t="s">
        <v>64</v>
      </c>
      <c r="D51" s="436" t="s">
        <v>64</v>
      </c>
      <c r="E51" s="437" t="s">
        <v>2865</v>
      </c>
      <c r="F51" s="433">
        <v>48</v>
      </c>
      <c r="G51" s="438" t="s">
        <v>2961</v>
      </c>
      <c r="H51" s="438" t="s">
        <v>2962</v>
      </c>
      <c r="I51" s="32" t="s">
        <v>64</v>
      </c>
      <c r="J51" s="31" t="s">
        <v>64</v>
      </c>
    </row>
    <row r="52" spans="1:10" ht="16.5">
      <c r="A52" s="433">
        <v>49</v>
      </c>
      <c r="B52" s="442" t="s">
        <v>2963</v>
      </c>
      <c r="C52" s="435" t="s">
        <v>64</v>
      </c>
      <c r="D52" s="436" t="s">
        <v>64</v>
      </c>
      <c r="E52" s="437" t="s">
        <v>2865</v>
      </c>
      <c r="F52" s="433">
        <v>49</v>
      </c>
      <c r="G52" s="438" t="s">
        <v>1241</v>
      </c>
      <c r="H52" s="438" t="s">
        <v>2964</v>
      </c>
      <c r="I52" s="32" t="s">
        <v>64</v>
      </c>
      <c r="J52" s="31" t="s">
        <v>64</v>
      </c>
    </row>
    <row r="53" spans="1:10" ht="16.5">
      <c r="A53" s="433">
        <v>50</v>
      </c>
      <c r="B53" s="442" t="s">
        <v>2965</v>
      </c>
      <c r="C53" s="435" t="s">
        <v>64</v>
      </c>
      <c r="D53" s="436" t="s">
        <v>64</v>
      </c>
      <c r="E53" s="437" t="s">
        <v>2865</v>
      </c>
      <c r="F53" s="433">
        <v>50</v>
      </c>
      <c r="G53" s="438" t="s">
        <v>2966</v>
      </c>
      <c r="H53" s="438" t="s">
        <v>2967</v>
      </c>
      <c r="I53" s="32" t="s">
        <v>64</v>
      </c>
      <c r="J53" s="31" t="s">
        <v>64</v>
      </c>
    </row>
    <row r="54" spans="1:10" ht="16.5">
      <c r="A54" s="433">
        <v>51</v>
      </c>
      <c r="B54" s="442" t="s">
        <v>583</v>
      </c>
      <c r="C54" s="435" t="s">
        <v>64</v>
      </c>
      <c r="D54" s="436" t="s">
        <v>64</v>
      </c>
      <c r="E54" s="437" t="s">
        <v>2865</v>
      </c>
      <c r="F54" s="433">
        <v>51</v>
      </c>
      <c r="G54" s="438" t="s">
        <v>2968</v>
      </c>
      <c r="H54" s="438" t="s">
        <v>2969</v>
      </c>
      <c r="I54" s="32" t="s">
        <v>64</v>
      </c>
      <c r="J54" s="31" t="s">
        <v>64</v>
      </c>
    </row>
    <row r="55" spans="1:10" ht="16.5">
      <c r="A55" s="433">
        <v>52</v>
      </c>
      <c r="B55" s="442" t="s">
        <v>587</v>
      </c>
      <c r="C55" s="435" t="s">
        <v>64</v>
      </c>
      <c r="D55" s="436" t="s">
        <v>64</v>
      </c>
      <c r="E55" s="437" t="s">
        <v>2865</v>
      </c>
      <c r="F55" s="433">
        <v>52</v>
      </c>
      <c r="G55" s="438" t="s">
        <v>1364</v>
      </c>
      <c r="H55" s="438" t="s">
        <v>2970</v>
      </c>
      <c r="I55" s="32" t="s">
        <v>64</v>
      </c>
      <c r="J55" s="31" t="s">
        <v>64</v>
      </c>
    </row>
    <row r="56" spans="1:10" ht="16.5">
      <c r="A56" s="433">
        <v>53</v>
      </c>
      <c r="B56" s="442" t="s">
        <v>590</v>
      </c>
      <c r="C56" s="435" t="s">
        <v>64</v>
      </c>
      <c r="D56" s="436" t="s">
        <v>64</v>
      </c>
      <c r="E56" s="437" t="s">
        <v>2865</v>
      </c>
      <c r="F56" s="433">
        <v>53</v>
      </c>
      <c r="G56" s="438" t="s">
        <v>1263</v>
      </c>
      <c r="H56" s="438" t="s">
        <v>2971</v>
      </c>
      <c r="I56" s="32" t="s">
        <v>64</v>
      </c>
      <c r="J56" s="31" t="s">
        <v>64</v>
      </c>
    </row>
    <row r="57" spans="1:10" ht="16.5">
      <c r="A57" s="433">
        <v>54</v>
      </c>
      <c r="B57" s="442" t="s">
        <v>595</v>
      </c>
      <c r="C57" s="435" t="s">
        <v>64</v>
      </c>
      <c r="D57" s="436" t="s">
        <v>64</v>
      </c>
      <c r="E57" s="437" t="s">
        <v>2865</v>
      </c>
      <c r="F57" s="433">
        <v>54</v>
      </c>
      <c r="G57" s="438" t="s">
        <v>1267</v>
      </c>
      <c r="H57" s="438" t="s">
        <v>2972</v>
      </c>
      <c r="I57" s="32" t="s">
        <v>64</v>
      </c>
      <c r="J57" s="31" t="s">
        <v>64</v>
      </c>
    </row>
    <row r="58" spans="1:10" ht="16.5">
      <c r="A58" s="433">
        <v>55</v>
      </c>
      <c r="B58" s="442" t="s">
        <v>597</v>
      </c>
      <c r="C58" s="435" t="s">
        <v>64</v>
      </c>
      <c r="D58" s="436" t="s">
        <v>64</v>
      </c>
      <c r="E58" s="437" t="s">
        <v>2865</v>
      </c>
      <c r="F58" s="433">
        <v>55</v>
      </c>
      <c r="G58" s="438" t="s">
        <v>1271</v>
      </c>
      <c r="H58" s="438" t="s">
        <v>2973</v>
      </c>
      <c r="I58" s="32" t="s">
        <v>64</v>
      </c>
      <c r="J58" s="31" t="s">
        <v>64</v>
      </c>
    </row>
    <row r="59" spans="1:10" ht="16.5">
      <c r="A59" s="433">
        <v>56</v>
      </c>
      <c r="B59" s="442" t="s">
        <v>601</v>
      </c>
      <c r="C59" s="435" t="s">
        <v>64</v>
      </c>
      <c r="D59" s="436" t="s">
        <v>64</v>
      </c>
      <c r="E59" s="437" t="s">
        <v>2865</v>
      </c>
      <c r="F59" s="433">
        <v>56</v>
      </c>
      <c r="G59" s="438" t="s">
        <v>1275</v>
      </c>
      <c r="H59" s="438" t="s">
        <v>2974</v>
      </c>
      <c r="I59" s="32" t="s">
        <v>64</v>
      </c>
      <c r="J59" s="31" t="s">
        <v>64</v>
      </c>
    </row>
    <row r="60" spans="1:10" ht="16.5">
      <c r="A60" s="433">
        <v>57</v>
      </c>
      <c r="B60" s="442" t="s">
        <v>605</v>
      </c>
      <c r="C60" s="435" t="s">
        <v>64</v>
      </c>
      <c r="D60" s="436" t="s">
        <v>64</v>
      </c>
      <c r="E60" s="437" t="s">
        <v>2865</v>
      </c>
      <c r="F60" s="433">
        <v>57</v>
      </c>
      <c r="G60" s="438" t="s">
        <v>1279</v>
      </c>
      <c r="H60" s="438" t="s">
        <v>2975</v>
      </c>
      <c r="I60" s="32" t="s">
        <v>64</v>
      </c>
      <c r="J60" s="31" t="s">
        <v>64</v>
      </c>
    </row>
    <row r="61" spans="1:10" ht="16.5">
      <c r="A61" s="433">
        <v>58</v>
      </c>
      <c r="B61" s="442" t="s">
        <v>615</v>
      </c>
      <c r="C61" s="435" t="s">
        <v>64</v>
      </c>
      <c r="D61" s="436" t="s">
        <v>64</v>
      </c>
      <c r="E61" s="437" t="s">
        <v>2865</v>
      </c>
      <c r="F61" s="433">
        <v>58</v>
      </c>
      <c r="G61" s="438" t="s">
        <v>1283</v>
      </c>
      <c r="H61" s="438" t="s">
        <v>2976</v>
      </c>
      <c r="I61" s="32" t="s">
        <v>64</v>
      </c>
      <c r="J61" s="31" t="s">
        <v>64</v>
      </c>
    </row>
    <row r="62" spans="1:10" ht="16.5">
      <c r="A62" s="433">
        <v>59</v>
      </c>
      <c r="B62" s="442" t="s">
        <v>849</v>
      </c>
      <c r="C62" s="435" t="s">
        <v>64</v>
      </c>
      <c r="D62" s="436" t="s">
        <v>64</v>
      </c>
      <c r="E62" s="437" t="s">
        <v>2865</v>
      </c>
      <c r="F62" s="433">
        <v>59</v>
      </c>
      <c r="G62" s="438" t="s">
        <v>2977</v>
      </c>
      <c r="H62" s="438" t="s">
        <v>2978</v>
      </c>
      <c r="I62" s="32" t="s">
        <v>64</v>
      </c>
      <c r="J62" s="31" t="s">
        <v>64</v>
      </c>
    </row>
    <row r="63" spans="1:10" ht="16.5">
      <c r="A63" s="433">
        <v>60</v>
      </c>
      <c r="B63" s="442" t="s">
        <v>618</v>
      </c>
      <c r="C63" s="435" t="s">
        <v>64</v>
      </c>
      <c r="D63" s="436" t="s">
        <v>64</v>
      </c>
      <c r="E63" s="437" t="s">
        <v>2865</v>
      </c>
      <c r="F63" s="433">
        <v>60</v>
      </c>
      <c r="G63" s="438" t="s">
        <v>1295</v>
      </c>
      <c r="H63" s="438" t="s">
        <v>2979</v>
      </c>
      <c r="I63" s="32" t="s">
        <v>64</v>
      </c>
      <c r="J63" s="31" t="s">
        <v>64</v>
      </c>
    </row>
    <row r="64" spans="1:10" ht="16.5">
      <c r="A64" s="433">
        <v>61</v>
      </c>
      <c r="B64" s="442" t="s">
        <v>2980</v>
      </c>
      <c r="C64" s="435" t="s">
        <v>64</v>
      </c>
      <c r="D64" s="436" t="s">
        <v>64</v>
      </c>
      <c r="E64" s="437" t="s">
        <v>2865</v>
      </c>
      <c r="F64" s="433">
        <v>61</v>
      </c>
      <c r="G64" s="438" t="s">
        <v>1299</v>
      </c>
      <c r="H64" s="438" t="s">
        <v>2981</v>
      </c>
      <c r="I64" s="32" t="s">
        <v>64</v>
      </c>
      <c r="J64" s="31" t="s">
        <v>64</v>
      </c>
    </row>
    <row r="65" spans="1:10" ht="16.5">
      <c r="A65" s="433">
        <v>62</v>
      </c>
      <c r="B65" s="442" t="s">
        <v>2982</v>
      </c>
      <c r="C65" s="435" t="s">
        <v>64</v>
      </c>
      <c r="D65" s="436" t="s">
        <v>64</v>
      </c>
      <c r="E65" s="437" t="s">
        <v>2865</v>
      </c>
      <c r="F65" s="433">
        <v>62</v>
      </c>
      <c r="G65" s="438" t="s">
        <v>1303</v>
      </c>
      <c r="H65" s="438" t="s">
        <v>2983</v>
      </c>
      <c r="I65" s="32" t="s">
        <v>64</v>
      </c>
      <c r="J65" s="31" t="s">
        <v>64</v>
      </c>
    </row>
    <row r="66" spans="1:10" ht="16.5">
      <c r="A66" s="433">
        <v>63</v>
      </c>
      <c r="B66" s="442" t="s">
        <v>2984</v>
      </c>
      <c r="C66" s="435" t="s">
        <v>64</v>
      </c>
      <c r="D66" s="436" t="s">
        <v>64</v>
      </c>
      <c r="E66" s="437" t="s">
        <v>2865</v>
      </c>
      <c r="F66" s="433">
        <v>63</v>
      </c>
      <c r="G66" s="438" t="s">
        <v>1308</v>
      </c>
      <c r="H66" s="438" t="s">
        <v>2985</v>
      </c>
      <c r="I66" s="32" t="s">
        <v>64</v>
      </c>
      <c r="J66" s="31" t="s">
        <v>64</v>
      </c>
    </row>
    <row r="67" spans="1:10" ht="16.5">
      <c r="A67" s="433">
        <v>64</v>
      </c>
      <c r="B67" s="442" t="s">
        <v>2986</v>
      </c>
      <c r="C67" s="435" t="s">
        <v>64</v>
      </c>
      <c r="D67" s="436" t="s">
        <v>64</v>
      </c>
      <c r="E67" s="437" t="s">
        <v>2865</v>
      </c>
      <c r="F67" s="433">
        <v>64</v>
      </c>
      <c r="G67" s="438" t="s">
        <v>1312</v>
      </c>
      <c r="H67" s="438" t="s">
        <v>2987</v>
      </c>
      <c r="I67" s="32" t="s">
        <v>64</v>
      </c>
      <c r="J67" s="31" t="s">
        <v>64</v>
      </c>
    </row>
    <row r="68" spans="1:10" ht="16.5">
      <c r="A68" s="433">
        <v>65</v>
      </c>
      <c r="B68" s="442" t="s">
        <v>2988</v>
      </c>
      <c r="C68" s="435" t="s">
        <v>64</v>
      </c>
      <c r="D68" s="436" t="s">
        <v>64</v>
      </c>
      <c r="E68" s="437" t="s">
        <v>2865</v>
      </c>
      <c r="F68" s="433">
        <v>65</v>
      </c>
      <c r="G68" s="438" t="s">
        <v>1318</v>
      </c>
      <c r="H68" s="438" t="s">
        <v>2989</v>
      </c>
      <c r="I68" s="32" t="s">
        <v>64</v>
      </c>
      <c r="J68" s="31" t="s">
        <v>64</v>
      </c>
    </row>
    <row r="69" spans="1:10" ht="16.5">
      <c r="A69" s="433">
        <v>66</v>
      </c>
      <c r="B69" s="442" t="s">
        <v>609</v>
      </c>
      <c r="C69" s="435" t="s">
        <v>64</v>
      </c>
      <c r="D69" s="436" t="s">
        <v>64</v>
      </c>
      <c r="E69" s="437" t="s">
        <v>2865</v>
      </c>
      <c r="F69" s="433">
        <v>66</v>
      </c>
      <c r="G69" s="438" t="s">
        <v>1322</v>
      </c>
      <c r="H69" s="438" t="s">
        <v>2990</v>
      </c>
      <c r="I69" s="32" t="s">
        <v>64</v>
      </c>
      <c r="J69" s="31" t="s">
        <v>64</v>
      </c>
    </row>
    <row r="70" spans="1:10" ht="16.5">
      <c r="A70" s="445" t="s">
        <v>2865</v>
      </c>
      <c r="B70" s="446" t="s">
        <v>2865</v>
      </c>
      <c r="C70" s="446" t="s">
        <v>2865</v>
      </c>
      <c r="D70" s="447" t="s">
        <v>2865</v>
      </c>
      <c r="E70" s="437" t="s">
        <v>2865</v>
      </c>
      <c r="F70" s="433">
        <v>67</v>
      </c>
      <c r="G70" s="438" t="s">
        <v>1326</v>
      </c>
      <c r="H70" s="438" t="s">
        <v>2991</v>
      </c>
      <c r="I70" s="32" t="s">
        <v>64</v>
      </c>
      <c r="J70" s="31" t="s">
        <v>64</v>
      </c>
    </row>
    <row r="71" spans="1:10" ht="16.5">
      <c r="A71" s="448" t="s">
        <v>2865</v>
      </c>
      <c r="B71" s="437" t="s">
        <v>2992</v>
      </c>
      <c r="C71" s="449" t="s">
        <v>2865</v>
      </c>
      <c r="D71" s="450" t="s">
        <v>2865</v>
      </c>
      <c r="E71" s="451" t="s">
        <v>2865</v>
      </c>
      <c r="F71" s="438">
        <v>68</v>
      </c>
      <c r="G71" s="438" t="s">
        <v>1330</v>
      </c>
      <c r="H71" s="438" t="s">
        <v>2993</v>
      </c>
      <c r="I71" s="32" t="s">
        <v>64</v>
      </c>
      <c r="J71" s="31" t="s">
        <v>64</v>
      </c>
    </row>
    <row r="72" spans="1:10" ht="16.5">
      <c r="A72" s="452">
        <v>67</v>
      </c>
      <c r="B72" s="442" t="s">
        <v>2994</v>
      </c>
      <c r="C72" s="435" t="s">
        <v>64</v>
      </c>
      <c r="D72" s="436" t="s">
        <v>64</v>
      </c>
      <c r="E72" s="450" t="s">
        <v>2865</v>
      </c>
      <c r="F72" s="438">
        <v>69</v>
      </c>
      <c r="G72" s="438" t="s">
        <v>1336</v>
      </c>
      <c r="H72" s="438" t="s">
        <v>2995</v>
      </c>
      <c r="I72" s="32" t="s">
        <v>64</v>
      </c>
      <c r="J72" s="31" t="s">
        <v>64</v>
      </c>
    </row>
    <row r="73" spans="1:10" ht="16.5">
      <c r="A73" s="433">
        <v>68</v>
      </c>
      <c r="B73" s="442" t="s">
        <v>539</v>
      </c>
      <c r="C73" s="435" t="s">
        <v>64</v>
      </c>
      <c r="D73" s="436" t="s">
        <v>64</v>
      </c>
      <c r="E73" s="437" t="s">
        <v>2865</v>
      </c>
      <c r="F73" s="433">
        <v>70</v>
      </c>
      <c r="G73" s="438" t="s">
        <v>1340</v>
      </c>
      <c r="H73" s="438" t="s">
        <v>2996</v>
      </c>
      <c r="I73" s="32" t="s">
        <v>64</v>
      </c>
      <c r="J73" s="31" t="s">
        <v>64</v>
      </c>
    </row>
    <row r="74" spans="1:10" ht="16.5">
      <c r="A74" s="433">
        <v>69</v>
      </c>
      <c r="B74" s="442" t="s">
        <v>482</v>
      </c>
      <c r="C74" s="435" t="s">
        <v>64</v>
      </c>
      <c r="D74" s="436" t="s">
        <v>64</v>
      </c>
      <c r="E74" s="437" t="s">
        <v>2865</v>
      </c>
      <c r="F74" s="433">
        <v>71</v>
      </c>
      <c r="G74" s="438" t="s">
        <v>1344</v>
      </c>
      <c r="H74" s="438" t="s">
        <v>2061</v>
      </c>
      <c r="I74" s="32" t="s">
        <v>64</v>
      </c>
      <c r="J74" s="31" t="s">
        <v>64</v>
      </c>
    </row>
    <row r="75" spans="1:10" ht="16.5">
      <c r="A75" s="433">
        <v>70</v>
      </c>
      <c r="B75" s="442" t="s">
        <v>494</v>
      </c>
      <c r="C75" s="435" t="s">
        <v>64</v>
      </c>
      <c r="D75" s="436" t="s">
        <v>64</v>
      </c>
      <c r="E75" s="437" t="s">
        <v>2865</v>
      </c>
      <c r="F75" s="433">
        <v>72</v>
      </c>
      <c r="G75" s="438" t="s">
        <v>1349</v>
      </c>
      <c r="H75" s="438" t="s">
        <v>1704</v>
      </c>
      <c r="I75" s="32" t="s">
        <v>64</v>
      </c>
      <c r="J75" s="31" t="s">
        <v>64</v>
      </c>
    </row>
    <row r="76" spans="1:10" ht="16.5">
      <c r="A76" s="433">
        <v>71</v>
      </c>
      <c r="B76" s="453" t="s">
        <v>499</v>
      </c>
      <c r="C76" s="436" t="s">
        <v>64</v>
      </c>
      <c r="D76" s="436" t="s">
        <v>64</v>
      </c>
      <c r="E76" s="437" t="s">
        <v>2865</v>
      </c>
      <c r="F76" s="433">
        <v>73</v>
      </c>
      <c r="G76" s="438" t="s">
        <v>1353</v>
      </c>
      <c r="H76" s="438" t="s">
        <v>2997</v>
      </c>
      <c r="I76" s="32" t="s">
        <v>64</v>
      </c>
      <c r="J76" s="31" t="s">
        <v>64</v>
      </c>
    </row>
    <row r="77" spans="1:10" ht="16.5">
      <c r="A77" s="454" t="s">
        <v>2865</v>
      </c>
      <c r="B77" s="449" t="s">
        <v>2998</v>
      </c>
      <c r="C77" s="449" t="s">
        <v>2865</v>
      </c>
      <c r="D77" s="452" t="s">
        <v>2865</v>
      </c>
      <c r="E77" s="437" t="s">
        <v>2865</v>
      </c>
      <c r="F77" s="433">
        <v>74</v>
      </c>
      <c r="G77" s="438" t="s">
        <v>1357</v>
      </c>
      <c r="H77" s="438" t="s">
        <v>1964</v>
      </c>
      <c r="I77" s="32" t="s">
        <v>64</v>
      </c>
      <c r="J77" s="31" t="s">
        <v>64</v>
      </c>
    </row>
    <row r="78" spans="1:10" ht="16.5">
      <c r="A78" s="433">
        <v>72</v>
      </c>
      <c r="B78" s="442" t="s">
        <v>632</v>
      </c>
      <c r="C78" s="435" t="s">
        <v>64</v>
      </c>
      <c r="D78" s="436" t="s">
        <v>64</v>
      </c>
      <c r="E78" s="455" t="s">
        <v>2865</v>
      </c>
      <c r="F78" s="438">
        <v>75</v>
      </c>
      <c r="G78" s="438" t="s">
        <v>1258</v>
      </c>
      <c r="H78" s="438" t="s">
        <v>2999</v>
      </c>
      <c r="I78" s="32" t="s">
        <v>64</v>
      </c>
      <c r="J78" s="31" t="s">
        <v>64</v>
      </c>
    </row>
    <row r="79" spans="1:10" ht="16.5">
      <c r="A79" s="433">
        <v>73</v>
      </c>
      <c r="B79" s="442" t="s">
        <v>646</v>
      </c>
      <c r="C79" s="435" t="s">
        <v>64</v>
      </c>
      <c r="D79" s="436" t="s">
        <v>64</v>
      </c>
      <c r="E79" s="437" t="s">
        <v>2865</v>
      </c>
      <c r="F79" s="433">
        <v>76</v>
      </c>
      <c r="G79" s="438" t="s">
        <v>1370</v>
      </c>
      <c r="H79" s="438" t="s">
        <v>2138</v>
      </c>
      <c r="I79" s="32" t="s">
        <v>64</v>
      </c>
      <c r="J79" s="31" t="s">
        <v>64</v>
      </c>
    </row>
    <row r="80" spans="1:10" ht="16.5">
      <c r="A80" s="433">
        <v>74</v>
      </c>
      <c r="B80" s="442" t="s">
        <v>651</v>
      </c>
      <c r="C80" s="435" t="s">
        <v>64</v>
      </c>
      <c r="D80" s="436" t="s">
        <v>64</v>
      </c>
      <c r="E80" s="437" t="s">
        <v>2865</v>
      </c>
      <c r="F80" s="433">
        <v>77</v>
      </c>
      <c r="G80" s="438" t="s">
        <v>1375</v>
      </c>
      <c r="H80" s="428" t="s">
        <v>2033</v>
      </c>
      <c r="I80" s="32" t="s">
        <v>64</v>
      </c>
      <c r="J80" s="31" t="s">
        <v>64</v>
      </c>
    </row>
    <row r="81" spans="1:10" ht="16.5">
      <c r="A81" s="433">
        <v>75</v>
      </c>
      <c r="B81" s="442" t="s">
        <v>659</v>
      </c>
      <c r="C81" s="435" t="s">
        <v>64</v>
      </c>
      <c r="D81" s="436" t="s">
        <v>64</v>
      </c>
      <c r="E81" s="437" t="s">
        <v>2865</v>
      </c>
      <c r="F81" s="433">
        <v>78</v>
      </c>
      <c r="G81" s="438" t="s">
        <v>1388</v>
      </c>
      <c r="H81" s="438" t="s">
        <v>3000</v>
      </c>
      <c r="I81" s="32" t="s">
        <v>64</v>
      </c>
      <c r="J81" s="31" t="s">
        <v>64</v>
      </c>
    </row>
    <row r="82" spans="1:10" ht="16.5">
      <c r="A82" s="433">
        <v>76</v>
      </c>
      <c r="B82" s="442" t="s">
        <v>909</v>
      </c>
      <c r="C82" s="435" t="s">
        <v>64</v>
      </c>
      <c r="D82" s="436" t="s">
        <v>64</v>
      </c>
      <c r="E82" s="437" t="s">
        <v>2865</v>
      </c>
      <c r="F82" s="433">
        <v>79</v>
      </c>
      <c r="G82" s="438" t="s">
        <v>1380</v>
      </c>
      <c r="H82" s="438" t="s">
        <v>1733</v>
      </c>
      <c r="I82" s="32" t="s">
        <v>64</v>
      </c>
      <c r="J82" s="31" t="s">
        <v>64</v>
      </c>
    </row>
    <row r="83" spans="1:10" ht="16.5">
      <c r="A83" s="454" t="s">
        <v>2865</v>
      </c>
      <c r="B83" s="449" t="s">
        <v>1841</v>
      </c>
      <c r="C83" s="449" t="s">
        <v>2865</v>
      </c>
      <c r="D83" s="452" t="s">
        <v>2865</v>
      </c>
      <c r="E83" s="437" t="s">
        <v>2865</v>
      </c>
      <c r="F83" s="433">
        <v>80</v>
      </c>
      <c r="G83" s="438" t="s">
        <v>1394</v>
      </c>
      <c r="H83" s="438" t="s">
        <v>1716</v>
      </c>
      <c r="I83" s="32" t="s">
        <v>64</v>
      </c>
      <c r="J83" s="31" t="s">
        <v>64</v>
      </c>
    </row>
    <row r="84" spans="1:10" ht="16.5">
      <c r="A84" s="433">
        <v>77</v>
      </c>
      <c r="B84" s="33" t="s">
        <v>2739</v>
      </c>
      <c r="C84" s="456" t="s">
        <v>64</v>
      </c>
      <c r="D84" s="457" t="s">
        <v>64</v>
      </c>
      <c r="E84" s="455" t="s">
        <v>2865</v>
      </c>
      <c r="F84" s="438">
        <v>81</v>
      </c>
      <c r="G84" s="438" t="s">
        <v>1399</v>
      </c>
      <c r="H84" s="438" t="s">
        <v>1721</v>
      </c>
      <c r="I84" s="32" t="s">
        <v>64</v>
      </c>
      <c r="J84" s="31" t="s">
        <v>64</v>
      </c>
    </row>
    <row r="85" spans="1:10" ht="16.5">
      <c r="A85" s="433">
        <v>78</v>
      </c>
      <c r="B85" s="33" t="s">
        <v>2744</v>
      </c>
      <c r="C85" s="456" t="s">
        <v>64</v>
      </c>
      <c r="D85" s="457" t="s">
        <v>64</v>
      </c>
      <c r="E85" s="437" t="s">
        <v>2865</v>
      </c>
      <c r="F85" s="433">
        <v>82</v>
      </c>
      <c r="G85" s="438" t="s">
        <v>1404</v>
      </c>
      <c r="H85" s="438" t="s">
        <v>2106</v>
      </c>
      <c r="I85" s="32" t="s">
        <v>64</v>
      </c>
      <c r="J85" s="31" t="s">
        <v>64</v>
      </c>
    </row>
    <row r="86" spans="1:10" ht="16.5">
      <c r="A86" s="433">
        <v>79</v>
      </c>
      <c r="B86" s="33" t="s">
        <v>2746</v>
      </c>
      <c r="C86" s="456" t="s">
        <v>64</v>
      </c>
      <c r="D86" s="457" t="s">
        <v>64</v>
      </c>
      <c r="E86" s="437" t="s">
        <v>2865</v>
      </c>
      <c r="F86" s="433">
        <v>83</v>
      </c>
      <c r="G86" s="438" t="s">
        <v>1409</v>
      </c>
      <c r="H86" s="438" t="s">
        <v>2043</v>
      </c>
      <c r="I86" s="32" t="s">
        <v>64</v>
      </c>
      <c r="J86" s="31" t="s">
        <v>64</v>
      </c>
    </row>
    <row r="87" spans="1:10" ht="16.5">
      <c r="A87" s="458">
        <v>80</v>
      </c>
      <c r="B87" s="35" t="s">
        <v>2748</v>
      </c>
      <c r="C87" s="459" t="s">
        <v>64</v>
      </c>
      <c r="D87" s="460" t="s">
        <v>64</v>
      </c>
      <c r="E87" s="437" t="s">
        <v>2865</v>
      </c>
      <c r="F87" s="433">
        <v>84</v>
      </c>
      <c r="G87" s="438" t="s">
        <v>1414</v>
      </c>
      <c r="H87" s="438" t="s">
        <v>3001</v>
      </c>
      <c r="I87" s="32" t="s">
        <v>64</v>
      </c>
      <c r="J87" s="31" t="s">
        <v>64</v>
      </c>
    </row>
    <row r="88" spans="1:10" ht="16.5">
      <c r="A88" s="27">
        <v>81</v>
      </c>
      <c r="B88" s="126" t="s">
        <v>2750</v>
      </c>
      <c r="C88" s="27" t="s">
        <v>64</v>
      </c>
      <c r="D88" s="27" t="s">
        <v>64</v>
      </c>
      <c r="E88" s="449" t="s">
        <v>2865</v>
      </c>
      <c r="F88" s="433">
        <v>85</v>
      </c>
      <c r="G88" s="438" t="s">
        <v>3002</v>
      </c>
      <c r="H88" s="438" t="s">
        <v>1973</v>
      </c>
      <c r="I88" s="32" t="s">
        <v>64</v>
      </c>
      <c r="J88" s="31" t="s">
        <v>64</v>
      </c>
    </row>
    <row r="89" spans="1:10" ht="16.5">
      <c r="A89" s="27">
        <v>82</v>
      </c>
      <c r="B89" s="27"/>
      <c r="C89" s="27" t="s">
        <v>2865</v>
      </c>
      <c r="D89" s="27" t="s">
        <v>2865</v>
      </c>
      <c r="E89" s="449" t="s">
        <v>2865</v>
      </c>
      <c r="F89" s="433">
        <v>86</v>
      </c>
      <c r="G89" s="438" t="s">
        <v>3003</v>
      </c>
      <c r="H89" s="438" t="s">
        <v>1987</v>
      </c>
      <c r="I89" s="32" t="s">
        <v>64</v>
      </c>
      <c r="J89" s="31" t="s">
        <v>64</v>
      </c>
    </row>
    <row r="90" spans="1:10" ht="16.5">
      <c r="A90" s="27">
        <v>83</v>
      </c>
      <c r="B90" s="27"/>
      <c r="C90" s="27"/>
      <c r="D90" s="27"/>
      <c r="E90" s="451" t="s">
        <v>2865</v>
      </c>
      <c r="F90" s="438">
        <v>87</v>
      </c>
      <c r="G90" s="438" t="s">
        <v>1429</v>
      </c>
      <c r="H90" s="438" t="s">
        <v>3004</v>
      </c>
      <c r="I90" s="32" t="s">
        <v>64</v>
      </c>
      <c r="J90" s="31" t="s">
        <v>64</v>
      </c>
    </row>
    <row r="91" spans="1:10" ht="16.5">
      <c r="A91" s="27">
        <v>84</v>
      </c>
      <c r="B91" s="27" t="s">
        <v>2865</v>
      </c>
      <c r="C91" s="27" t="s">
        <v>2865</v>
      </c>
      <c r="D91" s="27" t="s">
        <v>2865</v>
      </c>
      <c r="E91" s="450" t="s">
        <v>2865</v>
      </c>
      <c r="F91" s="438">
        <v>88</v>
      </c>
      <c r="G91" s="438" t="s">
        <v>1433</v>
      </c>
      <c r="H91" s="438" t="s">
        <v>3005</v>
      </c>
      <c r="I91" s="32" t="s">
        <v>64</v>
      </c>
      <c r="J91" s="31" t="s">
        <v>64</v>
      </c>
    </row>
    <row r="92" spans="1:10" ht="16.5">
      <c r="A92" s="27">
        <v>85</v>
      </c>
      <c r="B92" s="27" t="s">
        <v>2865</v>
      </c>
      <c r="C92" s="27" t="s">
        <v>2865</v>
      </c>
      <c r="D92" s="27" t="s">
        <v>2865</v>
      </c>
      <c r="E92" s="450" t="s">
        <v>2865</v>
      </c>
      <c r="F92" s="438">
        <v>89</v>
      </c>
      <c r="G92" s="438" t="s">
        <v>1439</v>
      </c>
      <c r="H92" s="438" t="s">
        <v>3006</v>
      </c>
      <c r="I92" s="32" t="s">
        <v>64</v>
      </c>
      <c r="J92" s="31" t="s">
        <v>64</v>
      </c>
    </row>
    <row r="93" spans="1:10" ht="16.5">
      <c r="A93" s="27" t="s">
        <v>2865</v>
      </c>
      <c r="B93" s="27" t="s">
        <v>2865</v>
      </c>
      <c r="C93" s="27" t="s">
        <v>2865</v>
      </c>
      <c r="D93" s="27" t="s">
        <v>2865</v>
      </c>
      <c r="E93" s="461" t="s">
        <v>2865</v>
      </c>
      <c r="F93" s="438">
        <v>90</v>
      </c>
      <c r="G93" s="438" t="s">
        <v>3007</v>
      </c>
      <c r="H93" s="438" t="s">
        <v>3008</v>
      </c>
      <c r="I93" s="32" t="s">
        <v>64</v>
      </c>
      <c r="J93" s="31" t="s">
        <v>64</v>
      </c>
    </row>
    <row r="94" spans="1:10" ht="16.5">
      <c r="A94" s="27" t="s">
        <v>2865</v>
      </c>
      <c r="B94" s="27" t="s">
        <v>2865</v>
      </c>
      <c r="C94" s="27" t="s">
        <v>2865</v>
      </c>
      <c r="D94" s="27" t="s">
        <v>2865</v>
      </c>
      <c r="E94" s="462" t="s">
        <v>2865</v>
      </c>
      <c r="F94" s="438">
        <v>91</v>
      </c>
      <c r="G94" s="438" t="s">
        <v>1445</v>
      </c>
      <c r="H94" s="438" t="s">
        <v>3009</v>
      </c>
      <c r="I94" s="32" t="s">
        <v>64</v>
      </c>
      <c r="J94" s="31" t="s">
        <v>64</v>
      </c>
    </row>
    <row r="95" spans="1:10" ht="17.25">
      <c r="A95" s="463" t="s">
        <v>3010</v>
      </c>
      <c r="B95" s="463">
        <v>81</v>
      </c>
      <c r="C95" s="463"/>
      <c r="D95" s="464" t="s">
        <v>2865</v>
      </c>
      <c r="E95" s="465" t="s">
        <v>2865</v>
      </c>
      <c r="F95" s="442">
        <v>92</v>
      </c>
      <c r="G95" s="438" t="s">
        <v>3011</v>
      </c>
      <c r="H95" s="34" t="s">
        <v>3012</v>
      </c>
      <c r="I95" s="32" t="s">
        <v>64</v>
      </c>
      <c r="J95" s="31" t="s">
        <v>64</v>
      </c>
    </row>
    <row r="96" spans="1:10" ht="15">
      <c r="A96" s="459"/>
      <c r="B96" s="459"/>
      <c r="C96" s="459"/>
      <c r="D96" s="466" t="s">
        <v>2865</v>
      </c>
      <c r="E96" s="466" t="s">
        <v>2865</v>
      </c>
      <c r="F96" s="466">
        <v>94</v>
      </c>
      <c r="G96" s="466" t="s">
        <v>2865</v>
      </c>
      <c r="H96" s="459"/>
      <c r="I96" s="459"/>
      <c r="J96" s="459"/>
    </row>
    <row r="97" spans="1:10" ht="15">
      <c r="A97" s="459"/>
      <c r="B97" s="459"/>
      <c r="C97" s="459"/>
      <c r="D97" s="466" t="s">
        <v>2865</v>
      </c>
      <c r="E97" s="466" t="s">
        <v>2865</v>
      </c>
      <c r="F97" s="466" t="s">
        <v>2865</v>
      </c>
      <c r="G97" s="466" t="s">
        <v>2865</v>
      </c>
      <c r="H97" s="459"/>
      <c r="I97" s="459"/>
      <c r="J97" s="459"/>
    </row>
    <row r="98" spans="1:10" ht="15">
      <c r="A98" s="459"/>
      <c r="B98" s="459"/>
      <c r="C98" s="459"/>
      <c r="D98" s="466" t="s">
        <v>2865</v>
      </c>
      <c r="E98" s="466" t="s">
        <v>2865</v>
      </c>
      <c r="F98" s="466" t="s">
        <v>2865</v>
      </c>
      <c r="G98" s="466" t="s">
        <v>2865</v>
      </c>
      <c r="H98" s="459"/>
      <c r="I98" s="459"/>
      <c r="J98" s="459"/>
    </row>
    <row r="99" spans="1:10" ht="15">
      <c r="A99" s="459"/>
      <c r="B99" s="459"/>
      <c r="C99" s="459"/>
      <c r="D99" s="466" t="s">
        <v>2865</v>
      </c>
      <c r="E99" s="466" t="s">
        <v>2865</v>
      </c>
      <c r="F99" s="466" t="s">
        <v>2865</v>
      </c>
      <c r="G99" s="466" t="s">
        <v>2865</v>
      </c>
      <c r="H99" s="459"/>
      <c r="I99" s="459"/>
      <c r="J99" s="459"/>
    </row>
    <row r="100" spans="1:10" ht="15">
      <c r="A100" s="459"/>
      <c r="B100" s="459"/>
      <c r="C100" s="459"/>
      <c r="D100" s="466" t="s">
        <v>2865</v>
      </c>
      <c r="E100" s="466" t="s">
        <v>2865</v>
      </c>
      <c r="F100" s="466" t="s">
        <v>2865</v>
      </c>
      <c r="G100" s="466" t="s">
        <v>2865</v>
      </c>
      <c r="H100" s="459"/>
      <c r="I100" s="459"/>
      <c r="J100" s="459"/>
    </row>
    <row r="101" spans="1:10" ht="15">
      <c r="A101" s="459"/>
      <c r="B101" s="459"/>
      <c r="C101" s="459"/>
      <c r="D101" s="466" t="s">
        <v>2865</v>
      </c>
      <c r="E101" s="466" t="s">
        <v>2865</v>
      </c>
      <c r="F101" s="466" t="s">
        <v>2865</v>
      </c>
      <c r="G101" s="466" t="s">
        <v>2865</v>
      </c>
      <c r="H101" s="459"/>
      <c r="I101" s="459"/>
      <c r="J101" s="459"/>
    </row>
    <row r="102" spans="1:10" ht="15">
      <c r="A102" s="459"/>
      <c r="B102" s="459"/>
      <c r="C102" s="459"/>
      <c r="D102" s="466" t="s">
        <v>2865</v>
      </c>
      <c r="E102" s="466" t="s">
        <v>2865</v>
      </c>
      <c r="F102" s="466" t="s">
        <v>2865</v>
      </c>
      <c r="G102" s="466" t="s">
        <v>2865</v>
      </c>
      <c r="H102" s="459"/>
      <c r="I102" s="459"/>
      <c r="J102" s="459"/>
    </row>
    <row r="103" spans="1:10" ht="15">
      <c r="A103" s="459"/>
      <c r="B103" s="459"/>
      <c r="C103" s="459"/>
      <c r="D103" s="466" t="s">
        <v>2865</v>
      </c>
      <c r="E103" s="466" t="s">
        <v>2865</v>
      </c>
      <c r="F103" s="466" t="s">
        <v>2865</v>
      </c>
      <c r="G103" s="466" t="s">
        <v>2865</v>
      </c>
      <c r="H103" s="459"/>
      <c r="I103" s="459"/>
      <c r="J103" s="459"/>
    </row>
    <row r="104" spans="1:10" ht="15">
      <c r="A104" s="459"/>
      <c r="B104" s="459"/>
      <c r="C104" s="459"/>
      <c r="D104" s="466" t="s">
        <v>2865</v>
      </c>
      <c r="E104" s="466" t="s">
        <v>2865</v>
      </c>
      <c r="F104" s="466" t="s">
        <v>2865</v>
      </c>
      <c r="G104" s="466" t="s">
        <v>2865</v>
      </c>
      <c r="H104" s="459"/>
      <c r="I104" s="459"/>
      <c r="J104" s="459"/>
    </row>
    <row r="105" spans="1:10" ht="15">
      <c r="A105" s="459"/>
      <c r="B105" s="459"/>
      <c r="C105" s="459"/>
      <c r="D105" s="466" t="s">
        <v>2865</v>
      </c>
      <c r="E105" s="466" t="s">
        <v>2865</v>
      </c>
      <c r="F105" s="466" t="s">
        <v>2865</v>
      </c>
      <c r="G105" s="466" t="s">
        <v>2865</v>
      </c>
      <c r="H105" s="459"/>
      <c r="I105" s="459"/>
      <c r="J105" s="459"/>
    </row>
    <row r="106" spans="1:10" ht="15">
      <c r="A106" s="459"/>
      <c r="B106" s="459"/>
      <c r="C106" s="459"/>
      <c r="D106" s="466" t="s">
        <v>2865</v>
      </c>
      <c r="E106" s="466" t="s">
        <v>2865</v>
      </c>
      <c r="F106" s="466" t="s">
        <v>2865</v>
      </c>
      <c r="G106" s="466" t="s">
        <v>2865</v>
      </c>
      <c r="H106" s="459"/>
      <c r="I106" s="459"/>
      <c r="J106" s="459"/>
    </row>
    <row r="107" spans="1:10" ht="15">
      <c r="A107" s="459"/>
      <c r="B107" s="459"/>
      <c r="C107" s="459"/>
      <c r="D107" s="466" t="s">
        <v>2865</v>
      </c>
      <c r="E107" s="466" t="s">
        <v>2865</v>
      </c>
      <c r="F107" s="466" t="s">
        <v>2865</v>
      </c>
      <c r="G107" s="466" t="s">
        <v>2865</v>
      </c>
      <c r="H107" s="459"/>
      <c r="I107" s="459"/>
      <c r="J107" s="459"/>
    </row>
    <row r="108" spans="1:10" ht="15">
      <c r="A108" s="459"/>
      <c r="B108" s="459"/>
      <c r="C108" s="459"/>
      <c r="D108" s="466" t="s">
        <v>2865</v>
      </c>
      <c r="E108" s="466" t="s">
        <v>2865</v>
      </c>
      <c r="F108" s="466" t="s">
        <v>2865</v>
      </c>
      <c r="G108" s="466" t="s">
        <v>2865</v>
      </c>
      <c r="H108" s="459"/>
      <c r="I108" s="459"/>
      <c r="J108" s="459"/>
    </row>
    <row r="109" spans="1:10" ht="15">
      <c r="A109" s="459"/>
      <c r="B109" s="459"/>
      <c r="C109" s="459"/>
      <c r="D109" s="466" t="s">
        <v>2865</v>
      </c>
      <c r="E109" s="466" t="s">
        <v>2865</v>
      </c>
      <c r="F109" s="466" t="s">
        <v>2865</v>
      </c>
      <c r="G109" s="466" t="s">
        <v>2865</v>
      </c>
      <c r="H109" s="459"/>
      <c r="I109" s="459"/>
      <c r="J109" s="459"/>
    </row>
    <row r="110" spans="1:10" ht="15">
      <c r="A110" s="459"/>
      <c r="B110" s="459"/>
      <c r="C110" s="459"/>
      <c r="D110" s="466" t="s">
        <v>2865</v>
      </c>
      <c r="E110" s="466" t="s">
        <v>2865</v>
      </c>
      <c r="F110" s="466" t="s">
        <v>2865</v>
      </c>
      <c r="G110" s="466" t="s">
        <v>2865</v>
      </c>
      <c r="H110" s="459"/>
      <c r="I110" s="459"/>
      <c r="J110" s="459"/>
    </row>
    <row r="111" spans="1:10" ht="15">
      <c r="A111" s="459"/>
      <c r="B111" s="459"/>
      <c r="C111" s="459"/>
      <c r="D111" s="466" t="s">
        <v>2865</v>
      </c>
      <c r="E111" s="466" t="s">
        <v>2865</v>
      </c>
      <c r="F111" s="466" t="s">
        <v>2865</v>
      </c>
      <c r="G111" s="466" t="s">
        <v>2865</v>
      </c>
      <c r="H111" s="459"/>
      <c r="I111" s="459"/>
      <c r="J111" s="459"/>
    </row>
    <row r="112" spans="1:10" ht="15">
      <c r="A112" s="459"/>
      <c r="B112" s="459"/>
      <c r="C112" s="459"/>
      <c r="D112" s="466" t="s">
        <v>2865</v>
      </c>
      <c r="E112" s="466" t="s">
        <v>2865</v>
      </c>
      <c r="F112" s="466" t="s">
        <v>2865</v>
      </c>
      <c r="G112" s="466" t="s">
        <v>2865</v>
      </c>
      <c r="H112" s="459"/>
      <c r="I112" s="459"/>
      <c r="J112" s="459"/>
    </row>
    <row r="113" spans="1:10" ht="15">
      <c r="A113" s="459"/>
      <c r="B113" s="459"/>
      <c r="C113" s="459"/>
      <c r="D113" s="466" t="s">
        <v>2865</v>
      </c>
      <c r="E113" s="466" t="s">
        <v>2865</v>
      </c>
      <c r="F113" s="466" t="s">
        <v>2865</v>
      </c>
      <c r="G113" s="466" t="s">
        <v>2865</v>
      </c>
      <c r="H113" s="459"/>
      <c r="I113" s="459"/>
      <c r="J113" s="459"/>
    </row>
    <row r="114" spans="1:10" ht="15">
      <c r="A114" s="459"/>
      <c r="B114" s="459"/>
      <c r="C114" s="459"/>
      <c r="D114" s="466" t="s">
        <v>2865</v>
      </c>
      <c r="E114" s="466" t="s">
        <v>2865</v>
      </c>
      <c r="F114" s="466" t="s">
        <v>2865</v>
      </c>
      <c r="G114" s="466" t="s">
        <v>2865</v>
      </c>
      <c r="H114" s="459"/>
      <c r="I114" s="459"/>
      <c r="J114" s="459"/>
    </row>
    <row r="115" spans="1:10" ht="15">
      <c r="A115" s="459"/>
      <c r="B115" s="459"/>
      <c r="C115" s="459"/>
      <c r="D115" s="466" t="s">
        <v>2865</v>
      </c>
      <c r="E115" s="466" t="s">
        <v>2865</v>
      </c>
      <c r="F115" s="466" t="s">
        <v>2865</v>
      </c>
      <c r="G115" s="466" t="s">
        <v>2865</v>
      </c>
      <c r="H115" s="459"/>
      <c r="I115" s="459"/>
      <c r="J115" s="459"/>
    </row>
    <row r="116" spans="1:10" ht="15">
      <c r="A116" s="459"/>
      <c r="B116" s="459"/>
      <c r="C116" s="459"/>
      <c r="D116" s="466" t="s">
        <v>2865</v>
      </c>
      <c r="E116" s="466" t="s">
        <v>2865</v>
      </c>
      <c r="F116" s="466" t="s">
        <v>2865</v>
      </c>
      <c r="G116" s="466" t="s">
        <v>2865</v>
      </c>
      <c r="H116" s="459"/>
      <c r="I116" s="459"/>
      <c r="J116" s="459"/>
    </row>
    <row r="117" spans="1:10" ht="15">
      <c r="A117" s="459"/>
      <c r="B117" s="459"/>
      <c r="C117" s="459"/>
      <c r="D117" s="466" t="s">
        <v>2865</v>
      </c>
      <c r="E117" s="466" t="s">
        <v>2865</v>
      </c>
      <c r="F117" s="466" t="s">
        <v>2865</v>
      </c>
      <c r="G117" s="466" t="s">
        <v>2865</v>
      </c>
      <c r="H117" s="459"/>
      <c r="I117" s="459"/>
      <c r="J117" s="459"/>
    </row>
    <row r="118" spans="1:10" ht="15">
      <c r="A118" s="459"/>
      <c r="B118" s="459"/>
      <c r="C118" s="459"/>
      <c r="D118" s="466" t="s">
        <v>2865</v>
      </c>
      <c r="E118" s="466" t="s">
        <v>2865</v>
      </c>
      <c r="F118" s="466" t="s">
        <v>2865</v>
      </c>
      <c r="G118" s="466" t="s">
        <v>2865</v>
      </c>
      <c r="H118" s="459"/>
      <c r="I118" s="459"/>
      <c r="J118" s="459"/>
    </row>
    <row r="119" spans="1:10" ht="15">
      <c r="A119" s="459"/>
      <c r="B119" s="459"/>
      <c r="C119" s="459"/>
      <c r="D119" s="466" t="s">
        <v>2865</v>
      </c>
      <c r="E119" s="466" t="s">
        <v>2865</v>
      </c>
      <c r="F119" s="466" t="s">
        <v>2865</v>
      </c>
      <c r="G119" s="466" t="s">
        <v>2865</v>
      </c>
      <c r="H119" s="459"/>
      <c r="I119" s="459"/>
      <c r="J119" s="459"/>
    </row>
    <row r="120" spans="1:10" ht="15">
      <c r="A120" s="459"/>
      <c r="B120" s="459"/>
      <c r="C120" s="459"/>
      <c r="D120" s="466" t="s">
        <v>2865</v>
      </c>
      <c r="E120" s="466" t="s">
        <v>2865</v>
      </c>
      <c r="F120" s="466" t="s">
        <v>2865</v>
      </c>
      <c r="G120" s="466" t="s">
        <v>2865</v>
      </c>
      <c r="H120" s="459"/>
      <c r="I120" s="459"/>
      <c r="J120" s="459"/>
    </row>
    <row r="121" spans="1:10" ht="15">
      <c r="A121" s="459"/>
      <c r="B121" s="459"/>
      <c r="C121" s="459"/>
      <c r="D121" s="466" t="s">
        <v>2865</v>
      </c>
      <c r="E121" s="466" t="s">
        <v>2865</v>
      </c>
      <c r="F121" s="466" t="s">
        <v>2865</v>
      </c>
      <c r="G121" s="466" t="s">
        <v>2865</v>
      </c>
      <c r="H121" s="459"/>
      <c r="I121" s="459"/>
      <c r="J121" s="459"/>
    </row>
    <row r="122" spans="1:10" ht="15">
      <c r="A122" s="459"/>
      <c r="B122" s="459"/>
      <c r="C122" s="459"/>
      <c r="D122" s="466" t="s">
        <v>2865</v>
      </c>
      <c r="E122" s="466" t="s">
        <v>2865</v>
      </c>
      <c r="F122" s="466" t="s">
        <v>2865</v>
      </c>
      <c r="G122" s="466" t="s">
        <v>2865</v>
      </c>
      <c r="H122" s="459"/>
      <c r="I122" s="459"/>
      <c r="J122" s="459"/>
    </row>
    <row r="123" spans="1:10" ht="15">
      <c r="A123" s="459"/>
      <c r="B123" s="459"/>
      <c r="C123" s="459"/>
      <c r="D123" s="466" t="s">
        <v>2865</v>
      </c>
      <c r="E123" s="466" t="s">
        <v>2865</v>
      </c>
      <c r="F123" s="466" t="s">
        <v>2865</v>
      </c>
      <c r="G123" s="466" t="s">
        <v>2865</v>
      </c>
      <c r="H123" s="459"/>
      <c r="I123" s="459"/>
      <c r="J123" s="459"/>
    </row>
    <row r="124" spans="1:10" ht="15">
      <c r="A124" s="459"/>
      <c r="B124" s="459"/>
      <c r="C124" s="459"/>
      <c r="D124" s="466" t="s">
        <v>2865</v>
      </c>
      <c r="E124" s="466" t="s">
        <v>2865</v>
      </c>
      <c r="F124" s="466" t="s">
        <v>2865</v>
      </c>
      <c r="G124" s="466" t="s">
        <v>2865</v>
      </c>
      <c r="H124" s="459"/>
      <c r="I124" s="459"/>
      <c r="J124" s="459"/>
    </row>
    <row r="125" spans="1:10" ht="15">
      <c r="A125" s="459"/>
      <c r="B125" s="459"/>
      <c r="C125" s="459"/>
      <c r="D125" s="466" t="s">
        <v>2865</v>
      </c>
      <c r="E125" s="466" t="s">
        <v>2865</v>
      </c>
      <c r="F125" s="466" t="s">
        <v>2865</v>
      </c>
      <c r="G125" s="466" t="s">
        <v>2865</v>
      </c>
      <c r="H125" s="459"/>
      <c r="I125" s="459"/>
      <c r="J125" s="459"/>
    </row>
    <row r="126" spans="1:10" ht="15">
      <c r="A126" s="459"/>
      <c r="B126" s="459"/>
      <c r="C126" s="459"/>
      <c r="D126" s="466" t="s">
        <v>2865</v>
      </c>
      <c r="E126" s="466" t="s">
        <v>2865</v>
      </c>
      <c r="F126" s="466" t="s">
        <v>2865</v>
      </c>
      <c r="G126" s="466" t="s">
        <v>2865</v>
      </c>
      <c r="H126" s="459"/>
      <c r="I126" s="459"/>
      <c r="J126" s="459"/>
    </row>
    <row r="127" spans="1:10" ht="15">
      <c r="A127" s="459"/>
      <c r="B127" s="459"/>
      <c r="C127" s="459"/>
      <c r="D127" s="466" t="s">
        <v>2865</v>
      </c>
      <c r="E127" s="466" t="s">
        <v>2865</v>
      </c>
      <c r="F127" s="466" t="s">
        <v>2865</v>
      </c>
      <c r="G127" s="466" t="s">
        <v>2865</v>
      </c>
      <c r="H127" s="459"/>
      <c r="I127" s="459"/>
      <c r="J127" s="459"/>
    </row>
    <row r="128" spans="1:10" ht="15">
      <c r="A128" s="459"/>
      <c r="B128" s="459"/>
      <c r="C128" s="459"/>
      <c r="D128" s="466" t="s">
        <v>2865</v>
      </c>
      <c r="E128" s="466" t="s">
        <v>2865</v>
      </c>
      <c r="F128" s="466" t="s">
        <v>2865</v>
      </c>
      <c r="G128" s="466" t="s">
        <v>2865</v>
      </c>
      <c r="H128" s="459"/>
      <c r="I128" s="459"/>
      <c r="J128" s="459"/>
    </row>
    <row r="129" spans="1:10" ht="15">
      <c r="A129" s="459"/>
      <c r="B129" s="459"/>
      <c r="C129" s="459"/>
      <c r="D129" s="466" t="s">
        <v>2865</v>
      </c>
      <c r="E129" s="466" t="s">
        <v>2865</v>
      </c>
      <c r="F129" s="466" t="s">
        <v>2865</v>
      </c>
      <c r="G129" s="466" t="s">
        <v>2865</v>
      </c>
      <c r="H129" s="459"/>
      <c r="I129" s="459"/>
      <c r="J129" s="459"/>
    </row>
    <row r="130" spans="1:10" ht="15">
      <c r="A130" s="459"/>
      <c r="B130" s="459"/>
      <c r="C130" s="459"/>
      <c r="D130" s="466" t="s">
        <v>2865</v>
      </c>
      <c r="E130" s="466" t="s">
        <v>2865</v>
      </c>
      <c r="F130" s="466" t="s">
        <v>2865</v>
      </c>
      <c r="G130" s="466" t="s">
        <v>2865</v>
      </c>
      <c r="H130" s="459"/>
      <c r="I130" s="459"/>
      <c r="J130" s="459"/>
    </row>
    <row r="131" spans="1:10" ht="15">
      <c r="A131" s="459"/>
      <c r="B131" s="459"/>
      <c r="C131" s="459"/>
      <c r="D131" s="466" t="s">
        <v>2865</v>
      </c>
      <c r="E131" s="466" t="s">
        <v>2865</v>
      </c>
      <c r="F131" s="466" t="s">
        <v>2865</v>
      </c>
      <c r="G131" s="466" t="s">
        <v>2865</v>
      </c>
      <c r="H131" s="459"/>
      <c r="I131" s="459"/>
      <c r="J131" s="459"/>
    </row>
    <row r="132" spans="1:10" ht="15">
      <c r="A132" s="459"/>
      <c r="B132" s="459"/>
      <c r="C132" s="459"/>
      <c r="D132" s="466" t="s">
        <v>2865</v>
      </c>
      <c r="E132" s="466" t="s">
        <v>2865</v>
      </c>
      <c r="F132" s="466" t="s">
        <v>2865</v>
      </c>
      <c r="G132" s="466" t="s">
        <v>2865</v>
      </c>
      <c r="H132" s="459"/>
      <c r="I132" s="459"/>
      <c r="J132" s="459"/>
    </row>
    <row r="133" spans="1:10" ht="15">
      <c r="A133" s="459"/>
      <c r="B133" s="459"/>
      <c r="C133" s="459"/>
      <c r="D133" s="466" t="s">
        <v>2865</v>
      </c>
      <c r="E133" s="466" t="s">
        <v>2865</v>
      </c>
      <c r="F133" s="466" t="s">
        <v>2865</v>
      </c>
      <c r="G133" s="466" t="s">
        <v>2865</v>
      </c>
      <c r="H133" s="459"/>
      <c r="I133" s="459"/>
      <c r="J133" s="459"/>
    </row>
    <row r="134" spans="1:10" ht="15">
      <c r="A134" s="459"/>
      <c r="B134" s="459"/>
      <c r="C134" s="459"/>
      <c r="D134" s="466" t="s">
        <v>2865</v>
      </c>
      <c r="E134" s="466" t="s">
        <v>2865</v>
      </c>
      <c r="F134" s="466" t="s">
        <v>2865</v>
      </c>
      <c r="G134" s="466" t="s">
        <v>2865</v>
      </c>
      <c r="H134" s="459"/>
      <c r="I134" s="459"/>
      <c r="J134" s="459"/>
    </row>
    <row r="135" spans="1:10" ht="15">
      <c r="A135" s="459"/>
      <c r="B135" s="459"/>
      <c r="C135" s="459"/>
      <c r="D135" s="466" t="s">
        <v>2865</v>
      </c>
      <c r="E135" s="466" t="s">
        <v>2865</v>
      </c>
      <c r="F135" s="466" t="s">
        <v>2865</v>
      </c>
      <c r="G135" s="466" t="s">
        <v>2865</v>
      </c>
      <c r="H135" s="459"/>
      <c r="I135" s="459"/>
      <c r="J135" s="459"/>
    </row>
    <row r="136" spans="1:10" ht="15">
      <c r="A136" s="459"/>
      <c r="B136" s="459"/>
      <c r="C136" s="459"/>
      <c r="D136" s="466" t="s">
        <v>2865</v>
      </c>
      <c r="E136" s="466" t="s">
        <v>2865</v>
      </c>
      <c r="F136" s="466" t="s">
        <v>2865</v>
      </c>
      <c r="G136" s="466" t="s">
        <v>2865</v>
      </c>
      <c r="H136" s="459"/>
      <c r="I136" s="459"/>
      <c r="J136" s="459"/>
    </row>
    <row r="137" spans="1:10" ht="15">
      <c r="A137" s="459"/>
      <c r="B137" s="459"/>
      <c r="C137" s="459"/>
      <c r="D137" s="466" t="s">
        <v>2865</v>
      </c>
      <c r="E137" s="466" t="s">
        <v>2865</v>
      </c>
      <c r="F137" s="466" t="s">
        <v>2865</v>
      </c>
      <c r="G137" s="466" t="s">
        <v>2865</v>
      </c>
      <c r="H137" s="459"/>
      <c r="I137" s="459"/>
      <c r="J137" s="459"/>
    </row>
    <row r="138" spans="1:10" ht="15">
      <c r="A138" s="459"/>
      <c r="B138" s="459"/>
      <c r="C138" s="459"/>
      <c r="D138" s="466" t="s">
        <v>2865</v>
      </c>
      <c r="E138" s="466" t="s">
        <v>2865</v>
      </c>
      <c r="F138" s="466" t="s">
        <v>2865</v>
      </c>
      <c r="G138" s="466" t="s">
        <v>2865</v>
      </c>
      <c r="H138" s="459"/>
      <c r="I138" s="459"/>
      <c r="J138" s="459"/>
    </row>
    <row r="139" spans="1:10" ht="15">
      <c r="A139" s="459"/>
      <c r="B139" s="467" t="s">
        <v>2865</v>
      </c>
      <c r="C139" s="467" t="s">
        <v>2865</v>
      </c>
      <c r="D139" s="466" t="s">
        <v>2865</v>
      </c>
      <c r="E139" s="466" t="s">
        <v>2865</v>
      </c>
      <c r="F139" s="466" t="s">
        <v>2865</v>
      </c>
      <c r="G139" s="466" t="s">
        <v>2865</v>
      </c>
      <c r="H139" s="459"/>
      <c r="I139" s="459"/>
      <c r="J139" s="459"/>
    </row>
    <row r="140" spans="1:10" ht="15">
      <c r="A140" s="459"/>
      <c r="B140" s="467" t="s">
        <v>2865</v>
      </c>
      <c r="C140" s="467" t="s">
        <v>2865</v>
      </c>
      <c r="D140" s="467" t="s">
        <v>2865</v>
      </c>
      <c r="E140" s="466" t="s">
        <v>2865</v>
      </c>
      <c r="F140" s="467" t="s">
        <v>2865</v>
      </c>
      <c r="G140" s="459"/>
      <c r="H140" s="459"/>
      <c r="I140" s="459"/>
      <c r="J140" s="459"/>
    </row>
    <row r="141" spans="1:10" ht="15">
      <c r="A141" s="459"/>
      <c r="B141" s="467" t="s">
        <v>2865</v>
      </c>
      <c r="C141" s="467" t="s">
        <v>2865</v>
      </c>
      <c r="D141" s="467" t="s">
        <v>2865</v>
      </c>
      <c r="E141" s="466" t="s">
        <v>2865</v>
      </c>
      <c r="F141" s="467" t="s">
        <v>2865</v>
      </c>
      <c r="G141" s="459"/>
      <c r="H141" s="459"/>
      <c r="I141" s="459"/>
      <c r="J141" s="459"/>
    </row>
    <row r="142" spans="1:10" ht="15">
      <c r="A142" s="459"/>
      <c r="B142" s="467" t="s">
        <v>2865</v>
      </c>
      <c r="C142" s="467" t="s">
        <v>2865</v>
      </c>
      <c r="D142" s="467" t="s">
        <v>2865</v>
      </c>
      <c r="E142" s="466" t="s">
        <v>2865</v>
      </c>
      <c r="F142" s="467" t="s">
        <v>2865</v>
      </c>
      <c r="G142" s="459"/>
      <c r="H142" s="459"/>
      <c r="I142" s="459"/>
      <c r="J142" s="459"/>
    </row>
    <row r="143" spans="1:10" ht="15">
      <c r="A143" s="459"/>
      <c r="B143" s="467" t="s">
        <v>2865</v>
      </c>
      <c r="C143" s="467" t="s">
        <v>2865</v>
      </c>
      <c r="D143" s="467" t="s">
        <v>2865</v>
      </c>
      <c r="E143" s="466" t="s">
        <v>2865</v>
      </c>
      <c r="F143" s="467" t="s">
        <v>2865</v>
      </c>
      <c r="G143" s="459"/>
      <c r="H143" s="459"/>
      <c r="I143" s="459"/>
      <c r="J143" s="459"/>
    </row>
  </sheetData>
  <mergeCells count="3">
    <mergeCell ref="A1:J1"/>
    <mergeCell ref="A2:D2"/>
    <mergeCell ref="F2:J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A107-CAF7-40AD-A144-06E8A7039561}">
  <dimension ref="A1:H476"/>
  <sheetViews>
    <sheetView topLeftCell="C3" workbookViewId="0">
      <selection activeCell="C3" sqref="C3"/>
    </sheetView>
  </sheetViews>
  <sheetFormatPr defaultRowHeight="13.5"/>
  <cols>
    <col min="1" max="1" width="33.125" style="23" customWidth="1"/>
    <col min="4" max="4" width="59" customWidth="1"/>
    <col min="5" max="5" width="52.5" customWidth="1"/>
    <col min="6" max="6" width="9.5" customWidth="1"/>
    <col min="8" max="8" width="20.875" style="50" customWidth="1"/>
  </cols>
  <sheetData>
    <row r="1" spans="1:8">
      <c r="A1" s="20" t="s">
        <v>3013</v>
      </c>
      <c r="B1" s="19" t="s">
        <v>3014</v>
      </c>
      <c r="C1" s="19" t="s">
        <v>3015</v>
      </c>
      <c r="D1" s="19" t="s">
        <v>3016</v>
      </c>
      <c r="E1" s="19" t="s">
        <v>3017</v>
      </c>
      <c r="F1" s="19" t="s">
        <v>3018</v>
      </c>
      <c r="H1" s="64" t="s">
        <v>3019</v>
      </c>
    </row>
    <row r="2" spans="1:8" ht="39">
      <c r="A2" s="21" t="s">
        <v>3020</v>
      </c>
      <c r="B2" s="18" t="s">
        <v>3021</v>
      </c>
      <c r="C2" s="18">
        <v>2</v>
      </c>
      <c r="D2" s="18" t="s">
        <v>3022</v>
      </c>
      <c r="E2" s="18" t="s">
        <v>3023</v>
      </c>
      <c r="F2" s="18" t="s">
        <v>3024</v>
      </c>
      <c r="H2" s="7" t="s">
        <v>63</v>
      </c>
    </row>
    <row r="3" spans="1:8" ht="39">
      <c r="A3" s="21" t="s">
        <v>3020</v>
      </c>
      <c r="B3" s="18" t="s">
        <v>3021</v>
      </c>
      <c r="C3" s="18">
        <v>1</v>
      </c>
      <c r="D3" s="18"/>
      <c r="E3" s="18" t="s">
        <v>3025</v>
      </c>
      <c r="F3" s="18"/>
      <c r="H3" s="7" t="s">
        <v>2791</v>
      </c>
    </row>
    <row r="4" spans="1:8" ht="39">
      <c r="A4" s="21" t="s">
        <v>3020</v>
      </c>
      <c r="B4" s="18" t="s">
        <v>3021</v>
      </c>
      <c r="C4" s="18">
        <v>1</v>
      </c>
      <c r="D4" s="18"/>
      <c r="E4" s="18" t="s">
        <v>3026</v>
      </c>
      <c r="F4" s="18"/>
      <c r="H4" s="7" t="s">
        <v>83</v>
      </c>
    </row>
    <row r="5" spans="1:8" ht="39">
      <c r="A5" s="21" t="s">
        <v>3020</v>
      </c>
      <c r="B5" s="18" t="s">
        <v>3021</v>
      </c>
      <c r="C5" s="18">
        <v>5</v>
      </c>
      <c r="D5" s="18"/>
      <c r="E5" s="18" t="s">
        <v>3026</v>
      </c>
      <c r="F5" s="18"/>
      <c r="H5" s="7" t="s">
        <v>148</v>
      </c>
    </row>
    <row r="6" spans="1:8" ht="26.25">
      <c r="A6" s="339" t="s">
        <v>3027</v>
      </c>
      <c r="B6" s="18" t="s">
        <v>3028</v>
      </c>
      <c r="C6" s="18">
        <v>3</v>
      </c>
      <c r="D6" s="18" t="s">
        <v>3029</v>
      </c>
      <c r="E6" s="18" t="s">
        <v>56</v>
      </c>
      <c r="F6" s="18"/>
      <c r="H6" s="7" t="s">
        <v>148</v>
      </c>
    </row>
    <row r="7" spans="1:8" ht="26.25">
      <c r="A7" s="21" t="s">
        <v>3027</v>
      </c>
      <c r="B7" s="18" t="s">
        <v>3028</v>
      </c>
      <c r="C7" s="18">
        <v>2</v>
      </c>
      <c r="D7" s="18" t="s">
        <v>3030</v>
      </c>
      <c r="E7" s="18" t="s">
        <v>1898</v>
      </c>
      <c r="F7" s="18" t="s">
        <v>3024</v>
      </c>
      <c r="H7" s="7" t="s">
        <v>91</v>
      </c>
    </row>
    <row r="8" spans="1:8" ht="26.25">
      <c r="A8" s="322" t="s">
        <v>3027</v>
      </c>
      <c r="B8" s="18" t="s">
        <v>3028</v>
      </c>
      <c r="C8" s="18">
        <v>5</v>
      </c>
      <c r="D8" s="18"/>
      <c r="E8" s="18" t="s">
        <v>3031</v>
      </c>
      <c r="F8" s="18"/>
      <c r="H8" s="7" t="s">
        <v>110</v>
      </c>
    </row>
    <row r="9" spans="1:8">
      <c r="A9" s="22" t="s">
        <v>3032</v>
      </c>
      <c r="B9" s="18" t="s">
        <v>3021</v>
      </c>
      <c r="C9" s="18">
        <v>8</v>
      </c>
      <c r="D9" s="18"/>
      <c r="E9" s="18" t="s">
        <v>3033</v>
      </c>
      <c r="F9" s="18" t="s">
        <v>3024</v>
      </c>
      <c r="H9" s="7" t="s">
        <v>2799</v>
      </c>
    </row>
    <row r="10" spans="1:8" ht="15">
      <c r="A10" s="323"/>
      <c r="B10" s="18"/>
      <c r="C10" s="18"/>
      <c r="D10" s="18"/>
      <c r="E10" s="18"/>
      <c r="F10" s="18"/>
      <c r="H10" s="7" t="s">
        <v>2800</v>
      </c>
    </row>
    <row r="11" spans="1:8">
      <c r="A11" s="22"/>
      <c r="B11" s="18"/>
      <c r="C11" s="18"/>
      <c r="D11" s="18"/>
      <c r="E11" s="18"/>
      <c r="F11" s="18"/>
      <c r="H11" s="7" t="s">
        <v>210</v>
      </c>
    </row>
    <row r="12" spans="1:8">
      <c r="A12" s="22"/>
      <c r="B12" s="18"/>
      <c r="C12" s="18"/>
      <c r="D12" s="18"/>
      <c r="E12" s="18"/>
      <c r="F12" s="18"/>
      <c r="H12" s="7" t="s">
        <v>168</v>
      </c>
    </row>
    <row r="13" spans="1:8">
      <c r="A13" s="22"/>
      <c r="B13" s="18"/>
      <c r="C13" s="18"/>
      <c r="D13" s="18"/>
      <c r="E13" s="18"/>
      <c r="F13" s="18"/>
      <c r="H13" s="7" t="s">
        <v>225</v>
      </c>
    </row>
    <row r="14" spans="1:8">
      <c r="A14" s="22"/>
      <c r="B14" s="18"/>
      <c r="C14" s="18"/>
      <c r="D14" s="18"/>
      <c r="E14" s="18"/>
      <c r="F14" s="18"/>
      <c r="H14" s="7" t="s">
        <v>186</v>
      </c>
    </row>
    <row r="15" spans="1:8">
      <c r="A15" s="22"/>
      <c r="B15" s="18"/>
      <c r="C15" s="18"/>
      <c r="D15" s="18"/>
      <c r="E15" s="18"/>
      <c r="F15" s="18"/>
      <c r="H15" s="7" t="s">
        <v>239</v>
      </c>
    </row>
    <row r="16" spans="1:8">
      <c r="A16" s="22"/>
      <c r="B16" s="18"/>
      <c r="C16" s="18"/>
      <c r="D16" s="18"/>
      <c r="E16" s="18"/>
      <c r="F16" s="18"/>
      <c r="H16" s="7" t="s">
        <v>258</v>
      </c>
    </row>
    <row r="17" spans="1:8">
      <c r="A17" s="22"/>
      <c r="B17" s="18"/>
      <c r="C17" s="18"/>
      <c r="D17" s="18"/>
      <c r="E17" s="18"/>
      <c r="F17" s="18"/>
      <c r="H17" s="7" t="s">
        <v>288</v>
      </c>
    </row>
    <row r="18" spans="1:8">
      <c r="A18" s="22"/>
      <c r="B18" s="18"/>
      <c r="C18" s="18"/>
      <c r="D18" s="18"/>
      <c r="E18" s="18"/>
      <c r="F18" s="18"/>
      <c r="H18" s="7" t="s">
        <v>320</v>
      </c>
    </row>
    <row r="19" spans="1:8">
      <c r="A19" s="22"/>
      <c r="B19" s="18"/>
      <c r="C19" s="18"/>
      <c r="D19" s="18"/>
      <c r="E19" s="18"/>
      <c r="F19" s="18"/>
      <c r="H19" s="7" t="s">
        <v>251</v>
      </c>
    </row>
    <row r="20" spans="1:8">
      <c r="A20" s="22"/>
      <c r="B20" s="18"/>
      <c r="C20" s="18"/>
      <c r="D20" s="18"/>
      <c r="E20" s="18"/>
      <c r="F20" s="18"/>
      <c r="H20" s="7" t="s">
        <v>333</v>
      </c>
    </row>
    <row r="21" spans="1:8">
      <c r="A21" s="22"/>
      <c r="B21" s="18"/>
      <c r="C21" s="18"/>
      <c r="D21" s="18"/>
      <c r="E21" s="18"/>
      <c r="F21" s="18"/>
      <c r="H21" s="7" t="s">
        <v>283</v>
      </c>
    </row>
    <row r="22" spans="1:8">
      <c r="A22" s="22"/>
      <c r="B22" s="18"/>
      <c r="C22" s="18"/>
      <c r="D22" s="18"/>
      <c r="E22" s="18"/>
      <c r="F22" s="18"/>
      <c r="H22" s="7" t="s">
        <v>345</v>
      </c>
    </row>
    <row r="23" spans="1:8">
      <c r="A23" s="22"/>
      <c r="B23" s="18"/>
      <c r="C23" s="18"/>
      <c r="D23" s="18"/>
      <c r="E23" s="18"/>
      <c r="F23" s="18"/>
      <c r="H23" s="7" t="s">
        <v>296</v>
      </c>
    </row>
    <row r="24" spans="1:8">
      <c r="A24" s="22"/>
      <c r="B24" s="18"/>
      <c r="C24" s="18"/>
      <c r="D24" s="18"/>
      <c r="E24" s="18"/>
      <c r="F24" s="18"/>
      <c r="H24" s="7" t="s">
        <v>307</v>
      </c>
    </row>
    <row r="25" spans="1:8">
      <c r="A25" s="22"/>
      <c r="B25" s="18"/>
      <c r="C25" s="18"/>
      <c r="D25" s="18"/>
      <c r="E25" s="18"/>
      <c r="F25" s="18"/>
      <c r="H25" s="7" t="s">
        <v>311</v>
      </c>
    </row>
    <row r="26" spans="1:8">
      <c r="A26" s="22"/>
      <c r="B26" s="18"/>
      <c r="C26" s="18"/>
      <c r="D26" s="18"/>
      <c r="E26" s="18"/>
      <c r="F26" s="18"/>
      <c r="H26" s="7" t="s">
        <v>364</v>
      </c>
    </row>
    <row r="27" spans="1:8">
      <c r="A27" s="22"/>
      <c r="B27" s="18"/>
      <c r="C27" s="18"/>
      <c r="D27" s="18"/>
      <c r="E27" s="18"/>
      <c r="F27" s="18"/>
      <c r="H27" s="7" t="s">
        <v>326</v>
      </c>
    </row>
    <row r="28" spans="1:8">
      <c r="A28" s="22"/>
      <c r="B28" s="18"/>
      <c r="C28" s="18"/>
      <c r="D28" s="18"/>
      <c r="E28" s="18"/>
      <c r="F28" s="18"/>
      <c r="H28" s="7" t="s">
        <v>368</v>
      </c>
    </row>
    <row r="29" spans="1:8">
      <c r="A29" s="22"/>
      <c r="B29" s="18"/>
      <c r="C29" s="18"/>
      <c r="D29" s="18"/>
      <c r="E29" s="18"/>
      <c r="F29" s="18"/>
      <c r="H29" s="7" t="s">
        <v>372</v>
      </c>
    </row>
    <row r="30" spans="1:8">
      <c r="A30" s="22"/>
      <c r="B30" s="18"/>
      <c r="C30" s="18"/>
      <c r="D30" s="18"/>
      <c r="E30" s="18"/>
      <c r="F30" s="18"/>
      <c r="H30" s="7" t="s">
        <v>351</v>
      </c>
    </row>
    <row r="31" spans="1:8">
      <c r="A31" s="22"/>
      <c r="B31" s="18"/>
      <c r="C31" s="18"/>
      <c r="D31" s="18"/>
      <c r="E31" s="18"/>
      <c r="F31" s="18"/>
      <c r="H31" s="7" t="s">
        <v>383</v>
      </c>
    </row>
    <row r="32" spans="1:8">
      <c r="A32" s="22"/>
      <c r="B32" s="18"/>
      <c r="C32" s="18"/>
      <c r="D32" s="18"/>
      <c r="E32" s="18"/>
      <c r="F32" s="18"/>
      <c r="H32" s="7" t="s">
        <v>387</v>
      </c>
    </row>
    <row r="33" spans="1:8">
      <c r="A33" s="22"/>
      <c r="B33" s="18"/>
      <c r="C33" s="18"/>
      <c r="D33" s="18"/>
      <c r="E33" s="18"/>
      <c r="F33" s="18"/>
      <c r="H33" s="7" t="s">
        <v>413</v>
      </c>
    </row>
    <row r="34" spans="1:8">
      <c r="A34" s="22"/>
      <c r="B34" s="18"/>
      <c r="C34" s="18"/>
      <c r="D34" s="18"/>
      <c r="E34" s="18"/>
      <c r="F34" s="18"/>
      <c r="H34" s="7" t="s">
        <v>417</v>
      </c>
    </row>
    <row r="35" spans="1:8">
      <c r="A35" s="22"/>
      <c r="B35" s="18"/>
      <c r="C35" s="18"/>
      <c r="D35" s="18"/>
      <c r="E35" s="18"/>
      <c r="F35" s="18"/>
      <c r="H35" s="7" t="s">
        <v>430</v>
      </c>
    </row>
    <row r="36" spans="1:8">
      <c r="A36" s="22"/>
      <c r="B36" s="18"/>
      <c r="C36" s="18"/>
      <c r="D36" s="18"/>
      <c r="E36" s="18"/>
      <c r="F36" s="18"/>
      <c r="H36" s="7" t="s">
        <v>403</v>
      </c>
    </row>
    <row r="37" spans="1:8">
      <c r="A37" s="22"/>
      <c r="B37" s="18"/>
      <c r="C37" s="18"/>
      <c r="D37" s="18"/>
      <c r="E37" s="18"/>
      <c r="F37" s="18"/>
      <c r="H37" s="7" t="s">
        <v>457</v>
      </c>
    </row>
    <row r="38" spans="1:8">
      <c r="A38" s="22"/>
      <c r="B38" s="18"/>
      <c r="C38" s="18"/>
      <c r="D38" s="18"/>
      <c r="E38" s="18"/>
      <c r="F38" s="18"/>
      <c r="H38" s="7" t="s">
        <v>480</v>
      </c>
    </row>
    <row r="39" spans="1:8">
      <c r="A39" s="22"/>
      <c r="B39" s="18"/>
      <c r="C39" s="18"/>
      <c r="D39" s="18"/>
      <c r="E39" s="18"/>
      <c r="F39" s="18"/>
      <c r="H39" s="7" t="s">
        <v>515</v>
      </c>
    </row>
    <row r="40" spans="1:8">
      <c r="A40" s="22"/>
      <c r="B40" s="18"/>
      <c r="C40" s="18"/>
      <c r="D40" s="18"/>
      <c r="E40" s="18"/>
      <c r="F40" s="18"/>
      <c r="H40" s="7" t="s">
        <v>522</v>
      </c>
    </row>
    <row r="41" spans="1:8">
      <c r="A41" s="22"/>
      <c r="B41" s="18"/>
      <c r="C41" s="18"/>
      <c r="D41" s="18"/>
      <c r="E41" s="18"/>
      <c r="F41" s="18"/>
      <c r="H41" s="7" t="s">
        <v>529</v>
      </c>
    </row>
    <row r="42" spans="1:8">
      <c r="A42" s="22"/>
      <c r="B42" s="18"/>
      <c r="C42" s="18"/>
      <c r="D42" s="18"/>
      <c r="E42" s="18"/>
      <c r="F42" s="18"/>
      <c r="H42" s="3" t="s">
        <v>2835</v>
      </c>
    </row>
    <row r="43" spans="1:8">
      <c r="A43" s="22"/>
      <c r="B43" s="18"/>
      <c r="C43" s="18"/>
      <c r="D43" s="18"/>
      <c r="E43" s="18"/>
      <c r="F43" s="18"/>
      <c r="H43" s="2" t="s">
        <v>474</v>
      </c>
    </row>
    <row r="44" spans="1:8">
      <c r="A44" s="22"/>
      <c r="B44" s="18"/>
      <c r="C44" s="18"/>
      <c r="D44" s="18"/>
      <c r="E44" s="18"/>
      <c r="F44" s="18"/>
      <c r="H44" s="2" t="s">
        <v>539</v>
      </c>
    </row>
    <row r="45" spans="1:8">
      <c r="A45" s="22"/>
      <c r="B45" s="18"/>
      <c r="C45" s="18"/>
      <c r="D45" s="18"/>
      <c r="E45" s="18"/>
      <c r="F45" s="18"/>
      <c r="H45" s="2" t="s">
        <v>487</v>
      </c>
    </row>
    <row r="46" spans="1:8">
      <c r="A46" s="22"/>
      <c r="B46" s="18"/>
      <c r="C46" s="18"/>
      <c r="D46" s="18"/>
      <c r="E46" s="18"/>
      <c r="F46" s="18"/>
      <c r="H46" s="2" t="s">
        <v>494</v>
      </c>
    </row>
    <row r="47" spans="1:8">
      <c r="A47" s="22"/>
      <c r="B47" s="18"/>
      <c r="C47" s="18"/>
      <c r="D47" s="18"/>
      <c r="E47" s="18"/>
      <c r="F47" s="18"/>
      <c r="H47" s="2" t="s">
        <v>499</v>
      </c>
    </row>
    <row r="48" spans="1:8">
      <c r="H48" s="2" t="s">
        <v>907</v>
      </c>
    </row>
    <row r="49" spans="8:8">
      <c r="H49" s="7" t="s">
        <v>504</v>
      </c>
    </row>
    <row r="50" spans="8:8">
      <c r="H50" s="7" t="s">
        <v>510</v>
      </c>
    </row>
    <row r="51" spans="8:8">
      <c r="H51" s="52" t="s">
        <v>544</v>
      </c>
    </row>
    <row r="52" spans="8:8">
      <c r="H52" s="53" t="s">
        <v>547</v>
      </c>
    </row>
    <row r="53" spans="8:8">
      <c r="H53" s="53" t="s">
        <v>550</v>
      </c>
    </row>
    <row r="54" spans="8:8">
      <c r="H54" s="53" t="s">
        <v>567</v>
      </c>
    </row>
    <row r="55" spans="8:8">
      <c r="H55" s="54" t="s">
        <v>533</v>
      </c>
    </row>
    <row r="56" spans="8:8">
      <c r="H56" s="53" t="s">
        <v>572</v>
      </c>
    </row>
    <row r="57" spans="8:8">
      <c r="H57" s="53" t="s">
        <v>583</v>
      </c>
    </row>
    <row r="58" spans="8:8">
      <c r="H58" s="53" t="s">
        <v>587</v>
      </c>
    </row>
    <row r="59" spans="8:8">
      <c r="H59" s="53" t="s">
        <v>590</v>
      </c>
    </row>
    <row r="60" spans="8:8">
      <c r="H60" s="56" t="s">
        <v>595</v>
      </c>
    </row>
    <row r="61" spans="8:8">
      <c r="H61" s="7" t="s">
        <v>597</v>
      </c>
    </row>
    <row r="62" spans="8:8">
      <c r="H62" s="52" t="s">
        <v>601</v>
      </c>
    </row>
    <row r="63" spans="8:8">
      <c r="H63" s="53" t="s">
        <v>605</v>
      </c>
    </row>
    <row r="64" spans="8:8">
      <c r="H64" s="58" t="s">
        <v>609</v>
      </c>
    </row>
    <row r="65" spans="8:8">
      <c r="H65" s="58" t="s">
        <v>615</v>
      </c>
    </row>
    <row r="66" spans="8:8">
      <c r="H66" s="58" t="s">
        <v>618</v>
      </c>
    </row>
    <row r="67" spans="8:8">
      <c r="H67" s="58" t="s">
        <v>621</v>
      </c>
    </row>
    <row r="68" spans="8:8">
      <c r="H68" s="58" t="s">
        <v>624</v>
      </c>
    </row>
    <row r="69" spans="8:8">
      <c r="H69" s="60" t="s">
        <v>627</v>
      </c>
    </row>
    <row r="70" spans="8:8">
      <c r="H70" s="64"/>
    </row>
    <row r="71" spans="8:8">
      <c r="H71" s="64"/>
    </row>
    <row r="72" spans="8:8">
      <c r="H72" s="64"/>
    </row>
    <row r="73" spans="8:8">
      <c r="H73" s="64"/>
    </row>
    <row r="74" spans="8:8">
      <c r="H74" s="64"/>
    </row>
    <row r="75" spans="8:8">
      <c r="H75" s="64"/>
    </row>
    <row r="76" spans="8:8">
      <c r="H76" s="64"/>
    </row>
    <row r="77" spans="8:8">
      <c r="H77" s="64"/>
    </row>
    <row r="78" spans="8:8">
      <c r="H78" s="64"/>
    </row>
    <row r="79" spans="8:8">
      <c r="H79" s="64"/>
    </row>
    <row r="80" spans="8:8">
      <c r="H80" s="64"/>
    </row>
    <row r="81" spans="8:8">
      <c r="H81" s="64"/>
    </row>
    <row r="82" spans="8:8">
      <c r="H82" s="64"/>
    </row>
    <row r="83" spans="8:8">
      <c r="H83" s="64"/>
    </row>
    <row r="84" spans="8:8">
      <c r="H84" s="64"/>
    </row>
    <row r="85" spans="8:8">
      <c r="H85" s="64"/>
    </row>
    <row r="86" spans="8:8">
      <c r="H86" s="64"/>
    </row>
    <row r="87" spans="8:8">
      <c r="H87" s="64"/>
    </row>
    <row r="88" spans="8:8">
      <c r="H88" s="64"/>
    </row>
    <row r="89" spans="8:8">
      <c r="H89" s="64"/>
    </row>
    <row r="90" spans="8:8">
      <c r="H90" s="64"/>
    </row>
    <row r="91" spans="8:8">
      <c r="H91" s="64"/>
    </row>
    <row r="92" spans="8:8">
      <c r="H92" s="64"/>
    </row>
    <row r="93" spans="8:8">
      <c r="H93" s="64"/>
    </row>
    <row r="94" spans="8:8">
      <c r="H94" s="64"/>
    </row>
    <row r="95" spans="8:8">
      <c r="H95" s="64"/>
    </row>
    <row r="96" spans="8:8">
      <c r="H96" s="64"/>
    </row>
    <row r="97" spans="8:8">
      <c r="H97" s="64"/>
    </row>
    <row r="98" spans="8:8">
      <c r="H98" s="64"/>
    </row>
    <row r="99" spans="8:8">
      <c r="H99" s="64"/>
    </row>
    <row r="100" spans="8:8">
      <c r="H100" s="64"/>
    </row>
    <row r="101" spans="8:8">
      <c r="H101" s="64"/>
    </row>
    <row r="102" spans="8:8">
      <c r="H102" s="64"/>
    </row>
    <row r="103" spans="8:8">
      <c r="H103" s="64"/>
    </row>
    <row r="104" spans="8:8">
      <c r="H104" s="64"/>
    </row>
    <row r="105" spans="8:8">
      <c r="H105" s="64"/>
    </row>
    <row r="106" spans="8:8">
      <c r="H106" s="64"/>
    </row>
    <row r="107" spans="8:8">
      <c r="H107" s="64"/>
    </row>
    <row r="108" spans="8:8">
      <c r="H108" s="64"/>
    </row>
    <row r="109" spans="8:8">
      <c r="H109" s="64"/>
    </row>
    <row r="110" spans="8:8">
      <c r="H110" s="64"/>
    </row>
    <row r="111" spans="8:8">
      <c r="H111" s="64"/>
    </row>
    <row r="112" spans="8:8">
      <c r="H112" s="64"/>
    </row>
    <row r="113" spans="8:8">
      <c r="H113" s="64"/>
    </row>
    <row r="114" spans="8:8">
      <c r="H114" s="64"/>
    </row>
    <row r="115" spans="8:8">
      <c r="H115" s="64"/>
    </row>
    <row r="116" spans="8:8">
      <c r="H116" s="64"/>
    </row>
    <row r="117" spans="8:8">
      <c r="H117" s="64"/>
    </row>
    <row r="118" spans="8:8">
      <c r="H118" s="64"/>
    </row>
    <row r="119" spans="8:8">
      <c r="H119" s="64"/>
    </row>
    <row r="120" spans="8:8">
      <c r="H120" s="64"/>
    </row>
    <row r="121" spans="8:8">
      <c r="H121" s="64"/>
    </row>
    <row r="122" spans="8:8">
      <c r="H122" s="64"/>
    </row>
    <row r="123" spans="8:8">
      <c r="H123" s="64"/>
    </row>
    <row r="124" spans="8:8">
      <c r="H124" s="64"/>
    </row>
    <row r="125" spans="8:8">
      <c r="H125" s="64"/>
    </row>
    <row r="126" spans="8:8">
      <c r="H126" s="64"/>
    </row>
    <row r="127" spans="8:8">
      <c r="H127" s="64"/>
    </row>
    <row r="128" spans="8:8">
      <c r="H128" s="64"/>
    </row>
    <row r="129" spans="8:8">
      <c r="H129" s="64"/>
    </row>
    <row r="130" spans="8:8">
      <c r="H130" s="64"/>
    </row>
    <row r="131" spans="8:8">
      <c r="H131" s="64"/>
    </row>
    <row r="132" spans="8:8">
      <c r="H132" s="64"/>
    </row>
    <row r="133" spans="8:8">
      <c r="H133" s="64"/>
    </row>
    <row r="134" spans="8:8">
      <c r="H134" s="64"/>
    </row>
    <row r="135" spans="8:8">
      <c r="H135" s="64"/>
    </row>
    <row r="136" spans="8:8">
      <c r="H136" s="64"/>
    </row>
    <row r="137" spans="8:8">
      <c r="H137" s="64"/>
    </row>
    <row r="138" spans="8:8">
      <c r="H138" s="64"/>
    </row>
    <row r="139" spans="8:8">
      <c r="H139" s="64"/>
    </row>
    <row r="140" spans="8:8">
      <c r="H140" s="64"/>
    </row>
    <row r="141" spans="8:8">
      <c r="H141" s="64"/>
    </row>
    <row r="142" spans="8:8">
      <c r="H142" s="64"/>
    </row>
    <row r="143" spans="8:8">
      <c r="H143" s="64"/>
    </row>
    <row r="144" spans="8:8">
      <c r="H144" s="64"/>
    </row>
    <row r="145" spans="8:8">
      <c r="H145" s="64"/>
    </row>
    <row r="146" spans="8:8">
      <c r="H146" s="64"/>
    </row>
    <row r="147" spans="8:8">
      <c r="H147" s="64"/>
    </row>
    <row r="148" spans="8:8">
      <c r="H148" s="64"/>
    </row>
    <row r="149" spans="8:8">
      <c r="H149" s="64"/>
    </row>
    <row r="150" spans="8:8">
      <c r="H150" s="64"/>
    </row>
    <row r="151" spans="8:8">
      <c r="H151" s="64"/>
    </row>
    <row r="152" spans="8:8">
      <c r="H152" s="64"/>
    </row>
    <row r="153" spans="8:8">
      <c r="H153" s="64"/>
    </row>
    <row r="154" spans="8:8">
      <c r="H154" s="64"/>
    </row>
    <row r="155" spans="8:8">
      <c r="H155" s="64"/>
    </row>
    <row r="156" spans="8:8">
      <c r="H156" s="64"/>
    </row>
    <row r="157" spans="8:8">
      <c r="H157" s="64"/>
    </row>
    <row r="158" spans="8:8">
      <c r="H158" s="64"/>
    </row>
    <row r="159" spans="8:8">
      <c r="H159" s="64"/>
    </row>
    <row r="160" spans="8:8">
      <c r="H160" s="64"/>
    </row>
    <row r="161" spans="8:8">
      <c r="H161" s="64"/>
    </row>
    <row r="162" spans="8:8">
      <c r="H162" s="64"/>
    </row>
    <row r="163" spans="8:8">
      <c r="H163" s="64"/>
    </row>
    <row r="164" spans="8:8">
      <c r="H164" s="64"/>
    </row>
    <row r="165" spans="8:8">
      <c r="H165" s="64"/>
    </row>
    <row r="166" spans="8:8">
      <c r="H166" s="64"/>
    </row>
    <row r="167" spans="8:8">
      <c r="H167" s="64"/>
    </row>
    <row r="168" spans="8:8">
      <c r="H168" s="64"/>
    </row>
    <row r="169" spans="8:8">
      <c r="H169" s="64"/>
    </row>
    <row r="170" spans="8:8">
      <c r="H170" s="64"/>
    </row>
    <row r="171" spans="8:8">
      <c r="H171" s="64"/>
    </row>
    <row r="172" spans="8:8">
      <c r="H172" s="64"/>
    </row>
    <row r="173" spans="8:8">
      <c r="H173" s="64"/>
    </row>
    <row r="174" spans="8:8">
      <c r="H174" s="64"/>
    </row>
    <row r="175" spans="8:8">
      <c r="H175" s="64"/>
    </row>
    <row r="176" spans="8:8">
      <c r="H176" s="64"/>
    </row>
    <row r="177" spans="8:8">
      <c r="H177" s="64"/>
    </row>
    <row r="178" spans="8:8">
      <c r="H178" s="64"/>
    </row>
    <row r="179" spans="8:8">
      <c r="H179" s="64"/>
    </row>
    <row r="180" spans="8:8">
      <c r="H180" s="64"/>
    </row>
    <row r="181" spans="8:8">
      <c r="H181" s="64"/>
    </row>
    <row r="182" spans="8:8">
      <c r="H182" s="64"/>
    </row>
    <row r="183" spans="8:8">
      <c r="H183" s="64"/>
    </row>
    <row r="184" spans="8:8">
      <c r="H184" s="64"/>
    </row>
    <row r="185" spans="8:8">
      <c r="H185" s="64"/>
    </row>
    <row r="186" spans="8:8">
      <c r="H186" s="64"/>
    </row>
    <row r="187" spans="8:8">
      <c r="H187" s="64"/>
    </row>
    <row r="188" spans="8:8">
      <c r="H188" s="64"/>
    </row>
    <row r="189" spans="8:8">
      <c r="H189" s="64"/>
    </row>
    <row r="190" spans="8:8">
      <c r="H190" s="64"/>
    </row>
    <row r="191" spans="8:8">
      <c r="H191" s="64"/>
    </row>
    <row r="192" spans="8:8">
      <c r="H192" s="64"/>
    </row>
    <row r="193" spans="8:8">
      <c r="H193" s="64"/>
    </row>
    <row r="194" spans="8:8">
      <c r="H194" s="64"/>
    </row>
    <row r="195" spans="8:8">
      <c r="H195" s="64"/>
    </row>
    <row r="196" spans="8:8">
      <c r="H196" s="64"/>
    </row>
    <row r="197" spans="8:8">
      <c r="H197" s="64"/>
    </row>
    <row r="198" spans="8:8">
      <c r="H198" s="64"/>
    </row>
    <row r="199" spans="8:8">
      <c r="H199" s="64"/>
    </row>
    <row r="200" spans="8:8">
      <c r="H200" s="64"/>
    </row>
    <row r="201" spans="8:8">
      <c r="H201" s="64"/>
    </row>
    <row r="202" spans="8:8">
      <c r="H202" s="64"/>
    </row>
    <row r="203" spans="8:8">
      <c r="H203" s="64"/>
    </row>
    <row r="204" spans="8:8">
      <c r="H204" s="64"/>
    </row>
    <row r="205" spans="8:8">
      <c r="H205" s="64"/>
    </row>
    <row r="206" spans="8:8">
      <c r="H206" s="64"/>
    </row>
    <row r="207" spans="8:8">
      <c r="H207" s="64"/>
    </row>
    <row r="208" spans="8:8">
      <c r="H208" s="64"/>
    </row>
    <row r="209" spans="8:8">
      <c r="H209" s="64"/>
    </row>
    <row r="210" spans="8:8">
      <c r="H210" s="64"/>
    </row>
    <row r="211" spans="8:8">
      <c r="H211" s="64"/>
    </row>
    <row r="212" spans="8:8">
      <c r="H212" s="64"/>
    </row>
    <row r="213" spans="8:8">
      <c r="H213" s="64"/>
    </row>
    <row r="214" spans="8:8">
      <c r="H214" s="64"/>
    </row>
    <row r="215" spans="8:8">
      <c r="H215" s="64"/>
    </row>
    <row r="216" spans="8:8">
      <c r="H216" s="64"/>
    </row>
    <row r="217" spans="8:8">
      <c r="H217" s="64"/>
    </row>
    <row r="218" spans="8:8">
      <c r="H218" s="64"/>
    </row>
    <row r="219" spans="8:8">
      <c r="H219" s="64"/>
    </row>
    <row r="220" spans="8:8">
      <c r="H220" s="64"/>
    </row>
    <row r="221" spans="8:8">
      <c r="H221" s="64"/>
    </row>
    <row r="222" spans="8:8">
      <c r="H222" s="64"/>
    </row>
    <row r="223" spans="8:8">
      <c r="H223" s="64"/>
    </row>
    <row r="224" spans="8:8">
      <c r="H224" s="64"/>
    </row>
    <row r="225" spans="8:8">
      <c r="H225" s="64"/>
    </row>
    <row r="226" spans="8:8">
      <c r="H226" s="64"/>
    </row>
    <row r="227" spans="8:8">
      <c r="H227" s="64"/>
    </row>
    <row r="228" spans="8:8">
      <c r="H228" s="64"/>
    </row>
    <row r="229" spans="8:8">
      <c r="H229" s="64"/>
    </row>
    <row r="230" spans="8:8">
      <c r="H230" s="64"/>
    </row>
    <row r="231" spans="8:8">
      <c r="H231" s="64"/>
    </row>
    <row r="232" spans="8:8">
      <c r="H232" s="64"/>
    </row>
    <row r="233" spans="8:8">
      <c r="H233" s="64"/>
    </row>
    <row r="234" spans="8:8">
      <c r="H234" s="64"/>
    </row>
    <row r="235" spans="8:8">
      <c r="H235" s="64"/>
    </row>
    <row r="236" spans="8:8">
      <c r="H236" s="64"/>
    </row>
    <row r="237" spans="8:8">
      <c r="H237" s="64"/>
    </row>
    <row r="238" spans="8:8">
      <c r="H238" s="64"/>
    </row>
    <row r="239" spans="8:8">
      <c r="H239" s="64"/>
    </row>
    <row r="240" spans="8:8">
      <c r="H240" s="64"/>
    </row>
    <row r="241" spans="8:8">
      <c r="H241" s="64"/>
    </row>
    <row r="242" spans="8:8">
      <c r="H242" s="64"/>
    </row>
    <row r="243" spans="8:8">
      <c r="H243" s="64"/>
    </row>
    <row r="244" spans="8:8">
      <c r="H244" s="64"/>
    </row>
    <row r="245" spans="8:8">
      <c r="H245" s="64"/>
    </row>
    <row r="246" spans="8:8">
      <c r="H246" s="64"/>
    </row>
    <row r="247" spans="8:8">
      <c r="H247" s="64"/>
    </row>
    <row r="248" spans="8:8">
      <c r="H248" s="64"/>
    </row>
    <row r="249" spans="8:8">
      <c r="H249" s="64"/>
    </row>
    <row r="250" spans="8:8">
      <c r="H250" s="64"/>
    </row>
    <row r="251" spans="8:8">
      <c r="H251" s="64"/>
    </row>
    <row r="252" spans="8:8">
      <c r="H252" s="64"/>
    </row>
    <row r="253" spans="8:8">
      <c r="H253" s="64"/>
    </row>
    <row r="254" spans="8:8">
      <c r="H254" s="64"/>
    </row>
    <row r="255" spans="8:8">
      <c r="H255" s="64"/>
    </row>
    <row r="256" spans="8:8">
      <c r="H256" s="64"/>
    </row>
    <row r="257" spans="8:8">
      <c r="H257" s="64"/>
    </row>
    <row r="258" spans="8:8">
      <c r="H258" s="64"/>
    </row>
    <row r="259" spans="8:8">
      <c r="H259" s="64"/>
    </row>
    <row r="260" spans="8:8">
      <c r="H260" s="64"/>
    </row>
    <row r="261" spans="8:8">
      <c r="H261" s="64"/>
    </row>
    <row r="262" spans="8:8">
      <c r="H262" s="64"/>
    </row>
    <row r="263" spans="8:8">
      <c r="H263" s="64"/>
    </row>
    <row r="264" spans="8:8">
      <c r="H264" s="64"/>
    </row>
    <row r="265" spans="8:8">
      <c r="H265" s="64"/>
    </row>
    <row r="266" spans="8:8">
      <c r="H266" s="64"/>
    </row>
    <row r="267" spans="8:8">
      <c r="H267" s="64"/>
    </row>
    <row r="268" spans="8:8">
      <c r="H268" s="64"/>
    </row>
    <row r="269" spans="8:8">
      <c r="H269" s="64"/>
    </row>
    <row r="270" spans="8:8">
      <c r="H270" s="64"/>
    </row>
    <row r="271" spans="8:8">
      <c r="H271" s="64"/>
    </row>
    <row r="272" spans="8:8">
      <c r="H272" s="64"/>
    </row>
    <row r="273" spans="8:8">
      <c r="H273" s="64"/>
    </row>
    <row r="274" spans="8:8">
      <c r="H274" s="64"/>
    </row>
    <row r="275" spans="8:8">
      <c r="H275" s="64"/>
    </row>
    <row r="276" spans="8:8">
      <c r="H276" s="64"/>
    </row>
    <row r="277" spans="8:8">
      <c r="H277" s="64"/>
    </row>
    <row r="278" spans="8:8">
      <c r="H278" s="64"/>
    </row>
    <row r="279" spans="8:8">
      <c r="H279" s="64"/>
    </row>
    <row r="280" spans="8:8">
      <c r="H280" s="64"/>
    </row>
    <row r="281" spans="8:8">
      <c r="H281" s="64"/>
    </row>
    <row r="282" spans="8:8">
      <c r="H282" s="64"/>
    </row>
    <row r="283" spans="8:8">
      <c r="H283" s="64"/>
    </row>
    <row r="284" spans="8:8">
      <c r="H284" s="64"/>
    </row>
    <row r="285" spans="8:8">
      <c r="H285" s="64"/>
    </row>
    <row r="286" spans="8:8">
      <c r="H286" s="64"/>
    </row>
    <row r="287" spans="8:8">
      <c r="H287" s="64"/>
    </row>
    <row r="288" spans="8:8">
      <c r="H288" s="64"/>
    </row>
    <row r="289" spans="8:8">
      <c r="H289" s="64"/>
    </row>
    <row r="290" spans="8:8">
      <c r="H290" s="64"/>
    </row>
    <row r="291" spans="8:8">
      <c r="H291" s="64"/>
    </row>
    <row r="292" spans="8:8">
      <c r="H292" s="64"/>
    </row>
    <row r="293" spans="8:8">
      <c r="H293" s="64"/>
    </row>
    <row r="294" spans="8:8">
      <c r="H294" s="64"/>
    </row>
    <row r="295" spans="8:8">
      <c r="H295" s="64"/>
    </row>
    <row r="296" spans="8:8">
      <c r="H296" s="59"/>
    </row>
    <row r="297" spans="8:8">
      <c r="H297" s="59"/>
    </row>
    <row r="298" spans="8:8">
      <c r="H298" s="59"/>
    </row>
    <row r="299" spans="8:8">
      <c r="H299" s="59"/>
    </row>
    <row r="300" spans="8:8">
      <c r="H300" s="59"/>
    </row>
    <row r="301" spans="8:8">
      <c r="H301" s="59"/>
    </row>
    <row r="302" spans="8:8">
      <c r="H302" s="59"/>
    </row>
    <row r="303" spans="8:8">
      <c r="H303" s="59"/>
    </row>
    <row r="304" spans="8:8">
      <c r="H304" s="59"/>
    </row>
    <row r="305" spans="8:8">
      <c r="H305" s="59"/>
    </row>
    <row r="306" spans="8:8">
      <c r="H306" s="59"/>
    </row>
    <row r="307" spans="8:8">
      <c r="H307" s="59"/>
    </row>
    <row r="308" spans="8:8">
      <c r="H308" s="59"/>
    </row>
    <row r="309" spans="8:8">
      <c r="H309" s="59"/>
    </row>
    <row r="310" spans="8:8">
      <c r="H310" s="59"/>
    </row>
    <row r="311" spans="8:8">
      <c r="H311" s="59"/>
    </row>
    <row r="312" spans="8:8">
      <c r="H312" s="59"/>
    </row>
    <row r="313" spans="8:8">
      <c r="H313" s="59"/>
    </row>
    <row r="314" spans="8:8">
      <c r="H314" s="59"/>
    </row>
    <row r="315" spans="8:8">
      <c r="H315" s="59"/>
    </row>
    <row r="316" spans="8:8">
      <c r="H316" s="64"/>
    </row>
    <row r="317" spans="8:8">
      <c r="H317" s="64"/>
    </row>
    <row r="318" spans="8:8">
      <c r="H318" s="64"/>
    </row>
    <row r="319" spans="8:8">
      <c r="H319" s="64"/>
    </row>
    <row r="320" spans="8:8">
      <c r="H320" s="64"/>
    </row>
    <row r="321" spans="8:8">
      <c r="H321" s="64"/>
    </row>
    <row r="322" spans="8:8">
      <c r="H322" s="64"/>
    </row>
    <row r="323" spans="8:8">
      <c r="H323" s="64"/>
    </row>
    <row r="324" spans="8:8">
      <c r="H324" s="64"/>
    </row>
    <row r="325" spans="8:8">
      <c r="H325" s="64"/>
    </row>
    <row r="326" spans="8:8">
      <c r="H326" s="64"/>
    </row>
    <row r="327" spans="8:8">
      <c r="H327" s="64"/>
    </row>
    <row r="328" spans="8:8">
      <c r="H328" s="64"/>
    </row>
    <row r="329" spans="8:8">
      <c r="H329" s="64"/>
    </row>
    <row r="330" spans="8:8">
      <c r="H330" s="64"/>
    </row>
    <row r="331" spans="8:8">
      <c r="H331" s="64"/>
    </row>
    <row r="332" spans="8:8">
      <c r="H332" s="64"/>
    </row>
    <row r="333" spans="8:8">
      <c r="H333" s="64"/>
    </row>
    <row r="334" spans="8:8">
      <c r="H334" s="64"/>
    </row>
    <row r="335" spans="8:8">
      <c r="H335" s="64"/>
    </row>
    <row r="336" spans="8:8">
      <c r="H336" s="64"/>
    </row>
    <row r="337" spans="8:8">
      <c r="H337" s="64"/>
    </row>
    <row r="338" spans="8:8">
      <c r="H338" s="64"/>
    </row>
    <row r="339" spans="8:8">
      <c r="H339" s="64"/>
    </row>
    <row r="340" spans="8:8">
      <c r="H340" s="64"/>
    </row>
    <row r="341" spans="8:8">
      <c r="H341" s="64"/>
    </row>
    <row r="342" spans="8:8">
      <c r="H342" s="64"/>
    </row>
    <row r="343" spans="8:8">
      <c r="H343" s="64"/>
    </row>
    <row r="344" spans="8:8">
      <c r="H344" s="64"/>
    </row>
    <row r="345" spans="8:8">
      <c r="H345" s="64"/>
    </row>
    <row r="346" spans="8:8">
      <c r="H346" s="64"/>
    </row>
    <row r="347" spans="8:8">
      <c r="H347" s="64"/>
    </row>
    <row r="348" spans="8:8">
      <c r="H348" s="64"/>
    </row>
    <row r="349" spans="8:8">
      <c r="H349" s="64"/>
    </row>
    <row r="350" spans="8:8">
      <c r="H350" s="64"/>
    </row>
    <row r="351" spans="8:8">
      <c r="H351" s="64"/>
    </row>
    <row r="352" spans="8:8">
      <c r="H352" s="64"/>
    </row>
    <row r="353" spans="8:8">
      <c r="H353" s="64"/>
    </row>
    <row r="354" spans="8:8">
      <c r="H354" s="64"/>
    </row>
    <row r="355" spans="8:8">
      <c r="H355" s="64"/>
    </row>
    <row r="356" spans="8:8">
      <c r="H356" s="64"/>
    </row>
    <row r="357" spans="8:8">
      <c r="H357" s="64"/>
    </row>
    <row r="358" spans="8:8">
      <c r="H358" s="64"/>
    </row>
    <row r="359" spans="8:8">
      <c r="H359" s="64"/>
    </row>
    <row r="360" spans="8:8">
      <c r="H360" s="55"/>
    </row>
    <row r="361" spans="8:8">
      <c r="H361" s="802"/>
    </row>
    <row r="362" spans="8:8">
      <c r="H362" s="803"/>
    </row>
    <row r="363" spans="8:8">
      <c r="H363" s="803"/>
    </row>
    <row r="364" spans="8:8">
      <c r="H364" s="803"/>
    </row>
    <row r="365" spans="8:8">
      <c r="H365" s="803"/>
    </row>
    <row r="366" spans="8:8">
      <c r="H366" s="803"/>
    </row>
    <row r="367" spans="8:8">
      <c r="H367" s="803"/>
    </row>
    <row r="368" spans="8:8">
      <c r="H368" s="803"/>
    </row>
    <row r="369" spans="8:8">
      <c r="H369" s="803"/>
    </row>
    <row r="370" spans="8:8">
      <c r="H370" s="804"/>
    </row>
    <row r="371" spans="8:8">
      <c r="H371" s="55"/>
    </row>
    <row r="372" spans="8:8">
      <c r="H372" s="64"/>
    </row>
    <row r="373" spans="8:8">
      <c r="H373" s="64"/>
    </row>
    <row r="374" spans="8:8">
      <c r="H374" s="64"/>
    </row>
    <row r="375" spans="8:8">
      <c r="H375" s="64"/>
    </row>
    <row r="376" spans="8:8">
      <c r="H376" s="64"/>
    </row>
    <row r="377" spans="8:8">
      <c r="H377" s="64"/>
    </row>
    <row r="378" spans="8:8">
      <c r="H378" s="55"/>
    </row>
    <row r="379" spans="8:8">
      <c r="H379" s="64"/>
    </row>
    <row r="380" spans="8:8">
      <c r="H380" s="64"/>
    </row>
    <row r="381" spans="8:8">
      <c r="H381" s="64"/>
    </row>
    <row r="382" spans="8:8">
      <c r="H382" s="64"/>
    </row>
    <row r="383" spans="8:8">
      <c r="H383" s="64"/>
    </row>
    <row r="384" spans="8:8">
      <c r="H384" s="55"/>
    </row>
    <row r="385" spans="8:8">
      <c r="H385" s="64"/>
    </row>
    <row r="386" spans="8:8">
      <c r="H386" s="64"/>
    </row>
    <row r="387" spans="8:8">
      <c r="H387" s="64"/>
    </row>
    <row r="388" spans="8:8">
      <c r="H388" s="64"/>
    </row>
    <row r="389" spans="8:8">
      <c r="H389" s="64"/>
    </row>
    <row r="390" spans="8:8">
      <c r="H390" s="64"/>
    </row>
    <row r="391" spans="8:8">
      <c r="H391" s="64"/>
    </row>
    <row r="392" spans="8:8">
      <c r="H392" s="64"/>
    </row>
    <row r="393" spans="8:8">
      <c r="H393" s="64"/>
    </row>
    <row r="394" spans="8:8">
      <c r="H394" s="55"/>
    </row>
    <row r="395" spans="8:8">
      <c r="H395" s="64"/>
    </row>
    <row r="396" spans="8:8">
      <c r="H396" s="64"/>
    </row>
    <row r="397" spans="8:8">
      <c r="H397" s="64"/>
    </row>
    <row r="398" spans="8:8">
      <c r="H398" s="64"/>
    </row>
    <row r="399" spans="8:8">
      <c r="H399" s="64"/>
    </row>
    <row r="400" spans="8:8">
      <c r="H400" s="64"/>
    </row>
    <row r="401" spans="8:8">
      <c r="H401" s="64"/>
    </row>
    <row r="402" spans="8:8">
      <c r="H402" s="64"/>
    </row>
    <row r="403" spans="8:8">
      <c r="H403" s="64"/>
    </row>
    <row r="404" spans="8:8">
      <c r="H404" s="65"/>
    </row>
    <row r="405" spans="8:8">
      <c r="H405" s="805"/>
    </row>
    <row r="406" spans="8:8">
      <c r="H406" s="806"/>
    </row>
    <row r="407" spans="8:8">
      <c r="H407" s="806"/>
    </row>
    <row r="408" spans="8:8">
      <c r="H408" s="806"/>
    </row>
    <row r="409" spans="8:8">
      <c r="H409" s="806"/>
    </row>
    <row r="410" spans="8:8">
      <c r="H410" s="806"/>
    </row>
    <row r="411" spans="8:8">
      <c r="H411" s="806"/>
    </row>
    <row r="412" spans="8:8">
      <c r="H412" s="806"/>
    </row>
    <row r="413" spans="8:8">
      <c r="H413" s="806"/>
    </row>
    <row r="414" spans="8:8">
      <c r="H414" s="806"/>
    </row>
    <row r="415" spans="8:8">
      <c r="H415" s="807"/>
    </row>
    <row r="416" spans="8:8">
      <c r="H416" s="65"/>
    </row>
    <row r="417" spans="8:8">
      <c r="H417" s="805"/>
    </row>
    <row r="418" spans="8:8">
      <c r="H418" s="806"/>
    </row>
    <row r="419" spans="8:8">
      <c r="H419" s="806"/>
    </row>
    <row r="420" spans="8:8">
      <c r="H420" s="806"/>
    </row>
    <row r="421" spans="8:8">
      <c r="H421" s="806"/>
    </row>
    <row r="422" spans="8:8">
      <c r="H422" s="806"/>
    </row>
    <row r="423" spans="8:8">
      <c r="H423" s="806"/>
    </row>
    <row r="424" spans="8:8">
      <c r="H424" s="806"/>
    </row>
    <row r="425" spans="8:8">
      <c r="H425" s="806"/>
    </row>
    <row r="426" spans="8:8">
      <c r="H426" s="806"/>
    </row>
    <row r="427" spans="8:8">
      <c r="H427" s="807"/>
    </row>
    <row r="428" spans="8:8">
      <c r="H428" s="65"/>
    </row>
    <row r="429" spans="8:8">
      <c r="H429" s="805"/>
    </row>
    <row r="430" spans="8:8">
      <c r="H430" s="806"/>
    </row>
    <row r="431" spans="8:8">
      <c r="H431" s="806"/>
    </row>
    <row r="432" spans="8:8">
      <c r="H432" s="806"/>
    </row>
    <row r="433" spans="8:8">
      <c r="H433" s="806"/>
    </row>
    <row r="434" spans="8:8">
      <c r="H434" s="806"/>
    </row>
    <row r="435" spans="8:8">
      <c r="H435" s="806"/>
    </row>
    <row r="436" spans="8:8">
      <c r="H436" s="806"/>
    </row>
    <row r="437" spans="8:8">
      <c r="H437" s="806"/>
    </row>
    <row r="438" spans="8:8">
      <c r="H438" s="65"/>
    </row>
    <row r="439" spans="8:8">
      <c r="H439" s="803"/>
    </row>
    <row r="440" spans="8:8">
      <c r="H440" s="803"/>
    </row>
    <row r="441" spans="8:8">
      <c r="H441" s="803"/>
    </row>
    <row r="442" spans="8:8">
      <c r="H442" s="803"/>
    </row>
    <row r="443" spans="8:8">
      <c r="H443" s="803"/>
    </row>
    <row r="444" spans="8:8">
      <c r="H444" s="803"/>
    </row>
    <row r="445" spans="8:8">
      <c r="H445" s="803"/>
    </row>
    <row r="446" spans="8:8">
      <c r="H446" s="803"/>
    </row>
    <row r="447" spans="8:8">
      <c r="H447" s="803"/>
    </row>
    <row r="448" spans="8:8">
      <c r="H448" s="803"/>
    </row>
    <row r="449" spans="8:8">
      <c r="H449" s="803"/>
    </row>
    <row r="450" spans="8:8">
      <c r="H450" s="803"/>
    </row>
    <row r="451" spans="8:8">
      <c r="H451" s="803"/>
    </row>
    <row r="452" spans="8:8">
      <c r="H452" s="803"/>
    </row>
    <row r="453" spans="8:8">
      <c r="H453" s="803"/>
    </row>
    <row r="454" spans="8:8">
      <c r="H454" s="803"/>
    </row>
    <row r="455" spans="8:8">
      <c r="H455" s="803"/>
    </row>
    <row r="456" spans="8:8">
      <c r="H456" s="803"/>
    </row>
    <row r="457" spans="8:8">
      <c r="H457" s="803"/>
    </row>
    <row r="458" spans="8:8">
      <c r="H458" s="803"/>
    </row>
    <row r="459" spans="8:8">
      <c r="H459" s="803"/>
    </row>
    <row r="460" spans="8:8">
      <c r="H460" s="803"/>
    </row>
    <row r="461" spans="8:8">
      <c r="H461" s="803"/>
    </row>
    <row r="462" spans="8:8">
      <c r="H462" s="803"/>
    </row>
    <row r="463" spans="8:8">
      <c r="H463" s="803"/>
    </row>
    <row r="464" spans="8:8">
      <c r="H464" s="803"/>
    </row>
    <row r="465" spans="8:8">
      <c r="H465" s="803"/>
    </row>
    <row r="466" spans="8:8">
      <c r="H466" s="803"/>
    </row>
    <row r="467" spans="8:8">
      <c r="H467" s="803"/>
    </row>
    <row r="468" spans="8:8">
      <c r="H468" s="803"/>
    </row>
    <row r="469" spans="8:8">
      <c r="H469" s="803"/>
    </row>
    <row r="470" spans="8:8">
      <c r="H470" s="803"/>
    </row>
    <row r="471" spans="8:8">
      <c r="H471" s="803"/>
    </row>
    <row r="472" spans="8:8">
      <c r="H472" s="803"/>
    </row>
    <row r="473" spans="8:8">
      <c r="H473" s="803"/>
    </row>
    <row r="474" spans="8:8">
      <c r="H474" s="803"/>
    </row>
    <row r="475" spans="8:8">
      <c r="H475" s="803"/>
    </row>
    <row r="476" spans="8:8">
      <c r="H476" s="55"/>
    </row>
  </sheetData>
  <mergeCells count="5">
    <mergeCell ref="H361:H370"/>
    <mergeCell ref="H405:H415"/>
    <mergeCell ref="H417:H427"/>
    <mergeCell ref="H429:H437"/>
    <mergeCell ref="H439:H47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33351-FEA4-4BC0-ABED-F76561C9020D}">
  <dimension ref="A1:H39"/>
  <sheetViews>
    <sheetView workbookViewId="0">
      <pane ySplit="1" topLeftCell="A2" activePane="bottomLeft" state="frozen"/>
      <selection pane="bottomLeft" activeCell="D25" sqref="D25:D32"/>
    </sheetView>
  </sheetViews>
  <sheetFormatPr defaultColWidth="9.25" defaultRowHeight="13.5"/>
  <cols>
    <col min="1" max="1" width="13.875" style="8" bestFit="1" customWidth="1"/>
    <col min="2" max="2" width="9.25" style="8" bestFit="1" customWidth="1"/>
    <col min="3" max="3" width="38.125" style="50" bestFit="1" customWidth="1"/>
    <col min="4" max="4" width="10.625" style="50" bestFit="1" customWidth="1"/>
    <col min="5" max="5" width="9.25" style="8" bestFit="1" customWidth="1"/>
    <col min="6" max="9" width="9.25" style="50" bestFit="1" customWidth="1"/>
    <col min="10" max="16384" width="9.25" style="50"/>
  </cols>
  <sheetData>
    <row r="1" spans="1:8" s="8" customFormat="1" ht="27.75">
      <c r="A1" s="468" t="s">
        <v>3034</v>
      </c>
      <c r="B1" s="468" t="s">
        <v>3035</v>
      </c>
      <c r="C1" s="469" t="s">
        <v>56</v>
      </c>
      <c r="D1" s="28" t="s">
        <v>3036</v>
      </c>
      <c r="E1" s="8" t="s">
        <v>2249</v>
      </c>
      <c r="F1" s="8" t="s">
        <v>31</v>
      </c>
      <c r="G1" s="8" t="s">
        <v>2250</v>
      </c>
      <c r="H1" s="8" t="s">
        <v>2252</v>
      </c>
    </row>
    <row r="2" spans="1:8" ht="15">
      <c r="A2" s="470" t="s">
        <v>3037</v>
      </c>
      <c r="B2" s="470">
        <f t="shared" ref="B2:B36" si="0">IF(A2="Mar",1,IF(A2="Jun",2,IF(A2="Sep",3,"")))</f>
        <v>1</v>
      </c>
      <c r="C2" s="471" t="s">
        <v>3038</v>
      </c>
      <c r="D2" s="14" t="s">
        <v>569</v>
      </c>
      <c r="E2" s="8" t="str">
        <f>VLOOKUP(D2,Store_Info_VN!B:M,3,FALSE)</f>
        <v>Open</v>
      </c>
      <c r="F2" s="50" t="str">
        <f>VLOOKUP(D2,Store_Info_VN!B:M,4,FALSE)</f>
        <v>CRESCENT MALL</v>
      </c>
      <c r="G2" s="50" t="str">
        <f>VLOOKUP(D2,Store_Info_VN!B:M,5,FALSE)</f>
        <v>Ho Chi Minh City</v>
      </c>
      <c r="H2" s="50" t="str">
        <f>VLOOKUP(D2,Store_Info_VN!B:M,8,FALSE)</f>
        <v>2F-18B Crescent Mall (No. 101 Ton Dat Tien, Tan Phu Ward, District 7)</v>
      </c>
    </row>
    <row r="3" spans="1:8" ht="15">
      <c r="A3" s="470" t="s">
        <v>3037</v>
      </c>
      <c r="B3" s="470">
        <f t="shared" si="0"/>
        <v>1</v>
      </c>
      <c r="C3" s="471" t="s">
        <v>3039</v>
      </c>
      <c r="D3" s="14" t="s">
        <v>607</v>
      </c>
      <c r="E3" s="8" t="str">
        <f>VLOOKUP(D3,Store_Info_VN!B:M,3,FALSE)</f>
        <v>Open</v>
      </c>
      <c r="F3" s="50" t="str">
        <f>VLOOKUP(D3,Store_Info_VN!B:M,4,FALSE)</f>
        <v>LOTTE MALL</v>
      </c>
      <c r="G3" s="50" t="str">
        <f>VLOOKUP(D3,Store_Info_VN!B:M,5,FALSE)</f>
        <v>Ha Noi</v>
      </c>
      <c r="H3" s="50" t="str">
        <f>VLOOKUP(D3,Store_Info_VN!B:M,8,FALSE)</f>
        <v>2F-233 lot - Lotte Mall (No. 683 Lac Long Quan street, Phu Thuong ward, Tay Ho district)</v>
      </c>
    </row>
    <row r="4" spans="1:8" ht="15">
      <c r="A4" s="470" t="s">
        <v>3040</v>
      </c>
      <c r="B4" s="470">
        <f t="shared" si="0"/>
        <v>2</v>
      </c>
      <c r="C4" s="471" t="s">
        <v>3041</v>
      </c>
      <c r="D4" s="14" t="s">
        <v>880</v>
      </c>
      <c r="E4" s="8" t="str">
        <f>VLOOKUP(D4,Store_Info_VN!B:M,3,FALSE)</f>
        <v>Open</v>
      </c>
      <c r="F4" s="50" t="str">
        <f>VLOOKUP(D4,Store_Info_VN!B:M,4,FALSE)</f>
        <v>GOLDCOAST NHA TRANG</v>
      </c>
      <c r="G4" s="50" t="str">
        <f>VLOOKUP(D4,Store_Info_VN!B:M,5,FALSE)</f>
        <v>NHA TRANG</v>
      </c>
      <c r="H4" s="50" t="str">
        <f>VLOOKUP(D4,Store_Info_VN!B:M,8,FALSE)</f>
        <v>Floor G, GoldCoast Mall, 01 Tran Hung Dao, Loc Tho, Nha Trang, Khanh Hoa</v>
      </c>
    </row>
    <row r="5" spans="1:8" ht="15">
      <c r="A5" s="470" t="s">
        <v>3037</v>
      </c>
      <c r="B5" s="470">
        <f t="shared" si="0"/>
        <v>1</v>
      </c>
      <c r="C5" s="471" t="s">
        <v>3042</v>
      </c>
      <c r="D5" s="14" t="s">
        <v>573</v>
      </c>
      <c r="E5" s="8" t="str">
        <f>VLOOKUP(D5,Store_Info_VN!B:M,3,FALSE)</f>
        <v>Open</v>
      </c>
      <c r="F5" s="50" t="str">
        <f>VLOOKUP(D5,Store_Info_VN!B:M,4,FALSE)</f>
        <v>LOTTE MALL</v>
      </c>
      <c r="G5" s="50" t="str">
        <f>VLOOKUP(D5,Store_Info_VN!B:M,5,FALSE)</f>
        <v>Ha Noi</v>
      </c>
      <c r="H5" s="50" t="str">
        <f>VLOOKUP(D5,Store_Info_VN!B:M,8,FALSE)</f>
        <v>3F-333 lot - Lotte Mall (No. 683 Lac Long Quan street, Phu Thuong ward, Tay Ho district)</v>
      </c>
    </row>
    <row r="6" spans="1:8" ht="15">
      <c r="A6" s="470" t="s">
        <v>3037</v>
      </c>
      <c r="B6" s="470">
        <f t="shared" si="0"/>
        <v>1</v>
      </c>
      <c r="C6" s="471" t="s">
        <v>3043</v>
      </c>
      <c r="D6" s="14" t="s">
        <v>585</v>
      </c>
      <c r="E6" s="8" t="str">
        <f>VLOOKUP(D6,Store_Info_VN!B:M,3,FALSE)</f>
        <v>Open</v>
      </c>
      <c r="F6" s="50" t="str">
        <f>VLOOKUP(D6,Store_Info_VN!B:M,4,FALSE)</f>
        <v>LOTTE MALL</v>
      </c>
      <c r="G6" s="50" t="str">
        <f>VLOOKUP(D6,Store_Info_VN!B:M,5,FALSE)</f>
        <v>Ha Noi</v>
      </c>
      <c r="H6" s="50" t="str">
        <f>VLOOKUP(D6,Store_Info_VN!B:M,8,FALSE)</f>
        <v>2F-240,241 lot - Lotte Mall (No. 683 Lac Long Quan street, Phu Thuong ward, Tay Ho district)</v>
      </c>
    </row>
    <row r="7" spans="1:8" ht="15">
      <c r="A7" s="470" t="s">
        <v>3037</v>
      </c>
      <c r="B7" s="470">
        <f t="shared" si="0"/>
        <v>1</v>
      </c>
      <c r="C7" s="471" t="s">
        <v>3044</v>
      </c>
      <c r="D7" s="14" t="s">
        <v>309</v>
      </c>
      <c r="E7" s="8" t="str">
        <f>VLOOKUP(D7,Store_Info_VN!B:M,3,FALSE)</f>
        <v>Close</v>
      </c>
      <c r="F7" s="50" t="str">
        <f>VLOOKUP(D7,Store_Info_VN!B:M,4,FALSE)</f>
        <v>AEON LONG BIEN</v>
      </c>
      <c r="G7" s="50" t="str">
        <f>VLOOKUP(D7,Store_Info_VN!B:M,5,FALSE)</f>
        <v>Ha Noi</v>
      </c>
      <c r="H7" s="50" t="str">
        <f>VLOOKUP(D7,Store_Info_VN!B:M,8,FALSE)</f>
        <v>T217 Aeon Mall Long Bien, No. 27 Co Linh Street, Long Bien Ward, Long Bien District, Ha Noi</v>
      </c>
    </row>
    <row r="8" spans="1:8" ht="15">
      <c r="A8" s="470" t="s">
        <v>3037</v>
      </c>
      <c r="B8" s="470">
        <f t="shared" si="0"/>
        <v>1</v>
      </c>
      <c r="C8" s="471" t="s">
        <v>3045</v>
      </c>
      <c r="D8" s="14" t="s">
        <v>381</v>
      </c>
      <c r="E8" s="8" t="str">
        <f>VLOOKUP(D8,Store_Info_VN!B:M,3,FALSE)</f>
        <v>Open</v>
      </c>
      <c r="F8" s="50" t="str">
        <f>VLOOKUP(D8,Store_Info_VN!B:M,4,FALSE)</f>
        <v>NGUYEN TRAI</v>
      </c>
      <c r="G8" s="50" t="str">
        <f>VLOOKUP(D8,Store_Info_VN!B:M,5,FALSE)</f>
        <v>Ho Chi Minh City</v>
      </c>
      <c r="H8" s="50" t="str">
        <f>VLOOKUP(D8,Store_Info_VN!B:M,8,FALSE)</f>
        <v>124 Nguyen Trai, Ben Thanh Ward, District 1, Ho Chi Minh City</v>
      </c>
    </row>
    <row r="9" spans="1:8" ht="15">
      <c r="A9" s="470" t="s">
        <v>3037</v>
      </c>
      <c r="B9" s="470">
        <f t="shared" si="0"/>
        <v>1</v>
      </c>
      <c r="C9" s="471" t="s">
        <v>3046</v>
      </c>
      <c r="D9" s="14" t="s">
        <v>370</v>
      </c>
      <c r="E9" s="8" t="str">
        <f>VLOOKUP(D9,Store_Info_VN!B:M,3,FALSE)</f>
        <v>Open</v>
      </c>
      <c r="F9" s="50" t="str">
        <f>VLOOKUP(D9,Store_Info_VN!B:M,4,FALSE)</f>
        <v>CRESCENT MALL</v>
      </c>
      <c r="G9" s="50" t="str">
        <f>VLOOKUP(D9,Store_Info_VN!B:M,5,FALSE)</f>
        <v>Ho Chi Minh City</v>
      </c>
      <c r="H9" s="50" t="str">
        <f>VLOOKUP(D9,Store_Info_VN!B:M,8,FALSE)</f>
        <v>L3 101 Ton Dat Tien, Tan Phu Ward, District 7, Ho Chi Minh City</v>
      </c>
    </row>
    <row r="10" spans="1:8" ht="15">
      <c r="A10" s="470" t="s">
        <v>3040</v>
      </c>
      <c r="B10" s="470">
        <f t="shared" si="0"/>
        <v>2</v>
      </c>
      <c r="C10" s="471" t="s">
        <v>3047</v>
      </c>
      <c r="D10" s="14" t="s">
        <v>334</v>
      </c>
      <c r="E10" s="8" t="str">
        <f>VLOOKUP(D10,Store_Info_VN!B:M,3,FALSE)</f>
        <v>Open</v>
      </c>
      <c r="F10" s="50" t="str">
        <f>VLOOKUP(D10,Store_Info_VN!B:M,4,FALSE)</f>
        <v>AEON HA DONG</v>
      </c>
      <c r="G10" s="50" t="str">
        <f>VLOOKUP(D10,Store_Info_VN!B:M,5,FALSE)</f>
        <v>Ha Noi</v>
      </c>
      <c r="H10" s="50" t="str">
        <f>VLOOKUP(D10,Store_Info_VN!B:M,8,FALSE)</f>
        <v>T228 Aeon Ha Dong, Hoang Van Thu Residential Area, Duong Noi Ward, Ha Dong District, Ha Noi</v>
      </c>
    </row>
    <row r="11" spans="1:8" ht="15">
      <c r="A11" s="470" t="s">
        <v>3048</v>
      </c>
      <c r="B11" s="470">
        <f t="shared" si="0"/>
        <v>3</v>
      </c>
      <c r="C11" s="471" t="s">
        <v>3049</v>
      </c>
      <c r="D11" s="14" t="s">
        <v>454</v>
      </c>
      <c r="E11" s="8" t="str">
        <f>VLOOKUP(D11,Store_Info_VN!B:M,3,FALSE)</f>
        <v>Open</v>
      </c>
      <c r="F11" s="50" t="str">
        <f>VLOOKUP(D11,Store_Info_VN!B:M,4,FALSE)</f>
        <v>BA THANG HAI</v>
      </c>
      <c r="G11" s="50" t="str">
        <f>VLOOKUP(D11,Store_Info_VN!B:M,5,FALSE)</f>
        <v>Ho Chi Minh City</v>
      </c>
      <c r="H11" s="50" t="str">
        <f>VLOOKUP(D11,Store_Info_VN!B:M,8,FALSE)</f>
        <v>152 Ba Thang Hai ,Ward 12, District 10, Ho Chi Minh City</v>
      </c>
    </row>
    <row r="12" spans="1:8" ht="15">
      <c r="A12" s="470" t="s">
        <v>3048</v>
      </c>
      <c r="B12" s="470">
        <f t="shared" si="0"/>
        <v>3</v>
      </c>
      <c r="C12" s="471" t="s">
        <v>3050</v>
      </c>
      <c r="D12" s="14" t="s">
        <v>385</v>
      </c>
      <c r="E12" s="8" t="str">
        <f>VLOOKUP(D12,Store_Info_VN!B:M,3,FALSE)</f>
        <v>Open</v>
      </c>
      <c r="F12" s="50" t="str">
        <f>VLOOKUP(D12,Store_Info_VN!B:M,4,FALSE)</f>
        <v>HAI BA TRUNG</v>
      </c>
      <c r="G12" s="50" t="str">
        <f>VLOOKUP(D12,Store_Info_VN!B:M,5,FALSE)</f>
        <v>Ho Chi Minh City</v>
      </c>
      <c r="H12" s="50" t="str">
        <f>VLOOKUP(D12,Store_Info_VN!B:M,8,FALSE)</f>
        <v>243 Hai Ba Trung, Vo Thi Sau Ward, District 3, Ho Chi Minh City</v>
      </c>
    </row>
    <row r="13" spans="1:8" ht="15">
      <c r="A13" s="470" t="s">
        <v>3037</v>
      </c>
      <c r="B13" s="470">
        <f t="shared" si="0"/>
        <v>1</v>
      </c>
      <c r="C13" s="471" t="s">
        <v>3051</v>
      </c>
      <c r="D13" s="14" t="s">
        <v>415</v>
      </c>
      <c r="E13" s="8" t="str">
        <f>VLOOKUP(D13,Store_Info_VN!B:M,3,FALSE)</f>
        <v>Open</v>
      </c>
      <c r="F13" s="50" t="str">
        <f>VLOOKUP(D13,Store_Info_VN!B:M,4,FALSE)</f>
        <v>AEON BINH TAN</v>
      </c>
      <c r="G13" s="50" t="str">
        <f>VLOOKUP(D13,Store_Info_VN!B:M,5,FALSE)</f>
        <v>Ho Chi Minh City</v>
      </c>
      <c r="H13" s="50" t="str">
        <f>VLOOKUP(D13,Store_Info_VN!B:M,8,FALSE)</f>
        <v>F26 , 1 Floor , Aeon Mall Binh Tan (01, 17A Street, Binh Tri Dong B Ward, Binh Tan District, Ho Chi Minh City)</v>
      </c>
    </row>
    <row r="14" spans="1:8" ht="15">
      <c r="A14" s="470" t="s">
        <v>3048</v>
      </c>
      <c r="B14" s="470">
        <f t="shared" si="0"/>
        <v>3</v>
      </c>
      <c r="C14" s="471" t="s">
        <v>3052</v>
      </c>
      <c r="D14" s="14" t="s">
        <v>905</v>
      </c>
      <c r="E14" s="8" t="str">
        <f>VLOOKUP(D14,Store_Info_VN!B:M,3,FALSE)</f>
        <v>Close</v>
      </c>
      <c r="F14" s="50" t="str">
        <f>VLOOKUP(D14,Store_Info_VN!B:M,4,FALSE)</f>
        <v>IPH MALL</v>
      </c>
      <c r="G14" s="50" t="str">
        <f>VLOOKUP(D14,Store_Info_VN!B:M,5,FALSE)</f>
        <v>Ha Noi</v>
      </c>
      <c r="H14" s="50" t="str">
        <f>VLOOKUP(D14,Store_Info_VN!B:M,8,FALSE)</f>
        <v>2-228 Indochina Plaza Hà Nội (IPH Mall)</v>
      </c>
    </row>
    <row r="15" spans="1:8" ht="15">
      <c r="A15" s="470" t="s">
        <v>3048</v>
      </c>
      <c r="B15" s="470">
        <f t="shared" si="0"/>
        <v>3</v>
      </c>
      <c r="C15" s="471" t="s">
        <v>3053</v>
      </c>
      <c r="D15" s="14" t="s">
        <v>373</v>
      </c>
      <c r="E15" s="8" t="str">
        <f>VLOOKUP(D15,Store_Info_VN!B:M,3,FALSE)</f>
        <v>Open</v>
      </c>
      <c r="F15" s="50" t="str">
        <f>VLOOKUP(D15,Store_Info_VN!B:M,4,FALSE)</f>
        <v>AEON BINH DUONG</v>
      </c>
      <c r="G15" s="50" t="str">
        <f>VLOOKUP(D15,Store_Info_VN!B:M,5,FALSE)</f>
        <v>Binh Duong</v>
      </c>
      <c r="H15" s="50" t="str">
        <f>VLOOKUP(D15,Store_Info_VN!B:M,8,FALSE)</f>
        <v>Aeon Canary 01 Binh Duong Boulevard, Thuan An Town, Binh Duong</v>
      </c>
    </row>
    <row r="16" spans="1:8" ht="15">
      <c r="A16" s="470" t="s">
        <v>3037</v>
      </c>
      <c r="B16" s="470">
        <f t="shared" si="0"/>
        <v>1</v>
      </c>
      <c r="C16" s="471" t="s">
        <v>3054</v>
      </c>
      <c r="D16" s="14" t="s">
        <v>581</v>
      </c>
      <c r="E16" s="8" t="str">
        <f>VLOOKUP(D16,Store_Info_VN!B:M,3,FALSE)</f>
        <v>Open</v>
      </c>
      <c r="F16" s="50" t="str">
        <f>VLOOKUP(D16,Store_Info_VN!B:M,4,FALSE)</f>
        <v>LOTTE MALL</v>
      </c>
      <c r="G16" s="50" t="str">
        <f>VLOOKUP(D16,Store_Info_VN!B:M,5,FALSE)</f>
        <v>Ha Noi</v>
      </c>
      <c r="H16" s="50" t="str">
        <f>VLOOKUP(D16,Store_Info_VN!B:M,8,FALSE)</f>
        <v>2F-228 lot - Lotte Mall (No. 683 Lac Long Quan street, Phu Thuong ward, Tay Ho district)</v>
      </c>
    </row>
    <row r="17" spans="1:8" ht="15">
      <c r="A17" s="470" t="s">
        <v>3048</v>
      </c>
      <c r="B17" s="470">
        <f t="shared" si="0"/>
        <v>3</v>
      </c>
      <c r="C17" s="471" t="s">
        <v>3055</v>
      </c>
      <c r="D17" s="14" t="s">
        <v>458</v>
      </c>
      <c r="E17" s="8" t="str">
        <f>VLOOKUP(D17,Store_Info_VN!B:M,3,FALSE)</f>
        <v>Close</v>
      </c>
      <c r="F17" s="50" t="str">
        <f>VLOOKUP(D17,Store_Info_VN!B:M,4,FALSE)</f>
        <v>BA CU</v>
      </c>
      <c r="G17" s="50" t="str">
        <f>VLOOKUP(D17,Store_Info_VN!B:M,5,FALSE)</f>
        <v>Vung Tau</v>
      </c>
      <c r="H17" s="50" t="str">
        <f>VLOOKUP(D17,Store_Info_VN!B:M,8,FALSE)</f>
        <v>179 Ba Cu, Ward 4, Vung Tau, Ba Ria - Vung Tau</v>
      </c>
    </row>
    <row r="18" spans="1:8" ht="15">
      <c r="A18" s="470" t="s">
        <v>3048</v>
      </c>
      <c r="B18" s="470">
        <f t="shared" si="0"/>
        <v>3</v>
      </c>
      <c r="C18" s="471" t="s">
        <v>3056</v>
      </c>
      <c r="D18" s="14" t="s">
        <v>2521</v>
      </c>
      <c r="E18" s="8" t="str">
        <f>VLOOKUP(D18,Store_Info_VN!B:M,3,FALSE)</f>
        <v>Open</v>
      </c>
      <c r="F18" s="50" t="str">
        <f>VLOOKUP(D18,Store_Info_VN!B:M,4,FALSE)</f>
        <v>78 NGUYEN TRAI</v>
      </c>
      <c r="G18" s="50" t="str">
        <f>VLOOKUP(D18,Store_Info_VN!B:M,5,FALSE)</f>
        <v>Can Tho</v>
      </c>
      <c r="H18" s="50" t="str">
        <f>VLOOKUP(D18,Store_Info_VN!B:M,8,FALSE)</f>
        <v>78 Nguyen Trai Can Tho</v>
      </c>
    </row>
    <row r="19" spans="1:8" ht="15">
      <c r="A19" s="470" t="s">
        <v>3037</v>
      </c>
      <c r="B19" s="470">
        <f t="shared" si="0"/>
        <v>1</v>
      </c>
      <c r="C19" s="471" t="s">
        <v>3057</v>
      </c>
      <c r="D19" s="14" t="s">
        <v>541</v>
      </c>
      <c r="E19" s="8" t="str">
        <f>VLOOKUP(D19,Store_Info_VN!B:M,3,FALSE)</f>
        <v>Open</v>
      </c>
      <c r="F19" s="50" t="str">
        <f>VLOOKUP(D19,Store_Info_VN!B:M,4,FALSE)</f>
        <v>11-13 QUANG TRUNG GV</v>
      </c>
      <c r="G19" s="50" t="str">
        <f>VLOOKUP(D19,Store_Info_VN!B:M,5,FALSE)</f>
        <v>Ho Chi Minh City</v>
      </c>
      <c r="H19" s="50" t="str">
        <f>VLOOKUP(D19,Store_Info_VN!B:M,8,FALSE)</f>
        <v>11-13 Quang Trung, Quận Gò Vấp, Thành Phố Hồ Chí Minh</v>
      </c>
    </row>
    <row r="20" spans="1:8" ht="15">
      <c r="A20" s="470" t="s">
        <v>3048</v>
      </c>
      <c r="B20" s="470">
        <f t="shared" si="0"/>
        <v>3</v>
      </c>
      <c r="C20" s="375" t="s">
        <v>3058</v>
      </c>
      <c r="D20" s="14"/>
      <c r="E20" s="8" t="e">
        <f>VLOOKUP(D20,Store_Info_VN!B:M,3,FALSE)</f>
        <v>#N/A</v>
      </c>
      <c r="F20" s="50" t="e">
        <f>VLOOKUP(D20,Store_Info_VN!B:M,4,FALSE)</f>
        <v>#N/A</v>
      </c>
      <c r="G20" s="50" t="e">
        <f>VLOOKUP(D20,Store_Info_VN!B:M,5,FALSE)</f>
        <v>#N/A</v>
      </c>
      <c r="H20" s="50" t="e">
        <f>VLOOKUP(D20,Store_Info_VN!B:M,8,FALSE)</f>
        <v>#N/A</v>
      </c>
    </row>
    <row r="21" spans="1:8" ht="15">
      <c r="A21" s="470" t="s">
        <v>3040</v>
      </c>
      <c r="B21" s="470">
        <f t="shared" si="0"/>
        <v>2</v>
      </c>
      <c r="C21" s="375" t="s">
        <v>3059</v>
      </c>
      <c r="D21" s="14"/>
      <c r="E21" s="8" t="e">
        <f>VLOOKUP(D21,Store_Info_VN!B:M,3,FALSE)</f>
        <v>#N/A</v>
      </c>
      <c r="F21" s="50" t="e">
        <f>VLOOKUP(D21,Store_Info_VN!B:M,4,FALSE)</f>
        <v>#N/A</v>
      </c>
      <c r="G21" s="50" t="e">
        <f>VLOOKUP(D21,Store_Info_VN!B:M,5,FALSE)</f>
        <v>#N/A</v>
      </c>
      <c r="H21" s="50" t="e">
        <f>VLOOKUP(D21,Store_Info_VN!B:M,8,FALSE)</f>
        <v>#N/A</v>
      </c>
    </row>
    <row r="22" spans="1:8" ht="15">
      <c r="A22" s="470" t="s">
        <v>3040</v>
      </c>
      <c r="B22" s="470">
        <f t="shared" si="0"/>
        <v>2</v>
      </c>
      <c r="C22" s="375" t="s">
        <v>3060</v>
      </c>
      <c r="D22" s="14"/>
      <c r="E22" s="8" t="e">
        <f>VLOOKUP(D22,Store_Info_VN!B:M,3,FALSE)</f>
        <v>#N/A</v>
      </c>
      <c r="F22" s="50" t="e">
        <f>VLOOKUP(D22,Store_Info_VN!B:M,4,FALSE)</f>
        <v>#N/A</v>
      </c>
      <c r="G22" s="50" t="e">
        <f>VLOOKUP(D22,Store_Info_VN!B:M,5,FALSE)</f>
        <v>#N/A</v>
      </c>
      <c r="H22" s="50" t="e">
        <f>VLOOKUP(D22,Store_Info_VN!B:M,8,FALSE)</f>
        <v>#N/A</v>
      </c>
    </row>
    <row r="23" spans="1:8" ht="15">
      <c r="A23" s="470" t="s">
        <v>3037</v>
      </c>
      <c r="B23" s="470">
        <f t="shared" si="0"/>
        <v>1</v>
      </c>
      <c r="C23" s="471" t="s">
        <v>3061</v>
      </c>
      <c r="D23" s="14" t="s">
        <v>603</v>
      </c>
      <c r="E23" s="8" t="str">
        <f>VLOOKUP(D23,Store_Info_VN!B:M,3,FALSE)</f>
        <v>Open</v>
      </c>
      <c r="F23" s="50" t="str">
        <f>VLOOKUP(D23,Store_Info_VN!B:M,4,FALSE)</f>
        <v>89 NGUYỄN TRÃI</v>
      </c>
      <c r="G23" s="50" t="str">
        <f>VLOOKUP(D23,Store_Info_VN!B:M,5,FALSE)</f>
        <v>Ho Chi Minh City</v>
      </c>
      <c r="H23" s="50" t="str">
        <f>VLOOKUP(D23,Store_Info_VN!B:M,8,FALSE)</f>
        <v>89 Nguyen Trai Street, Ben Thanh Ward, District 1</v>
      </c>
    </row>
    <row r="24" spans="1:8" ht="15">
      <c r="A24" s="470" t="s">
        <v>3040</v>
      </c>
      <c r="B24" s="470">
        <f t="shared" si="0"/>
        <v>2</v>
      </c>
      <c r="C24" s="471" t="s">
        <v>3062</v>
      </c>
      <c r="D24" s="14"/>
      <c r="E24" s="8" t="e">
        <f>VLOOKUP(D24,Store_Info_VN!B:M,3,FALSE)</f>
        <v>#N/A</v>
      </c>
      <c r="F24" s="50" t="e">
        <f>VLOOKUP(D24,Store_Info_VN!B:M,4,FALSE)</f>
        <v>#N/A</v>
      </c>
      <c r="G24" s="50" t="e">
        <f>VLOOKUP(D24,Store_Info_VN!B:M,5,FALSE)</f>
        <v>#N/A</v>
      </c>
      <c r="H24" s="50" t="e">
        <f>VLOOKUP(D24,Store_Info_VN!B:M,8,FALSE)</f>
        <v>#N/A</v>
      </c>
    </row>
    <row r="25" spans="1:8" ht="15">
      <c r="A25" s="470" t="s">
        <v>3037</v>
      </c>
      <c r="B25" s="470">
        <f t="shared" si="0"/>
        <v>1</v>
      </c>
      <c r="C25" s="471" t="s">
        <v>3063</v>
      </c>
      <c r="D25" s="14" t="s">
        <v>501</v>
      </c>
      <c r="E25" s="8" t="str">
        <f>VLOOKUP(D25,Store_Info_VN!B:M,3,FALSE)</f>
        <v>Open</v>
      </c>
      <c r="F25" s="50" t="str">
        <f>VLOOKUP(D25,Store_Info_VN!B:M,4,FALSE)</f>
        <v>CRESCENT MALL</v>
      </c>
      <c r="G25" s="50" t="str">
        <f>VLOOKUP(D25,Store_Info_VN!B:M,5,FALSE)</f>
        <v>Ho Chi Minh City</v>
      </c>
      <c r="H25" s="50" t="str">
        <f>VLOOKUP(D25,Store_Info_VN!B:M,8,FALSE)</f>
        <v>3F-33 - Crescent Mall, 101 Tôn Dật Tiên, Phường Tân Hưng, Quận 7, Thành Phố Hồ Chí Minh.</v>
      </c>
    </row>
    <row r="26" spans="1:8" ht="15">
      <c r="A26" s="470" t="s">
        <v>3037</v>
      </c>
      <c r="B26" s="470">
        <f t="shared" si="0"/>
        <v>1</v>
      </c>
      <c r="C26" s="471" t="s">
        <v>3064</v>
      </c>
      <c r="D26" s="14" t="s">
        <v>551</v>
      </c>
      <c r="E26" s="8" t="str">
        <f>VLOOKUP(D26,Store_Info_VN!B:M,3,FALSE)</f>
        <v>Open</v>
      </c>
      <c r="F26" s="50" t="str">
        <f>VLOOKUP(D26,Store_Info_VN!B:M,4,FALSE)</f>
        <v>LOTTE MALL</v>
      </c>
      <c r="G26" s="50" t="str">
        <f>VLOOKUP(D26,Store_Info_VN!B:M,5,FALSE)</f>
        <v>Ha Noi</v>
      </c>
      <c r="H26" s="50" t="str">
        <f>VLOOKUP(D26,Store_Info_VN!B:M,8,FALSE)</f>
        <v>2F-229 lot - Lotte Mall (No. 683 Lac Long Quan street, Phu Thuong ward, Tay Ho district)</v>
      </c>
    </row>
    <row r="27" spans="1:8" ht="15">
      <c r="A27" s="470" t="s">
        <v>3037</v>
      </c>
      <c r="B27" s="470">
        <f t="shared" si="0"/>
        <v>1</v>
      </c>
      <c r="C27" s="471" t="s">
        <v>3065</v>
      </c>
      <c r="D27" s="14" t="s">
        <v>531</v>
      </c>
      <c r="E27" s="8" t="str">
        <f>VLOOKUP(D27,Store_Info_VN!B:M,3,FALSE)</f>
        <v>Open</v>
      </c>
      <c r="F27" s="50" t="str">
        <f>VLOOKUP(D27,Store_Info_VN!B:M,4,FALSE)</f>
        <v>DIAMOND PLAZA</v>
      </c>
      <c r="G27" s="50" t="str">
        <f>VLOOKUP(D27,Store_Info_VN!B:M,5,FALSE)</f>
        <v>Ho Chi Minh City</v>
      </c>
      <c r="H27" s="50" t="str">
        <f>VLOOKUP(D27,Store_Info_VN!B:M,8,FALSE)</f>
        <v>XA-32239 Diamond Plaza (No. 34 Le Duan street, Ben Nghe ward, district 1, Ho Chi Minh city)</v>
      </c>
    </row>
    <row r="28" spans="1:8" ht="15">
      <c r="A28" s="470" t="s">
        <v>3048</v>
      </c>
      <c r="B28" s="470">
        <f t="shared" si="0"/>
        <v>3</v>
      </c>
      <c r="C28" s="471" t="s">
        <v>3066</v>
      </c>
      <c r="D28" s="14" t="s">
        <v>599</v>
      </c>
      <c r="E28" s="8" t="str">
        <f>VLOOKUP(D28,Store_Info_VN!B:M,3,FALSE)</f>
        <v>Close</v>
      </c>
      <c r="F28" s="50" t="str">
        <f>VLOOKUP(D28,Store_Info_VN!B:M,4,FALSE)</f>
        <v>IPH MALL</v>
      </c>
      <c r="G28" s="50" t="str">
        <f>VLOOKUP(D28,Store_Info_VN!B:M,5,FALSE)</f>
        <v>Ha Noi</v>
      </c>
      <c r="H28" s="50" t="str">
        <f>VLOOKUP(D28,Store_Info_VN!B:M,8,FALSE)</f>
        <v>Toà nhà IPH số 241 Xuân Thuỷ, phường Dịch Vọng Hậu, quận Cầu Giấy, Hà Nội</v>
      </c>
    </row>
    <row r="29" spans="1:8" ht="15">
      <c r="A29" s="470" t="s">
        <v>3037</v>
      </c>
      <c r="B29" s="470">
        <f t="shared" si="0"/>
        <v>1</v>
      </c>
      <c r="C29" s="471" t="s">
        <v>3067</v>
      </c>
      <c r="D29" s="14" t="s">
        <v>592</v>
      </c>
      <c r="E29" s="8" t="str">
        <f>VLOOKUP(D29,Store_Info_VN!B:M,3,FALSE)</f>
        <v>Open</v>
      </c>
      <c r="F29" s="50" t="str">
        <f>VLOOKUP(D29,Store_Info_VN!B:M,4,FALSE)</f>
        <v>VAN HANH MALL</v>
      </c>
      <c r="G29" s="50" t="str">
        <f>VLOOKUP(D29,Store_Info_VN!B:M,5,FALSE)</f>
        <v>Ho Chi Minh City</v>
      </c>
      <c r="H29" s="50" t="str">
        <f>VLOOKUP(D29,Store_Info_VN!B:M,8,FALSE)</f>
        <v>2-07B Van Hanh Mall</v>
      </c>
    </row>
    <row r="30" spans="1:8" ht="15">
      <c r="A30" s="470" t="s">
        <v>3040</v>
      </c>
      <c r="B30" s="470">
        <f t="shared" si="0"/>
        <v>2</v>
      </c>
      <c r="C30" s="471" t="s">
        <v>3068</v>
      </c>
      <c r="D30" s="14" t="s">
        <v>890</v>
      </c>
      <c r="E30" s="8" t="str">
        <f>VLOOKUP(D30,Store_Info_VN!B:M,3,FALSE)</f>
        <v>Open</v>
      </c>
      <c r="F30" s="50" t="str">
        <f>VLOOKUP(D30,Store_Info_VN!B:M,4,FALSE)</f>
        <v>GOLDCOAST NHA TRANG</v>
      </c>
      <c r="G30" s="50" t="str">
        <f>VLOOKUP(D30,Store_Info_VN!B:M,5,FALSE)</f>
        <v>NHA TRANG</v>
      </c>
      <c r="H30" s="50" t="str">
        <f>VLOOKUP(D30,Store_Info_VN!B:M,8,FALSE)</f>
        <v>Floor G, GoldCoast Mall, 01 Tran Hung Dao, Loc Tho, Nha Trang, Khanh Hoa</v>
      </c>
    </row>
    <row r="31" spans="1:8" ht="15">
      <c r="A31" s="470" t="s">
        <v>3040</v>
      </c>
      <c r="B31" s="470">
        <f t="shared" si="0"/>
        <v>2</v>
      </c>
      <c r="C31" s="471" t="s">
        <v>3069</v>
      </c>
      <c r="D31" s="14" t="s">
        <v>144</v>
      </c>
      <c r="E31" s="8" t="str">
        <f>VLOOKUP(D31,Store_Info_VN!B:M,3,FALSE)</f>
        <v>Open</v>
      </c>
      <c r="F31" s="50" t="str">
        <f>VLOOKUP(D31,Store_Info_VN!B:M,4,FALSE)</f>
        <v>VINCOM THAO DIEN</v>
      </c>
      <c r="G31" s="50" t="str">
        <f>VLOOKUP(D31,Store_Info_VN!B:M,5,FALSE)</f>
        <v>Ho Chi Minh City</v>
      </c>
      <c r="H31" s="50" t="str">
        <f>VLOOKUP(D31,Store_Info_VN!B:M,8,FALSE)</f>
        <v>Floor 2, No. 161 Hanoi road, Thao Dien ward, Thu Duc city</v>
      </c>
    </row>
    <row r="32" spans="1:8" ht="15">
      <c r="A32" s="470" t="s">
        <v>3048</v>
      </c>
      <c r="B32" s="470">
        <f t="shared" si="0"/>
        <v>3</v>
      </c>
      <c r="C32" s="471" t="s">
        <v>3070</v>
      </c>
      <c r="D32" s="14" t="s">
        <v>2514</v>
      </c>
      <c r="E32" s="8" t="str">
        <f>VLOOKUP(D32,Store_Info_VN!B:M,3,FALSE)</f>
        <v>Open</v>
      </c>
      <c r="F32" s="50" t="str">
        <f>VLOOKUP(D32,Store_Info_VN!B:M,4,FALSE)</f>
        <v>78 NGUYEN TRAI</v>
      </c>
      <c r="G32" s="50" t="str">
        <f>VLOOKUP(D32,Store_Info_VN!B:M,5,FALSE)</f>
        <v>Can Tho</v>
      </c>
      <c r="H32" s="50" t="str">
        <f>VLOOKUP(D32,Store_Info_VN!B:M,8,FALSE)</f>
        <v>78 Nguyen Trai Can Tho</v>
      </c>
    </row>
    <row r="33" spans="1:8" ht="15">
      <c r="A33" s="470" t="s">
        <v>3048</v>
      </c>
      <c r="B33" s="470">
        <f t="shared" si="0"/>
        <v>3</v>
      </c>
      <c r="C33" s="375" t="s">
        <v>3071</v>
      </c>
      <c r="D33" s="14"/>
      <c r="E33" s="8" t="e">
        <f>VLOOKUP(D33,Store_Info_VN!B:M,3,FALSE)</f>
        <v>#N/A</v>
      </c>
      <c r="F33" s="50" t="e">
        <f>VLOOKUP(D33,Store_Info_VN!B:M,4,FALSE)</f>
        <v>#N/A</v>
      </c>
      <c r="G33" s="50" t="e">
        <f>VLOOKUP(D33,Store_Info_VN!B:M,5,FALSE)</f>
        <v>#N/A</v>
      </c>
      <c r="H33" s="50" t="e">
        <f>VLOOKUP(D33,Store_Info_VN!B:M,8,FALSE)</f>
        <v>#N/A</v>
      </c>
    </row>
    <row r="34" spans="1:8" ht="15">
      <c r="A34" s="470" t="s">
        <v>3040</v>
      </c>
      <c r="B34" s="470">
        <f t="shared" si="0"/>
        <v>2</v>
      </c>
      <c r="C34" s="375" t="s">
        <v>3072</v>
      </c>
      <c r="D34" s="14"/>
      <c r="E34" s="8" t="e">
        <f>VLOOKUP(D34,Store_Info_VN!B:M,3,FALSE)</f>
        <v>#N/A</v>
      </c>
      <c r="F34" s="50" t="e">
        <f>VLOOKUP(D34,Store_Info_VN!B:M,4,FALSE)</f>
        <v>#N/A</v>
      </c>
      <c r="G34" s="50" t="e">
        <f>VLOOKUP(D34,Store_Info_VN!B:M,5,FALSE)</f>
        <v>#N/A</v>
      </c>
      <c r="H34" s="50" t="e">
        <f>VLOOKUP(D34,Store_Info_VN!B:M,8,FALSE)</f>
        <v>#N/A</v>
      </c>
    </row>
    <row r="35" spans="1:8" ht="15">
      <c r="A35" s="470" t="s">
        <v>3040</v>
      </c>
      <c r="B35" s="470">
        <f t="shared" si="0"/>
        <v>2</v>
      </c>
      <c r="C35" s="375" t="s">
        <v>3073</v>
      </c>
      <c r="D35" s="14"/>
      <c r="E35" s="8" t="e">
        <f>VLOOKUP(D35,Store_Info_VN!B:M,3,FALSE)</f>
        <v>#N/A</v>
      </c>
      <c r="F35" s="50" t="e">
        <f>VLOOKUP(D35,Store_Info_VN!B:M,4,FALSE)</f>
        <v>#N/A</v>
      </c>
      <c r="G35" s="50" t="e">
        <f>VLOOKUP(D35,Store_Info_VN!B:M,5,FALSE)</f>
        <v>#N/A</v>
      </c>
      <c r="H35" s="50" t="e">
        <f>VLOOKUP(D35,Store_Info_VN!B:M,8,FALSE)</f>
        <v>#N/A</v>
      </c>
    </row>
    <row r="36" spans="1:8" ht="15">
      <c r="A36" s="470" t="s">
        <v>3040</v>
      </c>
      <c r="B36" s="472">
        <f t="shared" si="0"/>
        <v>2</v>
      </c>
      <c r="C36" s="376" t="s">
        <v>3074</v>
      </c>
      <c r="D36" s="14"/>
      <c r="E36" s="8" t="e">
        <f>VLOOKUP(D36,Store_Info_VN!B:M,3,FALSE)</f>
        <v>#N/A</v>
      </c>
      <c r="F36" s="50" t="e">
        <f>VLOOKUP(D36,Store_Info_VN!B:M,4,FALSE)</f>
        <v>#N/A</v>
      </c>
      <c r="G36" s="50" t="e">
        <f>VLOOKUP(D36,Store_Info_VN!B:M,5,FALSE)</f>
        <v>#N/A</v>
      </c>
      <c r="H36" s="50" t="e">
        <f>VLOOKUP(D36,Store_Info_VN!B:M,8,FALSE)</f>
        <v>#N/A</v>
      </c>
    </row>
    <row r="37" spans="1:8" ht="15">
      <c r="A37" s="50"/>
      <c r="B37" s="473">
        <v>15</v>
      </c>
      <c r="C37" s="474" t="s">
        <v>3075</v>
      </c>
    </row>
    <row r="38" spans="1:8" ht="15">
      <c r="A38" s="50"/>
      <c r="B38" s="473">
        <v>10</v>
      </c>
      <c r="C38" s="474" t="s">
        <v>3076</v>
      </c>
    </row>
    <row r="39" spans="1:8" ht="15">
      <c r="A39" s="50"/>
      <c r="B39" s="473">
        <v>10</v>
      </c>
      <c r="C39" s="474" t="s">
        <v>3077</v>
      </c>
    </row>
  </sheetData>
  <autoFilter ref="A1:D39" xr:uid="{E6633351-FEA4-4BC0-ABED-F76561C9020D}"/>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6FBE-1BDA-4310-B824-298B7E09BFD7}">
  <sheetPr filterMode="1"/>
  <dimension ref="A1:AR113"/>
  <sheetViews>
    <sheetView zoomScale="70" zoomScaleNormal="70" workbookViewId="0">
      <selection activeCell="L23" sqref="L23"/>
    </sheetView>
  </sheetViews>
  <sheetFormatPr defaultRowHeight="13.5"/>
  <cols>
    <col min="1" max="1" width="12.375" customWidth="1"/>
    <col min="2" max="2" width="20.25" bestFit="1" customWidth="1"/>
    <col min="3" max="3" width="19.625" hidden="1" customWidth="1"/>
    <col min="4" max="4" width="33.25" bestFit="1" customWidth="1"/>
    <col min="5" max="5" width="17.875" customWidth="1"/>
    <col min="6" max="6" width="12.125" hidden="1" customWidth="1"/>
    <col min="7" max="7" width="16.25" hidden="1" customWidth="1"/>
    <col min="8" max="8" width="0" hidden="1" customWidth="1"/>
    <col min="9" max="9" width="16.25" hidden="1" customWidth="1"/>
    <col min="10" max="10" width="13" hidden="1" customWidth="1"/>
    <col min="11" max="11" width="15.875" hidden="1" customWidth="1"/>
    <col min="12" max="12" width="57" customWidth="1"/>
    <col min="13" max="13" width="0" hidden="1" customWidth="1"/>
    <col min="14" max="14" width="11.5" hidden="1" customWidth="1"/>
    <col min="15" max="15" width="16.75" hidden="1" customWidth="1"/>
    <col min="16" max="16" width="11.375" hidden="1" customWidth="1"/>
    <col min="17" max="17" width="31.125" hidden="1" customWidth="1"/>
    <col min="18" max="18" width="24.875" hidden="1" customWidth="1"/>
    <col min="19" max="19" width="31.375" bestFit="1" customWidth="1"/>
    <col min="20" max="20" width="14.75" hidden="1" customWidth="1"/>
    <col min="21" max="21" width="21.375" hidden="1" customWidth="1"/>
    <col min="22" max="22" width="10.5" hidden="1" customWidth="1"/>
    <col min="23" max="23" width="0" hidden="1" customWidth="1"/>
    <col min="24" max="24" width="22.375" hidden="1" customWidth="1"/>
    <col min="25" max="25" width="15.5" hidden="1" customWidth="1"/>
    <col min="26" max="26" width="12.625" hidden="1" customWidth="1"/>
    <col min="27" max="27" width="22.25" hidden="1" customWidth="1"/>
    <col min="28" max="28" width="18.875" hidden="1" customWidth="1"/>
    <col min="29" max="29" width="16.25" hidden="1" customWidth="1"/>
    <col min="30" max="30" width="13.875" hidden="1" customWidth="1"/>
    <col min="31" max="31" width="23.5" hidden="1" customWidth="1"/>
    <col min="32" max="32" width="0" hidden="1" customWidth="1"/>
    <col min="33" max="33" width="14.75" hidden="1" customWidth="1"/>
    <col min="34" max="34" width="24.375" hidden="1" customWidth="1"/>
    <col min="35" max="35" width="0" hidden="1" customWidth="1"/>
    <col min="36" max="36" width="15.375" hidden="1" customWidth="1"/>
    <col min="37" max="37" width="20.625" hidden="1" customWidth="1"/>
    <col min="38" max="38" width="19" bestFit="1" customWidth="1"/>
    <col min="40" max="40" width="12.125" customWidth="1"/>
    <col min="41" max="41" width="36.875" customWidth="1"/>
    <col min="43" max="43" width="37.5" bestFit="1" customWidth="1"/>
    <col min="44" max="44" width="13.25" bestFit="1" customWidth="1"/>
  </cols>
  <sheetData>
    <row r="1" spans="1:44" ht="26.25">
      <c r="A1" s="159" t="s">
        <v>3078</v>
      </c>
      <c r="B1" t="s">
        <v>3079</v>
      </c>
      <c r="C1" t="s">
        <v>3080</v>
      </c>
      <c r="D1" t="s">
        <v>3081</v>
      </c>
      <c r="E1" t="s">
        <v>3082</v>
      </c>
      <c r="F1" t="s">
        <v>3036</v>
      </c>
      <c r="G1" t="s">
        <v>3083</v>
      </c>
      <c r="H1" t="s">
        <v>2250</v>
      </c>
      <c r="I1" t="s">
        <v>3084</v>
      </c>
      <c r="J1" t="s">
        <v>1538</v>
      </c>
      <c r="K1" t="s">
        <v>3085</v>
      </c>
      <c r="L1" t="s">
        <v>3086</v>
      </c>
      <c r="M1" t="s">
        <v>3087</v>
      </c>
      <c r="N1" t="s">
        <v>3088</v>
      </c>
      <c r="O1" t="s">
        <v>3089</v>
      </c>
      <c r="P1" t="s">
        <v>3090</v>
      </c>
      <c r="Q1" t="s">
        <v>3091</v>
      </c>
      <c r="R1" t="s">
        <v>3092</v>
      </c>
      <c r="S1" t="s">
        <v>3093</v>
      </c>
      <c r="T1" t="s">
        <v>3094</v>
      </c>
      <c r="U1" t="s">
        <v>3095</v>
      </c>
      <c r="V1" t="s">
        <v>3096</v>
      </c>
      <c r="W1" t="s">
        <v>996</v>
      </c>
      <c r="X1" t="s">
        <v>3097</v>
      </c>
      <c r="Y1" t="s">
        <v>3098</v>
      </c>
      <c r="Z1" t="s">
        <v>3099</v>
      </c>
      <c r="AA1" t="s">
        <v>3100</v>
      </c>
      <c r="AB1" t="s">
        <v>3101</v>
      </c>
      <c r="AC1" t="s">
        <v>3102</v>
      </c>
      <c r="AD1" t="s">
        <v>3103</v>
      </c>
      <c r="AE1" t="s">
        <v>3104</v>
      </c>
      <c r="AF1" t="s">
        <v>3105</v>
      </c>
      <c r="AG1" t="s">
        <v>3106</v>
      </c>
      <c r="AH1" t="s">
        <v>3107</v>
      </c>
      <c r="AI1" t="s">
        <v>3108</v>
      </c>
      <c r="AJ1" t="s">
        <v>3109</v>
      </c>
      <c r="AK1" t="s">
        <v>3110</v>
      </c>
      <c r="AL1" t="s">
        <v>3111</v>
      </c>
      <c r="AM1" t="s">
        <v>3112</v>
      </c>
      <c r="AN1" t="s">
        <v>2249</v>
      </c>
      <c r="AO1" t="s">
        <v>2767</v>
      </c>
    </row>
    <row r="2" spans="1:44" s="50" customFormat="1">
      <c r="A2" s="50" t="b">
        <f>NOT(ISERROR(MATCH(Table43[[#This Row],[Alias]],VN_Emails!#REF!,0)))</f>
        <v>0</v>
      </c>
      <c r="B2" s="50" t="s">
        <v>3113</v>
      </c>
      <c r="C2" s="50" t="s">
        <v>3114</v>
      </c>
      <c r="D2" s="147" t="s">
        <v>1879</v>
      </c>
      <c r="E2" s="50" t="s">
        <v>3115</v>
      </c>
      <c r="F2" s="50" t="s">
        <v>3116</v>
      </c>
      <c r="G2" s="50" t="b">
        <v>0</v>
      </c>
      <c r="L2" s="50" t="s">
        <v>1880</v>
      </c>
      <c r="Q2" s="50" t="s">
        <v>3117</v>
      </c>
      <c r="S2" s="50" t="s">
        <v>1881</v>
      </c>
      <c r="V2" s="50" t="s">
        <v>3118</v>
      </c>
      <c r="AC2" s="50" t="s">
        <v>3119</v>
      </c>
      <c r="AJ2" s="50" t="s">
        <v>3120</v>
      </c>
      <c r="AK2" s="50" t="s">
        <v>3114</v>
      </c>
      <c r="AL2" s="50" t="s">
        <v>3121</v>
      </c>
      <c r="AM2" s="50" t="s">
        <v>996</v>
      </c>
      <c r="AN2" s="50" t="s">
        <v>2313</v>
      </c>
      <c r="AO2" s="66" t="s">
        <v>3122</v>
      </c>
      <c r="AQ2" s="50" t="s">
        <v>3123</v>
      </c>
      <c r="AR2" s="50" t="s">
        <v>3124</v>
      </c>
    </row>
    <row r="3" spans="1:44" s="50" customFormat="1" hidden="1">
      <c r="A3" s="50" t="b">
        <f>NOT(ISERROR(MATCH(Table43[[#This Row],[Alias]],VN_Emails!#REF!,0)))</f>
        <v>0</v>
      </c>
      <c r="B3" s="50" t="s">
        <v>3125</v>
      </c>
      <c r="C3" s="50" t="s">
        <v>3126</v>
      </c>
      <c r="D3" s="50" t="s">
        <v>3127</v>
      </c>
      <c r="E3" s="50" t="s">
        <v>3115</v>
      </c>
      <c r="F3" s="50" t="s">
        <v>3125</v>
      </c>
      <c r="G3" s="50" t="b">
        <v>0</v>
      </c>
      <c r="H3" s="50" t="s">
        <v>3128</v>
      </c>
      <c r="K3" s="50" t="b">
        <v>1</v>
      </c>
      <c r="L3" s="50" t="s">
        <v>1855</v>
      </c>
      <c r="N3" s="50" t="s">
        <v>3129</v>
      </c>
      <c r="O3" s="50" t="s">
        <v>3130</v>
      </c>
      <c r="Q3" s="50" t="s">
        <v>3131</v>
      </c>
      <c r="S3" s="50" t="s">
        <v>3132</v>
      </c>
      <c r="V3" s="50" t="s">
        <v>3133</v>
      </c>
      <c r="W3" s="50" t="s">
        <v>3134</v>
      </c>
      <c r="X3" s="50" t="b">
        <v>1</v>
      </c>
      <c r="Y3" s="50" t="s">
        <v>3135</v>
      </c>
      <c r="AC3" s="50" t="s">
        <v>3136</v>
      </c>
      <c r="AF3" s="50" t="s">
        <v>3137</v>
      </c>
      <c r="AG3" s="50" t="s">
        <v>3138</v>
      </c>
      <c r="AH3" s="50" t="b">
        <v>1</v>
      </c>
      <c r="AJ3" s="50" t="s">
        <v>3120</v>
      </c>
      <c r="AK3" s="50" t="s">
        <v>3126</v>
      </c>
      <c r="AL3" s="50" t="s">
        <v>3139</v>
      </c>
      <c r="AM3" s="50" t="s">
        <v>996</v>
      </c>
      <c r="AN3" s="50" t="s">
        <v>2313</v>
      </c>
      <c r="AO3" s="66" t="s">
        <v>3140</v>
      </c>
      <c r="AQ3" s="148" t="s">
        <v>996</v>
      </c>
      <c r="AR3" s="50">
        <v>111</v>
      </c>
    </row>
    <row r="4" spans="1:44" s="50" customFormat="1" hidden="1">
      <c r="A4" s="50" t="b">
        <f>NOT(ISERROR(MATCH(Table43[[#This Row],[Alias]],VN_Emails!#REF!,0)))</f>
        <v>0</v>
      </c>
      <c r="B4" s="50" t="s">
        <v>3141</v>
      </c>
      <c r="C4" s="50" t="s">
        <v>3142</v>
      </c>
      <c r="D4" s="50" t="s">
        <v>3143</v>
      </c>
      <c r="E4" s="50" t="s">
        <v>3115</v>
      </c>
      <c r="F4" s="50" t="s">
        <v>3144</v>
      </c>
      <c r="G4" s="50" t="b">
        <v>0</v>
      </c>
      <c r="J4" s="50" t="s">
        <v>3145</v>
      </c>
      <c r="K4" s="50" t="b">
        <v>1</v>
      </c>
      <c r="L4" s="50" t="s">
        <v>3146</v>
      </c>
      <c r="N4" s="50" t="s">
        <v>3146</v>
      </c>
      <c r="O4" s="50" t="s">
        <v>3147</v>
      </c>
      <c r="Q4" s="50" t="s">
        <v>3148</v>
      </c>
      <c r="S4" s="50" t="s">
        <v>3132</v>
      </c>
      <c r="V4" s="50" t="s">
        <v>3149</v>
      </c>
      <c r="W4" s="50" t="s">
        <v>3145</v>
      </c>
      <c r="X4" s="50" t="b">
        <v>1</v>
      </c>
      <c r="AC4" s="50" t="s">
        <v>3150</v>
      </c>
      <c r="AH4" s="50" t="b">
        <v>1</v>
      </c>
      <c r="AI4" s="50" t="s">
        <v>3151</v>
      </c>
      <c r="AJ4" s="50" t="s">
        <v>1556</v>
      </c>
      <c r="AK4" s="50" t="s">
        <v>3142</v>
      </c>
      <c r="AL4" s="50" t="s">
        <v>3147</v>
      </c>
      <c r="AM4" s="50" t="s">
        <v>996</v>
      </c>
      <c r="AN4" s="50" t="s">
        <v>2313</v>
      </c>
      <c r="AO4" s="66" t="s">
        <v>3152</v>
      </c>
      <c r="AQ4" s="149" t="s">
        <v>3153</v>
      </c>
      <c r="AR4" s="50">
        <v>111</v>
      </c>
    </row>
    <row r="5" spans="1:44" s="50" customFormat="1" hidden="1">
      <c r="A5" s="50" t="b">
        <f>NOT(ISERROR(MATCH(Table43[[#This Row],[Alias]],VN_Emails!#REF!,0)))</f>
        <v>0</v>
      </c>
      <c r="B5" s="50" t="s">
        <v>3154</v>
      </c>
      <c r="C5" s="50" t="s">
        <v>3155</v>
      </c>
      <c r="D5" s="50" t="s">
        <v>1862</v>
      </c>
      <c r="E5" s="50" t="s">
        <v>3115</v>
      </c>
      <c r="F5" s="50" t="s">
        <v>3156</v>
      </c>
      <c r="G5" s="50" t="b">
        <v>0</v>
      </c>
      <c r="L5" s="50" t="s">
        <v>1863</v>
      </c>
      <c r="N5" s="50" t="s">
        <v>3154</v>
      </c>
      <c r="Q5" s="50" t="s">
        <v>3157</v>
      </c>
      <c r="S5" s="50" t="s">
        <v>3132</v>
      </c>
      <c r="V5" s="50" t="s">
        <v>3158</v>
      </c>
      <c r="X5" s="50" t="b">
        <v>1</v>
      </c>
      <c r="AC5" s="50" t="s">
        <v>3159</v>
      </c>
      <c r="AG5" s="50" t="s">
        <v>3160</v>
      </c>
      <c r="AH5" s="50" t="b">
        <v>1</v>
      </c>
      <c r="AI5" s="50" t="s">
        <v>3161</v>
      </c>
      <c r="AJ5" s="50" t="s">
        <v>3120</v>
      </c>
      <c r="AK5" s="50" t="s">
        <v>3155</v>
      </c>
      <c r="AL5" s="50" t="s">
        <v>3162</v>
      </c>
      <c r="AM5" s="50" t="s">
        <v>996</v>
      </c>
      <c r="AN5" s="50" t="s">
        <v>2313</v>
      </c>
      <c r="AO5" s="66" t="s">
        <v>3163</v>
      </c>
      <c r="AQ5" s="150" t="s">
        <v>1881</v>
      </c>
      <c r="AR5" s="50">
        <v>1</v>
      </c>
    </row>
    <row r="6" spans="1:44" hidden="1">
      <c r="A6" s="50" t="b">
        <f>NOT(ISERROR(MATCH(Table43[[#This Row],[Alias]],VN_Emails!#REF!,0)))</f>
        <v>0</v>
      </c>
      <c r="B6" t="s">
        <v>3164</v>
      </c>
      <c r="C6" t="s">
        <v>2053</v>
      </c>
      <c r="D6" t="s">
        <v>2053</v>
      </c>
      <c r="E6" t="s">
        <v>3115</v>
      </c>
      <c r="F6" t="s">
        <v>3165</v>
      </c>
      <c r="G6" t="b">
        <v>0</v>
      </c>
      <c r="L6" t="s">
        <v>2055</v>
      </c>
      <c r="N6" t="s">
        <v>3166</v>
      </c>
      <c r="P6" t="s">
        <v>1520</v>
      </c>
      <c r="Q6" t="s">
        <v>3167</v>
      </c>
      <c r="S6" t="s">
        <v>3168</v>
      </c>
      <c r="V6" t="s">
        <v>3169</v>
      </c>
      <c r="X6" t="b">
        <v>0</v>
      </c>
      <c r="AC6" t="s">
        <v>3170</v>
      </c>
      <c r="AH6" t="b">
        <v>1</v>
      </c>
      <c r="AJ6" t="s">
        <v>3120</v>
      </c>
      <c r="AK6" t="s">
        <v>2053</v>
      </c>
      <c r="AL6" t="s">
        <v>3171</v>
      </c>
      <c r="AM6" t="s">
        <v>996</v>
      </c>
      <c r="AN6" t="s">
        <v>2313</v>
      </c>
      <c r="AQ6" s="151" t="s">
        <v>3132</v>
      </c>
      <c r="AR6">
        <v>3</v>
      </c>
    </row>
    <row r="7" spans="1:44" hidden="1">
      <c r="A7" s="50" t="b">
        <f>NOT(ISERROR(MATCH(Table43[[#This Row],[Alias]],VN_Emails!#REF!,0)))</f>
        <v>0</v>
      </c>
      <c r="B7" t="s">
        <v>3172</v>
      </c>
      <c r="C7" t="s">
        <v>1844</v>
      </c>
      <c r="D7" t="s">
        <v>1844</v>
      </c>
      <c r="E7" t="s">
        <v>3115</v>
      </c>
      <c r="F7" t="s">
        <v>3172</v>
      </c>
      <c r="G7" t="b">
        <v>0</v>
      </c>
      <c r="J7" t="s">
        <v>3173</v>
      </c>
      <c r="L7" t="s">
        <v>3174</v>
      </c>
      <c r="N7" t="s">
        <v>3175</v>
      </c>
      <c r="P7" t="s">
        <v>3176</v>
      </c>
      <c r="Q7" t="s">
        <v>3177</v>
      </c>
      <c r="S7" t="s">
        <v>3168</v>
      </c>
      <c r="V7" t="s">
        <v>3178</v>
      </c>
      <c r="X7" t="b">
        <v>0</v>
      </c>
      <c r="AC7" t="s">
        <v>3179</v>
      </c>
      <c r="AH7" t="b">
        <v>1</v>
      </c>
      <c r="AI7" t="s">
        <v>3180</v>
      </c>
      <c r="AJ7" t="s">
        <v>3120</v>
      </c>
      <c r="AK7" t="s">
        <v>1844</v>
      </c>
      <c r="AL7" t="s">
        <v>3181</v>
      </c>
      <c r="AM7" t="s">
        <v>996</v>
      </c>
      <c r="AN7" t="s">
        <v>2313</v>
      </c>
      <c r="AQ7" s="151" t="s">
        <v>3168</v>
      </c>
      <c r="AR7">
        <v>102</v>
      </c>
    </row>
    <row r="8" spans="1:44" hidden="1">
      <c r="A8" s="50" t="b">
        <f>NOT(ISERROR(MATCH(Table43[[#This Row],[Alias]],VN_Emails!#REF!,0)))</f>
        <v>0</v>
      </c>
      <c r="B8" t="s">
        <v>3182</v>
      </c>
      <c r="C8" t="s">
        <v>3183</v>
      </c>
      <c r="D8" t="s">
        <v>3184</v>
      </c>
      <c r="E8" t="s">
        <v>3115</v>
      </c>
      <c r="F8" t="s">
        <v>3185</v>
      </c>
      <c r="G8" t="b">
        <v>0</v>
      </c>
      <c r="K8" t="b">
        <v>1</v>
      </c>
      <c r="L8" t="s">
        <v>2139</v>
      </c>
      <c r="N8" t="s">
        <v>3186</v>
      </c>
      <c r="O8" t="s">
        <v>3187</v>
      </c>
      <c r="P8" t="s">
        <v>3188</v>
      </c>
      <c r="Q8" t="s">
        <v>3189</v>
      </c>
      <c r="S8" t="s">
        <v>3168</v>
      </c>
      <c r="V8" t="s">
        <v>3190</v>
      </c>
      <c r="X8" t="b">
        <v>1</v>
      </c>
      <c r="AC8" t="s">
        <v>3191</v>
      </c>
      <c r="AH8" t="b">
        <v>1</v>
      </c>
      <c r="AJ8" t="s">
        <v>3120</v>
      </c>
      <c r="AK8" t="s">
        <v>3183</v>
      </c>
      <c r="AL8" t="s">
        <v>3192</v>
      </c>
      <c r="AM8" t="s">
        <v>996</v>
      </c>
      <c r="AN8" t="s">
        <v>2313</v>
      </c>
      <c r="AQ8" s="151" t="s">
        <v>3153</v>
      </c>
      <c r="AR8">
        <v>5</v>
      </c>
    </row>
    <row r="9" spans="1:44" hidden="1">
      <c r="A9" s="50" t="b">
        <f>NOT(ISERROR(MATCH(Table43[[#This Row],[Alias]],VN_Emails!#REF!,0)))</f>
        <v>0</v>
      </c>
      <c r="B9" t="s">
        <v>3193</v>
      </c>
      <c r="C9" t="s">
        <v>3194</v>
      </c>
      <c r="D9" t="s">
        <v>1581</v>
      </c>
      <c r="E9" t="s">
        <v>3115</v>
      </c>
      <c r="F9" t="s">
        <v>3195</v>
      </c>
      <c r="G9" t="b">
        <v>0</v>
      </c>
      <c r="L9" t="s">
        <v>3196</v>
      </c>
      <c r="Q9" t="s">
        <v>3197</v>
      </c>
      <c r="S9" t="s">
        <v>3168</v>
      </c>
      <c r="V9" t="s">
        <v>3198</v>
      </c>
      <c r="AC9" t="s">
        <v>3199</v>
      </c>
      <c r="AJ9" t="s">
        <v>3120</v>
      </c>
      <c r="AK9" t="s">
        <v>3194</v>
      </c>
      <c r="AL9" t="s">
        <v>3200</v>
      </c>
      <c r="AM9" t="s">
        <v>996</v>
      </c>
      <c r="AN9" t="s">
        <v>2313</v>
      </c>
      <c r="AQ9" s="23" t="s">
        <v>56</v>
      </c>
      <c r="AR9">
        <v>68</v>
      </c>
    </row>
    <row r="10" spans="1:44" hidden="1">
      <c r="A10" s="50" t="b">
        <f>NOT(ISERROR(MATCH(Table43[[#This Row],[Alias]],VN_Emails!#REF!,0)))</f>
        <v>0</v>
      </c>
      <c r="B10" t="s">
        <v>3201</v>
      </c>
      <c r="C10" t="s">
        <v>3202</v>
      </c>
      <c r="D10" t="s">
        <v>3203</v>
      </c>
      <c r="E10" t="s">
        <v>3115</v>
      </c>
      <c r="F10" t="s">
        <v>3204</v>
      </c>
      <c r="G10" t="b">
        <v>0</v>
      </c>
      <c r="J10" t="s">
        <v>2021</v>
      </c>
      <c r="K10" t="b">
        <v>1</v>
      </c>
      <c r="L10" t="s">
        <v>1749</v>
      </c>
      <c r="N10" t="s">
        <v>3205</v>
      </c>
      <c r="O10" t="s">
        <v>3206</v>
      </c>
      <c r="P10" t="s">
        <v>3207</v>
      </c>
      <c r="Q10" t="s">
        <v>3208</v>
      </c>
      <c r="S10" t="s">
        <v>3168</v>
      </c>
      <c r="V10" t="s">
        <v>3209</v>
      </c>
      <c r="W10" t="s">
        <v>2021</v>
      </c>
      <c r="X10" t="b">
        <v>1</v>
      </c>
      <c r="AC10" t="s">
        <v>3210</v>
      </c>
      <c r="AH10" t="b">
        <v>1</v>
      </c>
      <c r="AI10" t="s">
        <v>1750</v>
      </c>
      <c r="AJ10" t="s">
        <v>1556</v>
      </c>
      <c r="AK10" t="s">
        <v>3202</v>
      </c>
      <c r="AL10" t="s">
        <v>3206</v>
      </c>
      <c r="AM10" t="s">
        <v>996</v>
      </c>
      <c r="AN10" t="s">
        <v>2313</v>
      </c>
      <c r="AQ10" s="152" t="s">
        <v>3153</v>
      </c>
      <c r="AR10">
        <v>68</v>
      </c>
    </row>
    <row r="11" spans="1:44" hidden="1">
      <c r="A11" s="50" t="b">
        <f>NOT(ISERROR(MATCH(Table43[[#This Row],[Alias]],VN_Emails!#REF!,0)))</f>
        <v>0</v>
      </c>
      <c r="B11" t="s">
        <v>3211</v>
      </c>
      <c r="C11" t="s">
        <v>2117</v>
      </c>
      <c r="D11" t="s">
        <v>2117</v>
      </c>
      <c r="E11" t="s">
        <v>3115</v>
      </c>
      <c r="F11" t="s">
        <v>3212</v>
      </c>
      <c r="G11" t="b">
        <v>0</v>
      </c>
      <c r="L11" t="s">
        <v>2119</v>
      </c>
      <c r="N11" t="s">
        <v>3213</v>
      </c>
      <c r="P11" t="s">
        <v>3214</v>
      </c>
      <c r="Q11" t="s">
        <v>3215</v>
      </c>
      <c r="S11" t="s">
        <v>3168</v>
      </c>
      <c r="V11" t="s">
        <v>3216</v>
      </c>
      <c r="X11" t="b">
        <v>0</v>
      </c>
      <c r="AC11" t="s">
        <v>3217</v>
      </c>
      <c r="AH11" t="b">
        <v>1</v>
      </c>
      <c r="AJ11" t="s">
        <v>3120</v>
      </c>
      <c r="AK11" t="s">
        <v>2117</v>
      </c>
      <c r="AL11" t="s">
        <v>3218</v>
      </c>
      <c r="AM11" t="s">
        <v>996</v>
      </c>
      <c r="AN11" t="s">
        <v>2313</v>
      </c>
      <c r="AQ11" s="151" t="s">
        <v>1881</v>
      </c>
      <c r="AR11">
        <v>56</v>
      </c>
    </row>
    <row r="12" spans="1:44" hidden="1">
      <c r="A12" s="50" t="b">
        <f>NOT(ISERROR(MATCH(Table43[[#This Row],[Alias]],VN_Emails!#REF!,0)))</f>
        <v>0</v>
      </c>
      <c r="B12" t="s">
        <v>3219</v>
      </c>
      <c r="C12" t="s">
        <v>3220</v>
      </c>
      <c r="D12" t="s">
        <v>3220</v>
      </c>
      <c r="E12" t="s">
        <v>3115</v>
      </c>
      <c r="F12" t="s">
        <v>3219</v>
      </c>
      <c r="G12" t="b">
        <v>0</v>
      </c>
      <c r="J12" t="s">
        <v>3173</v>
      </c>
      <c r="L12" t="s">
        <v>3221</v>
      </c>
      <c r="N12" t="s">
        <v>3222</v>
      </c>
      <c r="P12" t="s">
        <v>3213</v>
      </c>
      <c r="Q12" t="s">
        <v>3223</v>
      </c>
      <c r="S12" t="s">
        <v>3168</v>
      </c>
      <c r="V12" t="s">
        <v>3224</v>
      </c>
      <c r="X12" t="b">
        <v>0</v>
      </c>
      <c r="AC12" t="s">
        <v>3225</v>
      </c>
      <c r="AH12" t="b">
        <v>1</v>
      </c>
      <c r="AI12" t="s">
        <v>3226</v>
      </c>
      <c r="AJ12" t="s">
        <v>3120</v>
      </c>
      <c r="AK12" t="s">
        <v>3220</v>
      </c>
      <c r="AL12" t="s">
        <v>3227</v>
      </c>
      <c r="AM12" t="s">
        <v>996</v>
      </c>
      <c r="AN12" t="s">
        <v>2313</v>
      </c>
      <c r="AQ12" s="151" t="s">
        <v>3228</v>
      </c>
      <c r="AR12">
        <v>1</v>
      </c>
    </row>
    <row r="13" spans="1:44">
      <c r="A13" s="50" t="b">
        <f>NOT(ISERROR(MATCH(Table43[[#This Row],[Alias]],VN_Emails!#REF!,0)))</f>
        <v>0</v>
      </c>
      <c r="B13" t="s">
        <v>3229</v>
      </c>
      <c r="C13" t="s">
        <v>3230</v>
      </c>
      <c r="D13" t="s">
        <v>1887</v>
      </c>
      <c r="E13" t="s">
        <v>3115</v>
      </c>
      <c r="F13" t="s">
        <v>3231</v>
      </c>
      <c r="G13" t="b">
        <v>0</v>
      </c>
      <c r="L13" t="s">
        <v>3232</v>
      </c>
      <c r="Q13" t="s">
        <v>3233</v>
      </c>
      <c r="S13" t="s">
        <v>3168</v>
      </c>
      <c r="V13" t="s">
        <v>3234</v>
      </c>
      <c r="AC13" t="s">
        <v>3235</v>
      </c>
      <c r="AJ13" t="s">
        <v>3120</v>
      </c>
      <c r="AK13" t="s">
        <v>3230</v>
      </c>
      <c r="AL13" t="s">
        <v>3236</v>
      </c>
      <c r="AM13" t="s">
        <v>996</v>
      </c>
      <c r="AN13" t="s">
        <v>3237</v>
      </c>
      <c r="AQ13" s="151" t="s">
        <v>3153</v>
      </c>
      <c r="AR13">
        <v>11</v>
      </c>
    </row>
    <row r="14" spans="1:44" hidden="1">
      <c r="A14" s="50" t="b">
        <f>NOT(ISERROR(MATCH(Table43[[#This Row],[Alias]],VN_Emails!#REF!,0)))</f>
        <v>0</v>
      </c>
      <c r="B14" t="s">
        <v>3238</v>
      </c>
      <c r="C14" t="s">
        <v>3239</v>
      </c>
      <c r="D14" t="s">
        <v>2085</v>
      </c>
      <c r="E14" t="s">
        <v>3115</v>
      </c>
      <c r="F14" t="s">
        <v>3240</v>
      </c>
      <c r="G14" t="b">
        <v>0</v>
      </c>
      <c r="L14" t="s">
        <v>3241</v>
      </c>
      <c r="Q14" t="s">
        <v>3242</v>
      </c>
      <c r="S14" t="s">
        <v>3168</v>
      </c>
      <c r="V14" t="s">
        <v>3243</v>
      </c>
      <c r="AC14" t="s">
        <v>3244</v>
      </c>
      <c r="AJ14" t="s">
        <v>3120</v>
      </c>
      <c r="AK14" t="s">
        <v>3239</v>
      </c>
      <c r="AL14" t="s">
        <v>3245</v>
      </c>
      <c r="AM14" t="s">
        <v>996</v>
      </c>
      <c r="AN14" t="s">
        <v>2313</v>
      </c>
      <c r="AQ14" s="23" t="s">
        <v>3153</v>
      </c>
    </row>
    <row r="15" spans="1:44" hidden="1">
      <c r="A15" s="50" t="b">
        <f>NOT(ISERROR(MATCH(Table43[[#This Row],[Alias]],VN_Emails!#REF!,0)))</f>
        <v>0</v>
      </c>
      <c r="B15" t="s">
        <v>3246</v>
      </c>
      <c r="C15" t="s">
        <v>3247</v>
      </c>
      <c r="D15" t="s">
        <v>3248</v>
      </c>
      <c r="E15" t="s">
        <v>3115</v>
      </c>
      <c r="F15" t="s">
        <v>3249</v>
      </c>
      <c r="G15" t="b">
        <v>0</v>
      </c>
      <c r="K15" t="b">
        <v>1</v>
      </c>
      <c r="L15" t="s">
        <v>2169</v>
      </c>
      <c r="N15" t="s">
        <v>3250</v>
      </c>
      <c r="O15" t="s">
        <v>3251</v>
      </c>
      <c r="P15" t="s">
        <v>3252</v>
      </c>
      <c r="Q15" t="s">
        <v>3253</v>
      </c>
      <c r="S15" t="s">
        <v>3168</v>
      </c>
      <c r="V15" t="s">
        <v>3254</v>
      </c>
      <c r="X15" t="b">
        <v>1</v>
      </c>
      <c r="AC15" t="s">
        <v>3255</v>
      </c>
      <c r="AH15" t="b">
        <v>1</v>
      </c>
      <c r="AJ15" t="s">
        <v>3120</v>
      </c>
      <c r="AK15" t="s">
        <v>3247</v>
      </c>
      <c r="AL15" t="s">
        <v>3245</v>
      </c>
      <c r="AM15" t="s">
        <v>996</v>
      </c>
      <c r="AN15" t="s">
        <v>2313</v>
      </c>
      <c r="AQ15" s="152" t="s">
        <v>3153</v>
      </c>
    </row>
    <row r="16" spans="1:44" hidden="1">
      <c r="A16" s="50" t="b">
        <f>NOT(ISERROR(MATCH(Table43[[#This Row],[Alias]],VN_Emails!#REF!,0)))</f>
        <v>0</v>
      </c>
      <c r="B16" t="s">
        <v>3256</v>
      </c>
      <c r="C16" t="s">
        <v>3257</v>
      </c>
      <c r="D16" t="s">
        <v>3258</v>
      </c>
      <c r="E16" t="s">
        <v>3115</v>
      </c>
      <c r="F16" t="s">
        <v>3259</v>
      </c>
      <c r="G16" t="b">
        <v>0</v>
      </c>
      <c r="L16" t="s">
        <v>1983</v>
      </c>
      <c r="Q16" t="s">
        <v>3260</v>
      </c>
      <c r="S16" t="s">
        <v>3168</v>
      </c>
      <c r="V16" t="s">
        <v>3261</v>
      </c>
      <c r="AC16" t="s">
        <v>3262</v>
      </c>
      <c r="AJ16" t="s">
        <v>3120</v>
      </c>
      <c r="AK16" t="s">
        <v>3257</v>
      </c>
      <c r="AL16" t="s">
        <v>3263</v>
      </c>
      <c r="AM16" t="s">
        <v>996</v>
      </c>
      <c r="AN16" t="s">
        <v>2313</v>
      </c>
      <c r="AQ16" s="151" t="s">
        <v>3153</v>
      </c>
    </row>
    <row r="17" spans="1:44" hidden="1">
      <c r="A17" s="50" t="b">
        <f>NOT(ISERROR(MATCH(Table43[[#This Row],[Alias]],VN_Emails!#REF!,0)))</f>
        <v>0</v>
      </c>
      <c r="B17" t="s">
        <v>3264</v>
      </c>
      <c r="C17" t="s">
        <v>3265</v>
      </c>
      <c r="D17" t="s">
        <v>1655</v>
      </c>
      <c r="E17" t="s">
        <v>3115</v>
      </c>
      <c r="F17" t="s">
        <v>3266</v>
      </c>
      <c r="G17" t="b">
        <v>0</v>
      </c>
      <c r="L17" t="s">
        <v>3267</v>
      </c>
      <c r="Q17" t="s">
        <v>3268</v>
      </c>
      <c r="S17" t="s">
        <v>3168</v>
      </c>
      <c r="V17" t="s">
        <v>3269</v>
      </c>
      <c r="AC17" t="s">
        <v>3270</v>
      </c>
      <c r="AJ17" t="s">
        <v>3120</v>
      </c>
      <c r="AK17" t="s">
        <v>3265</v>
      </c>
      <c r="AL17" t="s">
        <v>3271</v>
      </c>
      <c r="AM17" t="s">
        <v>996</v>
      </c>
      <c r="AN17" t="s">
        <v>2313</v>
      </c>
      <c r="AQ17" s="23" t="s">
        <v>3272</v>
      </c>
      <c r="AR17">
        <v>179</v>
      </c>
    </row>
    <row r="18" spans="1:44" hidden="1">
      <c r="A18" s="50" t="b">
        <f>NOT(ISERROR(MATCH(Table43[[#This Row],[Alias]],VN_Emails!#REF!,0)))</f>
        <v>0</v>
      </c>
      <c r="B18" t="s">
        <v>3273</v>
      </c>
      <c r="C18" t="s">
        <v>3274</v>
      </c>
      <c r="D18" t="s">
        <v>2009</v>
      </c>
      <c r="E18" t="s">
        <v>3115</v>
      </c>
      <c r="F18" t="s">
        <v>3275</v>
      </c>
      <c r="G18" t="b">
        <v>0</v>
      </c>
      <c r="H18" t="s">
        <v>3276</v>
      </c>
      <c r="K18" t="b">
        <v>1</v>
      </c>
      <c r="L18" t="s">
        <v>2011</v>
      </c>
      <c r="N18" t="s">
        <v>3277</v>
      </c>
      <c r="O18" t="s">
        <v>3278</v>
      </c>
      <c r="P18" t="s">
        <v>3279</v>
      </c>
      <c r="Q18" t="s">
        <v>3280</v>
      </c>
      <c r="S18" t="s">
        <v>3168</v>
      </c>
      <c r="T18" t="s">
        <v>3281</v>
      </c>
      <c r="V18" t="s">
        <v>3282</v>
      </c>
      <c r="W18" t="s">
        <v>3283</v>
      </c>
      <c r="X18" t="b">
        <v>1</v>
      </c>
      <c r="Y18" t="s">
        <v>3281</v>
      </c>
      <c r="Z18">
        <v>713000</v>
      </c>
      <c r="AC18" t="s">
        <v>3284</v>
      </c>
      <c r="AF18" t="s">
        <v>3137</v>
      </c>
      <c r="AG18" t="s">
        <v>3285</v>
      </c>
      <c r="AH18" t="b">
        <v>1</v>
      </c>
      <c r="AJ18" t="s">
        <v>3120</v>
      </c>
      <c r="AK18" t="s">
        <v>3274</v>
      </c>
      <c r="AL18" t="s">
        <v>3286</v>
      </c>
      <c r="AM18" t="s">
        <v>996</v>
      </c>
      <c r="AN18" t="s">
        <v>2313</v>
      </c>
    </row>
    <row r="19" spans="1:44">
      <c r="A19" s="50" t="b">
        <f>NOT(ISERROR(MATCH(Table43[[#This Row],[Alias]],VN_Emails!#REF!,0)))</f>
        <v>0</v>
      </c>
      <c r="B19" t="s">
        <v>3287</v>
      </c>
      <c r="C19" t="s">
        <v>3288</v>
      </c>
      <c r="D19" t="s">
        <v>1936</v>
      </c>
      <c r="E19" t="s">
        <v>3115</v>
      </c>
      <c r="F19" t="s">
        <v>3289</v>
      </c>
      <c r="G19" t="b">
        <v>0</v>
      </c>
      <c r="L19" t="s">
        <v>3290</v>
      </c>
      <c r="Q19" t="s">
        <v>3291</v>
      </c>
      <c r="S19" t="s">
        <v>3168</v>
      </c>
      <c r="V19" t="s">
        <v>3292</v>
      </c>
      <c r="AC19" t="s">
        <v>3293</v>
      </c>
      <c r="AJ19" t="s">
        <v>1556</v>
      </c>
      <c r="AK19" t="s">
        <v>3288</v>
      </c>
      <c r="AL19" t="s">
        <v>3263</v>
      </c>
      <c r="AM19" t="s">
        <v>996</v>
      </c>
      <c r="AN19" t="s">
        <v>3237</v>
      </c>
    </row>
    <row r="20" spans="1:44" s="50" customFormat="1" ht="26.25">
      <c r="A20" s="50" t="b">
        <f>NOT(ISERROR(MATCH(Table43[[#This Row],[Alias]],VN_Emails!#REF!,0)))</f>
        <v>0</v>
      </c>
      <c r="B20" s="50" t="s">
        <v>3294</v>
      </c>
      <c r="C20" s="50" t="s">
        <v>3295</v>
      </c>
      <c r="D20" s="50" t="s">
        <v>3296</v>
      </c>
      <c r="E20" s="50" t="s">
        <v>3115</v>
      </c>
      <c r="F20" s="50" t="s">
        <v>3297</v>
      </c>
      <c r="G20" s="50" t="b">
        <v>0</v>
      </c>
      <c r="L20" s="50" t="s">
        <v>3298</v>
      </c>
      <c r="Q20" s="50" t="s">
        <v>3299</v>
      </c>
      <c r="S20" s="50" t="s">
        <v>3168</v>
      </c>
      <c r="V20" s="50" t="s">
        <v>3300</v>
      </c>
      <c r="AC20" s="50" t="s">
        <v>3301</v>
      </c>
      <c r="AJ20" s="50" t="s">
        <v>3120</v>
      </c>
      <c r="AK20" s="50" t="s">
        <v>3295</v>
      </c>
      <c r="AL20" s="50" t="s">
        <v>3302</v>
      </c>
      <c r="AM20" s="50" t="s">
        <v>996</v>
      </c>
      <c r="AN20" s="50" t="s">
        <v>2313</v>
      </c>
      <c r="AO20" s="66" t="s">
        <v>3303</v>
      </c>
    </row>
    <row r="21" spans="1:44" hidden="1">
      <c r="A21" s="50" t="b">
        <f>NOT(ISERROR(MATCH(Table43[[#This Row],[Alias]],VN_Emails!#REF!,0)))</f>
        <v>0</v>
      </c>
      <c r="B21" t="s">
        <v>3304</v>
      </c>
      <c r="C21" t="s">
        <v>3305</v>
      </c>
      <c r="D21" t="s">
        <v>2002</v>
      </c>
      <c r="E21" t="s">
        <v>3115</v>
      </c>
      <c r="F21" t="s">
        <v>3306</v>
      </c>
      <c r="G21" t="b">
        <v>0</v>
      </c>
      <c r="J21" t="s">
        <v>2005</v>
      </c>
      <c r="K21" t="b">
        <v>1</v>
      </c>
      <c r="L21" t="s">
        <v>2004</v>
      </c>
      <c r="O21" t="s">
        <v>3307</v>
      </c>
      <c r="Q21" t="s">
        <v>3308</v>
      </c>
      <c r="S21" t="s">
        <v>3168</v>
      </c>
      <c r="V21" t="s">
        <v>3309</v>
      </c>
      <c r="X21" t="b">
        <v>1</v>
      </c>
      <c r="AC21" t="s">
        <v>3310</v>
      </c>
      <c r="AH21" t="b">
        <v>1</v>
      </c>
      <c r="AI21" t="s">
        <v>3311</v>
      </c>
      <c r="AJ21" t="s">
        <v>3120</v>
      </c>
      <c r="AK21" t="s">
        <v>3305</v>
      </c>
      <c r="AL21" t="s">
        <v>3312</v>
      </c>
      <c r="AM21" t="s">
        <v>996</v>
      </c>
      <c r="AN21" t="s">
        <v>2313</v>
      </c>
    </row>
    <row r="22" spans="1:44" hidden="1">
      <c r="A22" s="50" t="b">
        <f>NOT(ISERROR(MATCH(Table43[[#This Row],[Alias]],VN_Emails!#REF!,0)))</f>
        <v>0</v>
      </c>
      <c r="B22" t="s">
        <v>3313</v>
      </c>
      <c r="C22" t="s">
        <v>3314</v>
      </c>
      <c r="D22" t="s">
        <v>2047</v>
      </c>
      <c r="E22" t="s">
        <v>3115</v>
      </c>
      <c r="F22" t="s">
        <v>3315</v>
      </c>
      <c r="G22" t="b">
        <v>0</v>
      </c>
      <c r="K22" t="b">
        <v>1</v>
      </c>
      <c r="L22" t="s">
        <v>3316</v>
      </c>
      <c r="N22" t="s">
        <v>3277</v>
      </c>
      <c r="O22" t="s">
        <v>3317</v>
      </c>
      <c r="P22" t="s">
        <v>3318</v>
      </c>
      <c r="Q22" t="s">
        <v>3319</v>
      </c>
      <c r="S22" t="s">
        <v>3168</v>
      </c>
      <c r="V22" t="s">
        <v>3320</v>
      </c>
      <c r="X22" t="b">
        <v>1</v>
      </c>
      <c r="AC22" t="s">
        <v>3321</v>
      </c>
      <c r="AH22" t="b">
        <v>1</v>
      </c>
      <c r="AJ22" t="s">
        <v>1556</v>
      </c>
      <c r="AK22" t="s">
        <v>3314</v>
      </c>
      <c r="AL22" t="s">
        <v>3317</v>
      </c>
      <c r="AM22" t="s">
        <v>996</v>
      </c>
      <c r="AN22" t="s">
        <v>2313</v>
      </c>
    </row>
    <row r="23" spans="1:44" s="50" customFormat="1" ht="26.25">
      <c r="A23" s="50" t="b">
        <f>NOT(ISERROR(MATCH(Table43[[#This Row],[Alias]],VN_Emails!#REF!,0)))</f>
        <v>0</v>
      </c>
      <c r="B23" s="50" t="s">
        <v>3322</v>
      </c>
      <c r="C23" s="50" t="s">
        <v>3323</v>
      </c>
      <c r="D23" s="50" t="s">
        <v>1948</v>
      </c>
      <c r="E23" s="50" t="s">
        <v>3115</v>
      </c>
      <c r="F23" s="50" t="s">
        <v>3259</v>
      </c>
      <c r="G23" s="50" t="b">
        <v>0</v>
      </c>
      <c r="L23" s="50" t="s">
        <v>1949</v>
      </c>
      <c r="Q23" s="50" t="s">
        <v>3324</v>
      </c>
      <c r="S23" s="50" t="s">
        <v>3168</v>
      </c>
      <c r="V23" s="50" t="s">
        <v>3325</v>
      </c>
      <c r="AC23" s="50" t="s">
        <v>3326</v>
      </c>
      <c r="AJ23" s="50" t="s">
        <v>3120</v>
      </c>
      <c r="AK23" s="50" t="s">
        <v>3323</v>
      </c>
      <c r="AL23" s="50" t="s">
        <v>3263</v>
      </c>
      <c r="AM23" s="50" t="s">
        <v>996</v>
      </c>
      <c r="AN23" s="50" t="s">
        <v>2313</v>
      </c>
      <c r="AO23" s="66" t="s">
        <v>3327</v>
      </c>
    </row>
    <row r="24" spans="1:44" hidden="1">
      <c r="A24" s="50" t="b">
        <f>NOT(ISERROR(MATCH(Table43[[#This Row],[Alias]],VN_Emails!#REF!,0)))</f>
        <v>0</v>
      </c>
      <c r="B24" t="s">
        <v>3328</v>
      </c>
      <c r="C24" t="s">
        <v>3329</v>
      </c>
      <c r="D24" t="s">
        <v>1994</v>
      </c>
      <c r="E24" t="s">
        <v>3115</v>
      </c>
      <c r="F24" t="s">
        <v>3330</v>
      </c>
      <c r="G24" t="b">
        <v>0</v>
      </c>
      <c r="L24" t="s">
        <v>1996</v>
      </c>
      <c r="Q24" t="s">
        <v>3331</v>
      </c>
      <c r="S24" t="s">
        <v>3168</v>
      </c>
      <c r="V24" t="s">
        <v>3332</v>
      </c>
      <c r="AC24" t="s">
        <v>3333</v>
      </c>
      <c r="AJ24" t="s">
        <v>3120</v>
      </c>
      <c r="AK24" t="s">
        <v>3329</v>
      </c>
      <c r="AL24" t="s">
        <v>3334</v>
      </c>
      <c r="AM24" t="s">
        <v>996</v>
      </c>
      <c r="AN24" t="s">
        <v>2313</v>
      </c>
    </row>
    <row r="25" spans="1:44" hidden="1">
      <c r="A25" s="50" t="b">
        <f>NOT(ISERROR(MATCH(Table43[[#This Row],[Alias]],VN_Emails!#REF!,0)))</f>
        <v>0</v>
      </c>
      <c r="B25" t="s">
        <v>3335</v>
      </c>
      <c r="C25" t="s">
        <v>3336</v>
      </c>
      <c r="D25" t="s">
        <v>3337</v>
      </c>
      <c r="E25" t="s">
        <v>3115</v>
      </c>
      <c r="F25" t="s">
        <v>3338</v>
      </c>
      <c r="G25" t="b">
        <v>0</v>
      </c>
      <c r="J25" t="s">
        <v>3339</v>
      </c>
      <c r="K25" t="b">
        <v>1</v>
      </c>
      <c r="L25" t="s">
        <v>1712</v>
      </c>
      <c r="N25" t="s">
        <v>3277</v>
      </c>
      <c r="O25" t="s">
        <v>3340</v>
      </c>
      <c r="P25" t="s">
        <v>3341</v>
      </c>
      <c r="Q25" t="s">
        <v>3342</v>
      </c>
      <c r="S25" t="s">
        <v>3168</v>
      </c>
      <c r="V25" t="s">
        <v>3343</v>
      </c>
      <c r="X25" t="b">
        <v>1</v>
      </c>
      <c r="AC25" t="s">
        <v>3344</v>
      </c>
      <c r="AH25" t="b">
        <v>1</v>
      </c>
      <c r="AI25" t="s">
        <v>3345</v>
      </c>
      <c r="AJ25" t="s">
        <v>3120</v>
      </c>
      <c r="AK25" t="s">
        <v>3336</v>
      </c>
      <c r="AL25" t="s">
        <v>3346</v>
      </c>
      <c r="AM25" t="s">
        <v>996</v>
      </c>
      <c r="AN25" t="s">
        <v>2313</v>
      </c>
    </row>
    <row r="26" spans="1:44" hidden="1">
      <c r="A26" s="50" t="b">
        <f>NOT(ISERROR(MATCH(Table43[[#This Row],[Alias]],VN_Emails!#REF!,0)))</f>
        <v>0</v>
      </c>
      <c r="B26" t="s">
        <v>3347</v>
      </c>
      <c r="C26" t="s">
        <v>3348</v>
      </c>
      <c r="D26" t="s">
        <v>3349</v>
      </c>
      <c r="E26" t="s">
        <v>3115</v>
      </c>
      <c r="F26" t="s">
        <v>3350</v>
      </c>
      <c r="G26" t="b">
        <v>0</v>
      </c>
      <c r="L26" t="s">
        <v>3351</v>
      </c>
      <c r="Q26" t="s">
        <v>3352</v>
      </c>
      <c r="S26" t="s">
        <v>3168</v>
      </c>
      <c r="V26" t="s">
        <v>3353</v>
      </c>
      <c r="AC26" t="s">
        <v>3354</v>
      </c>
      <c r="AJ26" t="s">
        <v>3120</v>
      </c>
      <c r="AK26" t="s">
        <v>3348</v>
      </c>
      <c r="AL26" t="s">
        <v>3245</v>
      </c>
      <c r="AM26" t="s">
        <v>996</v>
      </c>
      <c r="AN26" t="s">
        <v>2313</v>
      </c>
    </row>
    <row r="27" spans="1:44" hidden="1">
      <c r="A27" s="50" t="b">
        <f>NOT(ISERROR(MATCH(Table43[[#This Row],[Alias]],VN_Emails!#REF!,0)))</f>
        <v>0</v>
      </c>
      <c r="B27" t="s">
        <v>3355</v>
      </c>
      <c r="C27" t="s">
        <v>3356</v>
      </c>
      <c r="D27" t="s">
        <v>1646</v>
      </c>
      <c r="E27" t="s">
        <v>3115</v>
      </c>
      <c r="F27" t="s">
        <v>3357</v>
      </c>
      <c r="G27" t="b">
        <v>0</v>
      </c>
      <c r="L27" t="s">
        <v>3358</v>
      </c>
      <c r="Q27" t="s">
        <v>3359</v>
      </c>
      <c r="S27" t="s">
        <v>3168</v>
      </c>
      <c r="V27" t="s">
        <v>3360</v>
      </c>
      <c r="AC27" t="s">
        <v>3361</v>
      </c>
      <c r="AJ27" t="s">
        <v>3120</v>
      </c>
      <c r="AK27" t="s">
        <v>3356</v>
      </c>
      <c r="AL27" t="s">
        <v>3271</v>
      </c>
      <c r="AM27" t="s">
        <v>996</v>
      </c>
      <c r="AN27" t="s">
        <v>2313</v>
      </c>
    </row>
    <row r="28" spans="1:44" hidden="1">
      <c r="A28" s="50" t="b">
        <f>NOT(ISERROR(MATCH(Table43[[#This Row],[Alias]],VN_Emails!#REF!,0)))</f>
        <v>0</v>
      </c>
      <c r="B28" t="s">
        <v>1367</v>
      </c>
      <c r="C28" t="s">
        <v>2006</v>
      </c>
      <c r="D28" t="s">
        <v>2006</v>
      </c>
      <c r="E28" t="s">
        <v>3115</v>
      </c>
      <c r="F28" t="s">
        <v>3362</v>
      </c>
      <c r="G28" t="b">
        <v>0</v>
      </c>
      <c r="L28" t="s">
        <v>3363</v>
      </c>
      <c r="Q28" t="s">
        <v>3364</v>
      </c>
      <c r="S28" t="s">
        <v>3168</v>
      </c>
      <c r="V28" t="s">
        <v>3365</v>
      </c>
      <c r="X28" t="b">
        <v>0</v>
      </c>
      <c r="AC28" t="s">
        <v>3366</v>
      </c>
      <c r="AH28" t="b">
        <v>1</v>
      </c>
      <c r="AJ28" t="s">
        <v>3120</v>
      </c>
      <c r="AK28" t="s">
        <v>2006</v>
      </c>
      <c r="AL28" t="s">
        <v>3367</v>
      </c>
      <c r="AM28" t="s">
        <v>996</v>
      </c>
      <c r="AN28" t="s">
        <v>2313</v>
      </c>
    </row>
    <row r="29" spans="1:44" hidden="1">
      <c r="A29" s="50" t="b">
        <f>NOT(ISERROR(MATCH(Table43[[#This Row],[Alias]],VN_Emails!#REF!,0)))</f>
        <v>0</v>
      </c>
      <c r="B29" t="s">
        <v>3368</v>
      </c>
      <c r="C29" t="s">
        <v>3369</v>
      </c>
      <c r="D29" t="s">
        <v>1558</v>
      </c>
      <c r="E29" t="s">
        <v>3115</v>
      </c>
      <c r="F29" t="s">
        <v>3370</v>
      </c>
      <c r="G29" t="b">
        <v>0</v>
      </c>
      <c r="L29" t="s">
        <v>1560</v>
      </c>
      <c r="Q29" t="s">
        <v>3371</v>
      </c>
      <c r="S29" t="s">
        <v>3168</v>
      </c>
      <c r="V29" t="s">
        <v>3372</v>
      </c>
      <c r="AC29" t="s">
        <v>3373</v>
      </c>
      <c r="AJ29" t="s">
        <v>3120</v>
      </c>
      <c r="AK29" t="s">
        <v>3369</v>
      </c>
      <c r="AL29" t="s">
        <v>3374</v>
      </c>
      <c r="AM29" t="s">
        <v>996</v>
      </c>
      <c r="AN29" t="s">
        <v>2313</v>
      </c>
    </row>
    <row r="30" spans="1:44" hidden="1">
      <c r="A30" s="50" t="b">
        <f>NOT(ISERROR(MATCH(Table43[[#This Row],[Alias]],VN_Emails!#REF!,0)))</f>
        <v>0</v>
      </c>
      <c r="B30" t="s">
        <v>3375</v>
      </c>
      <c r="C30" t="s">
        <v>3376</v>
      </c>
      <c r="D30" t="s">
        <v>2089</v>
      </c>
      <c r="E30" t="s">
        <v>3115</v>
      </c>
      <c r="F30" t="s">
        <v>3377</v>
      </c>
      <c r="G30" t="b">
        <v>0</v>
      </c>
      <c r="L30" t="s">
        <v>3378</v>
      </c>
      <c r="Q30" t="s">
        <v>3379</v>
      </c>
      <c r="S30" t="s">
        <v>3168</v>
      </c>
      <c r="V30" t="s">
        <v>3380</v>
      </c>
      <c r="AC30" t="s">
        <v>3381</v>
      </c>
      <c r="AJ30" t="s">
        <v>3120</v>
      </c>
      <c r="AK30" t="s">
        <v>3376</v>
      </c>
      <c r="AL30" t="s">
        <v>3382</v>
      </c>
      <c r="AM30" t="s">
        <v>996</v>
      </c>
      <c r="AN30" t="s">
        <v>2313</v>
      </c>
    </row>
    <row r="31" spans="1:44">
      <c r="A31" s="50" t="b">
        <f>NOT(ISERROR(MATCH(Table43[[#This Row],[Alias]],VN_Emails!#REF!,0)))</f>
        <v>0</v>
      </c>
      <c r="B31" t="s">
        <v>3383</v>
      </c>
      <c r="C31" t="s">
        <v>3384</v>
      </c>
      <c r="D31" t="s">
        <v>1925</v>
      </c>
      <c r="E31" t="s">
        <v>3115</v>
      </c>
      <c r="F31" t="s">
        <v>3385</v>
      </c>
      <c r="G31" t="b">
        <v>0</v>
      </c>
      <c r="L31" t="s">
        <v>3386</v>
      </c>
      <c r="N31" t="s">
        <v>3387</v>
      </c>
      <c r="P31" t="s">
        <v>3388</v>
      </c>
      <c r="Q31" t="s">
        <v>3389</v>
      </c>
      <c r="S31" t="s">
        <v>3168</v>
      </c>
      <c r="V31" t="s">
        <v>3390</v>
      </c>
      <c r="AC31" t="s">
        <v>3391</v>
      </c>
      <c r="AJ31" t="s">
        <v>3120</v>
      </c>
      <c r="AK31" t="s">
        <v>3384</v>
      </c>
      <c r="AL31" t="s">
        <v>3245</v>
      </c>
      <c r="AM31" t="s">
        <v>996</v>
      </c>
      <c r="AN31" t="s">
        <v>3237</v>
      </c>
    </row>
    <row r="32" spans="1:44" hidden="1">
      <c r="A32" s="50" t="b">
        <f>NOT(ISERROR(MATCH(Table43[[#This Row],[Alias]],VN_Emails!#REF!,0)))</f>
        <v>0</v>
      </c>
      <c r="B32" t="s">
        <v>3392</v>
      </c>
      <c r="C32" t="s">
        <v>3393</v>
      </c>
      <c r="D32" t="s">
        <v>1577</v>
      </c>
      <c r="E32" t="s">
        <v>3115</v>
      </c>
      <c r="F32" t="s">
        <v>3394</v>
      </c>
      <c r="G32" t="b">
        <v>0</v>
      </c>
      <c r="L32" t="s">
        <v>1579</v>
      </c>
      <c r="Q32" t="s">
        <v>3395</v>
      </c>
      <c r="S32" t="s">
        <v>3168</v>
      </c>
      <c r="V32" t="s">
        <v>3396</v>
      </c>
      <c r="AC32" t="s">
        <v>3397</v>
      </c>
      <c r="AJ32" t="s">
        <v>3120</v>
      </c>
      <c r="AK32" t="s">
        <v>3393</v>
      </c>
      <c r="AL32" t="s">
        <v>3236</v>
      </c>
      <c r="AM32" t="s">
        <v>996</v>
      </c>
      <c r="AN32" t="s">
        <v>2313</v>
      </c>
    </row>
    <row r="33" spans="1:41" hidden="1">
      <c r="A33" s="50" t="b">
        <f>NOT(ISERROR(MATCH(Table43[[#This Row],[Alias]],VN_Emails!#REF!,0)))</f>
        <v>0</v>
      </c>
      <c r="B33" t="s">
        <v>3398</v>
      </c>
      <c r="C33" t="s">
        <v>1851</v>
      </c>
      <c r="D33" t="s">
        <v>1851</v>
      </c>
      <c r="E33" t="s">
        <v>3115</v>
      </c>
      <c r="F33" t="s">
        <v>3399</v>
      </c>
      <c r="G33" t="b">
        <v>0</v>
      </c>
      <c r="L33" t="s">
        <v>3400</v>
      </c>
      <c r="N33" t="s">
        <v>3401</v>
      </c>
      <c r="P33" t="s">
        <v>3402</v>
      </c>
      <c r="Q33" t="s">
        <v>3403</v>
      </c>
      <c r="S33" t="s">
        <v>3168</v>
      </c>
      <c r="V33" t="s">
        <v>3404</v>
      </c>
      <c r="X33" t="b">
        <v>0</v>
      </c>
      <c r="AC33" t="s">
        <v>3405</v>
      </c>
      <c r="AH33" t="b">
        <v>1</v>
      </c>
      <c r="AJ33" t="s">
        <v>3120</v>
      </c>
      <c r="AK33" t="s">
        <v>1851</v>
      </c>
      <c r="AL33" t="s">
        <v>3406</v>
      </c>
      <c r="AM33" t="s">
        <v>996</v>
      </c>
      <c r="AN33" t="s">
        <v>2313</v>
      </c>
    </row>
    <row r="34" spans="1:41" hidden="1">
      <c r="A34" s="50" t="b">
        <f>NOT(ISERROR(MATCH(Table43[[#This Row],[Alias]],VN_Emails!#REF!,0)))</f>
        <v>0</v>
      </c>
      <c r="B34" t="s">
        <v>3407</v>
      </c>
      <c r="C34" t="s">
        <v>3408</v>
      </c>
      <c r="D34" t="s">
        <v>1612</v>
      </c>
      <c r="E34" t="s">
        <v>3115</v>
      </c>
      <c r="F34" t="s">
        <v>3409</v>
      </c>
      <c r="G34" t="b">
        <v>0</v>
      </c>
      <c r="L34" t="s">
        <v>3410</v>
      </c>
      <c r="Q34" t="s">
        <v>3411</v>
      </c>
      <c r="S34" t="s">
        <v>3168</v>
      </c>
      <c r="V34" t="s">
        <v>3412</v>
      </c>
      <c r="AC34" t="s">
        <v>3413</v>
      </c>
      <c r="AJ34" t="s">
        <v>3120</v>
      </c>
      <c r="AK34" t="s">
        <v>3408</v>
      </c>
      <c r="AL34" t="s">
        <v>3245</v>
      </c>
      <c r="AM34" t="s">
        <v>996</v>
      </c>
      <c r="AN34" t="s">
        <v>2313</v>
      </c>
    </row>
    <row r="35" spans="1:41" hidden="1">
      <c r="A35" s="50" t="b">
        <f>NOT(ISERROR(MATCH(Table43[[#This Row],[Alias]],VN_Emails!#REF!,0)))</f>
        <v>0</v>
      </c>
      <c r="B35" t="s">
        <v>3414</v>
      </c>
      <c r="C35" t="s">
        <v>3415</v>
      </c>
      <c r="D35" t="s">
        <v>1675</v>
      </c>
      <c r="E35" t="s">
        <v>3115</v>
      </c>
      <c r="F35" t="s">
        <v>3416</v>
      </c>
      <c r="G35" t="b">
        <v>0</v>
      </c>
      <c r="K35" t="b">
        <v>1</v>
      </c>
      <c r="L35" t="s">
        <v>1676</v>
      </c>
      <c r="N35" t="s">
        <v>3417</v>
      </c>
      <c r="O35" t="s">
        <v>3418</v>
      </c>
      <c r="P35" t="s">
        <v>3419</v>
      </c>
      <c r="Q35" t="s">
        <v>3420</v>
      </c>
      <c r="S35" t="s">
        <v>3168</v>
      </c>
      <c r="V35" t="s">
        <v>3421</v>
      </c>
      <c r="X35" t="b">
        <v>1</v>
      </c>
      <c r="AC35" t="s">
        <v>3422</v>
      </c>
      <c r="AH35" t="b">
        <v>1</v>
      </c>
      <c r="AI35" t="s">
        <v>3423</v>
      </c>
      <c r="AJ35" t="s">
        <v>3120</v>
      </c>
      <c r="AK35" t="s">
        <v>3415</v>
      </c>
      <c r="AL35" t="s">
        <v>3424</v>
      </c>
      <c r="AM35" t="s">
        <v>996</v>
      </c>
      <c r="AN35" t="s">
        <v>2313</v>
      </c>
    </row>
    <row r="36" spans="1:41" hidden="1">
      <c r="A36" s="50" t="b">
        <f>NOT(ISERROR(MATCH(Table43[[#This Row],[Alias]],VN_Emails!#REF!,0)))</f>
        <v>0</v>
      </c>
      <c r="B36" t="s">
        <v>3425</v>
      </c>
      <c r="C36" t="s">
        <v>3426</v>
      </c>
      <c r="D36" t="s">
        <v>1635</v>
      </c>
      <c r="E36" t="s">
        <v>3115</v>
      </c>
      <c r="F36" t="s">
        <v>3427</v>
      </c>
      <c r="G36" t="b">
        <v>0</v>
      </c>
      <c r="L36" t="s">
        <v>3428</v>
      </c>
      <c r="Q36" t="s">
        <v>3429</v>
      </c>
      <c r="S36" t="s">
        <v>3168</v>
      </c>
      <c r="V36" t="s">
        <v>3430</v>
      </c>
      <c r="AC36" t="s">
        <v>3431</v>
      </c>
      <c r="AJ36" t="s">
        <v>3120</v>
      </c>
      <c r="AK36" t="s">
        <v>3426</v>
      </c>
      <c r="AL36" t="s">
        <v>3271</v>
      </c>
      <c r="AM36" t="s">
        <v>996</v>
      </c>
      <c r="AN36" t="s">
        <v>2313</v>
      </c>
    </row>
    <row r="37" spans="1:41" hidden="1">
      <c r="A37" s="50" t="b">
        <f>NOT(ISERROR(MATCH(Table43[[#This Row],[Alias]],VN_Emails!#REF!,0)))</f>
        <v>0</v>
      </c>
      <c r="B37" t="s">
        <v>3432</v>
      </c>
      <c r="C37" t="s">
        <v>3433</v>
      </c>
      <c r="D37" t="s">
        <v>1978</v>
      </c>
      <c r="E37" t="s">
        <v>3115</v>
      </c>
      <c r="F37" t="s">
        <v>3434</v>
      </c>
      <c r="G37" t="b">
        <v>0</v>
      </c>
      <c r="L37" t="s">
        <v>3435</v>
      </c>
      <c r="Q37" t="s">
        <v>3436</v>
      </c>
      <c r="S37" t="s">
        <v>3168</v>
      </c>
      <c r="V37" t="s">
        <v>3437</v>
      </c>
      <c r="AC37" t="s">
        <v>3438</v>
      </c>
      <c r="AJ37" t="s">
        <v>3120</v>
      </c>
      <c r="AK37" t="s">
        <v>3433</v>
      </c>
      <c r="AL37" t="s">
        <v>3271</v>
      </c>
      <c r="AM37" t="s">
        <v>996</v>
      </c>
      <c r="AN37" t="s">
        <v>2313</v>
      </c>
    </row>
    <row r="38" spans="1:41" hidden="1">
      <c r="A38" s="50" t="b">
        <f>NOT(ISERROR(MATCH(Table43[[#This Row],[Alias]],VN_Emails!#REF!,0)))</f>
        <v>0</v>
      </c>
      <c r="B38" t="s">
        <v>3439</v>
      </c>
      <c r="C38" t="s">
        <v>3440</v>
      </c>
      <c r="D38" t="s">
        <v>1619</v>
      </c>
      <c r="E38" t="s">
        <v>3115</v>
      </c>
      <c r="F38" t="s">
        <v>3441</v>
      </c>
      <c r="G38" t="b">
        <v>0</v>
      </c>
      <c r="L38" t="s">
        <v>3442</v>
      </c>
      <c r="Q38" t="s">
        <v>3443</v>
      </c>
      <c r="S38" t="s">
        <v>3168</v>
      </c>
      <c r="V38" t="s">
        <v>3444</v>
      </c>
      <c r="AC38" t="s">
        <v>3445</v>
      </c>
      <c r="AJ38" t="s">
        <v>3120</v>
      </c>
      <c r="AK38" t="s">
        <v>3440</v>
      </c>
      <c r="AL38" t="s">
        <v>3245</v>
      </c>
      <c r="AM38" t="s">
        <v>996</v>
      </c>
      <c r="AN38" t="s">
        <v>2313</v>
      </c>
    </row>
    <row r="39" spans="1:41" hidden="1">
      <c r="A39" s="50" t="b">
        <f>NOT(ISERROR(MATCH(Table43[[#This Row],[Alias]],VN_Emails!#REF!,0)))</f>
        <v>0</v>
      </c>
      <c r="B39" t="s">
        <v>3446</v>
      </c>
      <c r="C39" t="s">
        <v>3447</v>
      </c>
      <c r="D39" t="s">
        <v>1574</v>
      </c>
      <c r="E39" t="s">
        <v>3115</v>
      </c>
      <c r="F39" t="s">
        <v>3448</v>
      </c>
      <c r="G39" t="b">
        <v>0</v>
      </c>
      <c r="K39" t="b">
        <v>1</v>
      </c>
      <c r="L39" t="s">
        <v>1575</v>
      </c>
      <c r="O39" t="s">
        <v>3449</v>
      </c>
      <c r="Q39" t="s">
        <v>3450</v>
      </c>
      <c r="S39" t="s">
        <v>3168</v>
      </c>
      <c r="V39" t="s">
        <v>3451</v>
      </c>
      <c r="X39" t="b">
        <v>1</v>
      </c>
      <c r="AC39" t="s">
        <v>3452</v>
      </c>
      <c r="AH39" t="b">
        <v>1</v>
      </c>
      <c r="AI39" t="s">
        <v>1629</v>
      </c>
      <c r="AJ39" t="s">
        <v>1556</v>
      </c>
      <c r="AK39" t="s">
        <v>3447</v>
      </c>
      <c r="AL39" t="s">
        <v>3453</v>
      </c>
      <c r="AM39" t="s">
        <v>996</v>
      </c>
      <c r="AN39" t="s">
        <v>2313</v>
      </c>
    </row>
    <row r="40" spans="1:41">
      <c r="A40" s="50" t="b">
        <f>NOT(ISERROR(MATCH(Table43[[#This Row],[Alias]],VN_Emails!#REF!,0)))</f>
        <v>0</v>
      </c>
      <c r="B40" t="s">
        <v>3454</v>
      </c>
      <c r="C40" t="s">
        <v>3455</v>
      </c>
      <c r="D40" t="s">
        <v>3456</v>
      </c>
      <c r="E40" t="s">
        <v>3115</v>
      </c>
      <c r="F40" t="s">
        <v>3457</v>
      </c>
      <c r="G40" t="b">
        <v>0</v>
      </c>
      <c r="J40" t="s">
        <v>3458</v>
      </c>
      <c r="L40" t="s">
        <v>3459</v>
      </c>
      <c r="N40" t="s">
        <v>3460</v>
      </c>
      <c r="P40" t="s">
        <v>3461</v>
      </c>
      <c r="Q40" t="s">
        <v>3462</v>
      </c>
      <c r="S40" t="s">
        <v>3168</v>
      </c>
      <c r="V40" t="s">
        <v>3463</v>
      </c>
      <c r="X40" t="b">
        <v>0</v>
      </c>
      <c r="AC40" t="s">
        <v>3464</v>
      </c>
      <c r="AH40" t="b">
        <v>1</v>
      </c>
      <c r="AI40" t="s">
        <v>3465</v>
      </c>
      <c r="AJ40" t="s">
        <v>3120</v>
      </c>
      <c r="AK40" t="s">
        <v>3455</v>
      </c>
      <c r="AL40" t="s">
        <v>3466</v>
      </c>
      <c r="AM40" t="s">
        <v>996</v>
      </c>
      <c r="AN40" t="s">
        <v>3237</v>
      </c>
    </row>
    <row r="41" spans="1:41" s="50" customFormat="1" ht="26.25">
      <c r="A41" s="50" t="b">
        <f>NOT(ISERROR(MATCH(Table43[[#This Row],[Alias]],VN_Emails!#REF!,0)))</f>
        <v>0</v>
      </c>
      <c r="B41" s="50" t="s">
        <v>3467</v>
      </c>
      <c r="C41" s="50" t="s">
        <v>3468</v>
      </c>
      <c r="D41" s="50" t="s">
        <v>1952</v>
      </c>
      <c r="E41" s="50" t="s">
        <v>3115</v>
      </c>
      <c r="F41" s="50" t="s">
        <v>3469</v>
      </c>
      <c r="G41" s="50" t="b">
        <v>0</v>
      </c>
      <c r="K41" s="50" t="b">
        <v>1</v>
      </c>
      <c r="L41" s="50" t="s">
        <v>3470</v>
      </c>
      <c r="N41" s="50" t="s">
        <v>3471</v>
      </c>
      <c r="O41" s="50" t="s">
        <v>3472</v>
      </c>
      <c r="P41" s="50" t="s">
        <v>3473</v>
      </c>
      <c r="Q41" s="50" t="s">
        <v>3474</v>
      </c>
      <c r="S41" s="50" t="s">
        <v>3168</v>
      </c>
      <c r="V41" s="50" t="s">
        <v>3475</v>
      </c>
      <c r="X41" s="50" t="b">
        <v>1</v>
      </c>
      <c r="AC41" s="50" t="s">
        <v>3476</v>
      </c>
      <c r="AH41" s="50" t="b">
        <v>1</v>
      </c>
      <c r="AJ41" s="50" t="s">
        <v>3120</v>
      </c>
      <c r="AK41" s="50" t="s">
        <v>3468</v>
      </c>
      <c r="AL41" s="50" t="s">
        <v>3477</v>
      </c>
      <c r="AM41" s="50" t="s">
        <v>996</v>
      </c>
      <c r="AN41" s="50" t="s">
        <v>2313</v>
      </c>
      <c r="AO41" s="66" t="s">
        <v>3478</v>
      </c>
    </row>
    <row r="42" spans="1:41" hidden="1">
      <c r="A42" s="50" t="b">
        <f>NOT(ISERROR(MATCH(Table43[[#This Row],[Alias]],VN_Emails!#REF!,0)))</f>
        <v>0</v>
      </c>
      <c r="B42" t="s">
        <v>3479</v>
      </c>
      <c r="C42" t="s">
        <v>3480</v>
      </c>
      <c r="D42" t="s">
        <v>3481</v>
      </c>
      <c r="E42" t="s">
        <v>3115</v>
      </c>
      <c r="F42" t="s">
        <v>3482</v>
      </c>
      <c r="G42" t="b">
        <v>0</v>
      </c>
      <c r="J42" t="s">
        <v>3483</v>
      </c>
      <c r="K42" t="b">
        <v>1</v>
      </c>
      <c r="L42" t="s">
        <v>2000</v>
      </c>
      <c r="N42" t="s">
        <v>3471</v>
      </c>
      <c r="O42" t="s">
        <v>3340</v>
      </c>
      <c r="P42" t="s">
        <v>3484</v>
      </c>
      <c r="Q42" t="s">
        <v>3485</v>
      </c>
      <c r="S42" t="s">
        <v>3168</v>
      </c>
      <c r="V42" t="s">
        <v>3486</v>
      </c>
      <c r="X42" t="b">
        <v>1</v>
      </c>
      <c r="AC42" t="s">
        <v>3487</v>
      </c>
      <c r="AH42" t="b">
        <v>1</v>
      </c>
      <c r="AI42" t="s">
        <v>3488</v>
      </c>
      <c r="AJ42" t="s">
        <v>3120</v>
      </c>
      <c r="AK42" t="s">
        <v>3480</v>
      </c>
      <c r="AL42" t="s">
        <v>3346</v>
      </c>
      <c r="AM42" t="s">
        <v>996</v>
      </c>
      <c r="AN42" t="s">
        <v>2313</v>
      </c>
    </row>
    <row r="43" spans="1:41" hidden="1">
      <c r="A43" s="50" t="b">
        <f>NOT(ISERROR(MATCH(Table43[[#This Row],[Alias]],VN_Emails!#REF!,0)))</f>
        <v>0</v>
      </c>
      <c r="B43" t="s">
        <v>3489</v>
      </c>
      <c r="C43" t="s">
        <v>3490</v>
      </c>
      <c r="D43" t="s">
        <v>1586</v>
      </c>
      <c r="E43" t="s">
        <v>3115</v>
      </c>
      <c r="F43" t="s">
        <v>3491</v>
      </c>
      <c r="G43" t="b">
        <v>0</v>
      </c>
      <c r="L43" t="s">
        <v>3492</v>
      </c>
      <c r="Q43" t="s">
        <v>3493</v>
      </c>
      <c r="S43" t="s">
        <v>3168</v>
      </c>
      <c r="V43" t="s">
        <v>3494</v>
      </c>
      <c r="AC43" t="s">
        <v>3495</v>
      </c>
      <c r="AJ43" t="s">
        <v>3120</v>
      </c>
      <c r="AK43" t="s">
        <v>3490</v>
      </c>
      <c r="AL43" t="s">
        <v>3200</v>
      </c>
      <c r="AM43" t="s">
        <v>996</v>
      </c>
      <c r="AN43" t="s">
        <v>2313</v>
      </c>
    </row>
    <row r="44" spans="1:41" hidden="1">
      <c r="A44" s="50" t="b">
        <f>NOT(ISERROR(MATCH(Table43[[#This Row],[Alias]],VN_Emails!#REF!,0)))</f>
        <v>0</v>
      </c>
      <c r="B44" t="s">
        <v>3496</v>
      </c>
      <c r="C44" t="s">
        <v>2064</v>
      </c>
      <c r="D44" t="s">
        <v>2064</v>
      </c>
      <c r="E44" t="s">
        <v>3115</v>
      </c>
      <c r="F44" t="s">
        <v>3497</v>
      </c>
      <c r="G44" t="b">
        <v>0</v>
      </c>
      <c r="L44" t="s">
        <v>2066</v>
      </c>
      <c r="Q44" t="s">
        <v>3498</v>
      </c>
      <c r="S44" t="s">
        <v>3168</v>
      </c>
      <c r="V44" t="s">
        <v>3499</v>
      </c>
      <c r="X44" t="b">
        <v>0</v>
      </c>
      <c r="AC44" t="s">
        <v>3500</v>
      </c>
      <c r="AH44" t="b">
        <v>1</v>
      </c>
      <c r="AJ44" t="s">
        <v>1556</v>
      </c>
      <c r="AK44" t="s">
        <v>2064</v>
      </c>
      <c r="AL44" t="s">
        <v>3501</v>
      </c>
      <c r="AM44" t="s">
        <v>996</v>
      </c>
      <c r="AN44" t="s">
        <v>2313</v>
      </c>
    </row>
    <row r="45" spans="1:41" hidden="1">
      <c r="A45" s="50" t="b">
        <f>NOT(ISERROR(MATCH(Table43[[#This Row],[Alias]],VN_Emails!#REF!,0)))</f>
        <v>0</v>
      </c>
      <c r="B45" t="s">
        <v>3502</v>
      </c>
      <c r="C45" t="s">
        <v>3503</v>
      </c>
      <c r="D45" t="s">
        <v>3504</v>
      </c>
      <c r="E45" t="s">
        <v>3115</v>
      </c>
      <c r="F45" t="s">
        <v>3505</v>
      </c>
      <c r="G45" t="b">
        <v>0</v>
      </c>
      <c r="K45" t="b">
        <v>1</v>
      </c>
      <c r="L45" t="s">
        <v>1964</v>
      </c>
      <c r="N45" t="s">
        <v>3506</v>
      </c>
      <c r="O45" t="s">
        <v>3507</v>
      </c>
      <c r="P45" t="s">
        <v>3508</v>
      </c>
      <c r="Q45" t="s">
        <v>3509</v>
      </c>
      <c r="S45" t="s">
        <v>3168</v>
      </c>
      <c r="V45" t="s">
        <v>3510</v>
      </c>
      <c r="X45" t="b">
        <v>1</v>
      </c>
      <c r="AC45" t="s">
        <v>3511</v>
      </c>
      <c r="AH45" t="b">
        <v>1</v>
      </c>
      <c r="AJ45" t="s">
        <v>3120</v>
      </c>
      <c r="AK45" t="s">
        <v>3503</v>
      </c>
      <c r="AL45" t="s">
        <v>3512</v>
      </c>
      <c r="AM45" t="s">
        <v>996</v>
      </c>
      <c r="AN45" t="s">
        <v>2313</v>
      </c>
    </row>
    <row r="46" spans="1:41" hidden="1">
      <c r="A46" s="50" t="b">
        <f>NOT(ISERROR(MATCH(Table43[[#This Row],[Alias]],VN_Emails!#REF!,0)))</f>
        <v>0</v>
      </c>
      <c r="B46" t="s">
        <v>3513</v>
      </c>
      <c r="C46" t="s">
        <v>1838</v>
      </c>
      <c r="D46" t="s">
        <v>1838</v>
      </c>
      <c r="E46" t="s">
        <v>3115</v>
      </c>
      <c r="F46" t="s">
        <v>3514</v>
      </c>
      <c r="G46" t="b">
        <v>0</v>
      </c>
      <c r="J46" t="s">
        <v>3173</v>
      </c>
      <c r="L46" t="s">
        <v>3515</v>
      </c>
      <c r="N46" t="s">
        <v>3516</v>
      </c>
      <c r="P46" t="s">
        <v>3517</v>
      </c>
      <c r="Q46" t="s">
        <v>3518</v>
      </c>
      <c r="S46" t="s">
        <v>3168</v>
      </c>
      <c r="V46" t="s">
        <v>3519</v>
      </c>
      <c r="X46" t="b">
        <v>0</v>
      </c>
      <c r="AC46" t="s">
        <v>3520</v>
      </c>
      <c r="AH46" t="b">
        <v>1</v>
      </c>
      <c r="AI46" t="s">
        <v>3226</v>
      </c>
      <c r="AJ46" t="s">
        <v>3120</v>
      </c>
      <c r="AK46" t="s">
        <v>1838</v>
      </c>
      <c r="AL46" t="s">
        <v>3521</v>
      </c>
      <c r="AM46" t="s">
        <v>996</v>
      </c>
      <c r="AN46" t="s">
        <v>2313</v>
      </c>
    </row>
    <row r="47" spans="1:41" hidden="1">
      <c r="A47" s="50" t="b">
        <f>NOT(ISERROR(MATCH(Table43[[#This Row],[Alias]],VN_Emails!#REF!,0)))</f>
        <v>0</v>
      </c>
      <c r="B47" t="s">
        <v>3522</v>
      </c>
      <c r="C47" t="s">
        <v>3523</v>
      </c>
      <c r="D47" t="s">
        <v>1665</v>
      </c>
      <c r="E47" t="s">
        <v>3115</v>
      </c>
      <c r="F47" t="s">
        <v>3524</v>
      </c>
      <c r="G47" t="b">
        <v>0</v>
      </c>
      <c r="L47" t="s">
        <v>1667</v>
      </c>
      <c r="Q47" t="s">
        <v>3525</v>
      </c>
      <c r="S47" t="s">
        <v>3168</v>
      </c>
      <c r="V47" t="s">
        <v>3526</v>
      </c>
      <c r="AC47" t="s">
        <v>3527</v>
      </c>
      <c r="AJ47" t="s">
        <v>3120</v>
      </c>
      <c r="AK47" t="s">
        <v>3523</v>
      </c>
      <c r="AL47" t="s">
        <v>3528</v>
      </c>
      <c r="AM47" t="s">
        <v>996</v>
      </c>
      <c r="AN47" t="s">
        <v>2313</v>
      </c>
    </row>
    <row r="48" spans="1:41">
      <c r="A48" s="50" t="b">
        <f>NOT(ISERROR(MATCH(Table43[[#This Row],[Alias]],VN_Emails!#REF!,0)))</f>
        <v>0</v>
      </c>
      <c r="B48" t="s">
        <v>3529</v>
      </c>
      <c r="C48" t="s">
        <v>3530</v>
      </c>
      <c r="D48" t="s">
        <v>1901</v>
      </c>
      <c r="E48" t="s">
        <v>3115</v>
      </c>
      <c r="F48" t="s">
        <v>3531</v>
      </c>
      <c r="G48" t="b">
        <v>0</v>
      </c>
      <c r="L48" t="s">
        <v>3532</v>
      </c>
      <c r="Q48" t="s">
        <v>3533</v>
      </c>
      <c r="S48" t="s">
        <v>3168</v>
      </c>
      <c r="V48" t="s">
        <v>3534</v>
      </c>
      <c r="AC48" t="s">
        <v>3535</v>
      </c>
      <c r="AJ48" t="s">
        <v>3120</v>
      </c>
      <c r="AK48" t="s">
        <v>3530</v>
      </c>
      <c r="AL48" t="s">
        <v>3271</v>
      </c>
      <c r="AM48" t="s">
        <v>996</v>
      </c>
      <c r="AN48" t="s">
        <v>3237</v>
      </c>
    </row>
    <row r="49" spans="1:40" hidden="1">
      <c r="A49" s="50" t="b">
        <f>NOT(ISERROR(MATCH(Table43[[#This Row],[Alias]],VN_Emails!#REF!,0)))</f>
        <v>0</v>
      </c>
      <c r="B49" t="s">
        <v>3536</v>
      </c>
      <c r="C49" t="s">
        <v>3537</v>
      </c>
      <c r="D49" t="s">
        <v>1661</v>
      </c>
      <c r="E49" t="s">
        <v>3115</v>
      </c>
      <c r="F49" t="s">
        <v>3538</v>
      </c>
      <c r="G49" t="b">
        <v>0</v>
      </c>
      <c r="L49" t="s">
        <v>3539</v>
      </c>
      <c r="Q49" t="s">
        <v>3540</v>
      </c>
      <c r="S49" t="s">
        <v>3168</v>
      </c>
      <c r="V49" t="s">
        <v>3541</v>
      </c>
      <c r="AC49" t="s">
        <v>3542</v>
      </c>
      <c r="AJ49" t="s">
        <v>3120</v>
      </c>
      <c r="AK49" t="s">
        <v>3537</v>
      </c>
      <c r="AL49" t="s">
        <v>3271</v>
      </c>
      <c r="AM49" t="s">
        <v>996</v>
      </c>
      <c r="AN49" t="s">
        <v>2313</v>
      </c>
    </row>
    <row r="50" spans="1:40" hidden="1">
      <c r="A50" s="50" t="b">
        <f>NOT(ISERROR(MATCH(Table43[[#This Row],[Alias]],VN_Emails!#REF!,0)))</f>
        <v>0</v>
      </c>
      <c r="B50" t="s">
        <v>3543</v>
      </c>
      <c r="C50" t="s">
        <v>3544</v>
      </c>
      <c r="D50" t="s">
        <v>3545</v>
      </c>
      <c r="E50" t="s">
        <v>3115</v>
      </c>
      <c r="F50" t="s">
        <v>3546</v>
      </c>
      <c r="G50" t="b">
        <v>0</v>
      </c>
      <c r="J50" t="s">
        <v>3483</v>
      </c>
      <c r="K50" t="b">
        <v>1</v>
      </c>
      <c r="L50" t="s">
        <v>1974</v>
      </c>
      <c r="O50" t="s">
        <v>3547</v>
      </c>
      <c r="Q50" t="s">
        <v>3548</v>
      </c>
      <c r="S50" t="s">
        <v>3168</v>
      </c>
      <c r="V50" t="s">
        <v>3549</v>
      </c>
      <c r="X50" t="b">
        <v>1</v>
      </c>
      <c r="AC50" t="s">
        <v>3550</v>
      </c>
      <c r="AH50" t="b">
        <v>1</v>
      </c>
      <c r="AI50" t="s">
        <v>3551</v>
      </c>
      <c r="AJ50" t="s">
        <v>1556</v>
      </c>
      <c r="AK50" t="s">
        <v>3544</v>
      </c>
      <c r="AL50" t="s">
        <v>3552</v>
      </c>
      <c r="AM50" t="s">
        <v>996</v>
      </c>
      <c r="AN50" t="s">
        <v>2313</v>
      </c>
    </row>
    <row r="51" spans="1:40" hidden="1">
      <c r="A51" s="50" t="b">
        <f>NOT(ISERROR(MATCH(Table43[[#This Row],[Alias]],VN_Emails!#REF!,0)))</f>
        <v>0</v>
      </c>
      <c r="B51" t="s">
        <v>3553</v>
      </c>
      <c r="C51" t="s">
        <v>3554</v>
      </c>
      <c r="D51" t="s">
        <v>3555</v>
      </c>
      <c r="E51" t="s">
        <v>3115</v>
      </c>
      <c r="F51" t="s">
        <v>3556</v>
      </c>
      <c r="G51" t="b">
        <v>0</v>
      </c>
      <c r="J51" t="s">
        <v>3557</v>
      </c>
      <c r="K51" t="b">
        <v>1</v>
      </c>
      <c r="L51" t="s">
        <v>2044</v>
      </c>
      <c r="N51" t="s">
        <v>3558</v>
      </c>
      <c r="O51" t="s">
        <v>3251</v>
      </c>
      <c r="P51" t="s">
        <v>3559</v>
      </c>
      <c r="Q51" t="s">
        <v>3560</v>
      </c>
      <c r="S51" t="s">
        <v>3168</v>
      </c>
      <c r="V51" t="s">
        <v>3561</v>
      </c>
      <c r="X51" t="b">
        <v>1</v>
      </c>
      <c r="AC51" t="s">
        <v>3562</v>
      </c>
      <c r="AH51" t="b">
        <v>1</v>
      </c>
      <c r="AI51" t="s">
        <v>3563</v>
      </c>
      <c r="AJ51" t="s">
        <v>1556</v>
      </c>
      <c r="AK51" t="s">
        <v>3554</v>
      </c>
      <c r="AL51" t="s">
        <v>3564</v>
      </c>
      <c r="AM51" t="s">
        <v>996</v>
      </c>
      <c r="AN51" t="s">
        <v>2313</v>
      </c>
    </row>
    <row r="52" spans="1:40" hidden="1">
      <c r="A52" s="50" t="b">
        <f>NOT(ISERROR(MATCH(Table43[[#This Row],[Alias]],VN_Emails!#REF!,0)))</f>
        <v>0</v>
      </c>
      <c r="B52" t="s">
        <v>3565</v>
      </c>
      <c r="C52" t="s">
        <v>3566</v>
      </c>
      <c r="D52" t="s">
        <v>1691</v>
      </c>
      <c r="E52" t="s">
        <v>3115</v>
      </c>
      <c r="F52" t="s">
        <v>3567</v>
      </c>
      <c r="G52" t="b">
        <v>0</v>
      </c>
      <c r="K52" t="b">
        <v>1</v>
      </c>
      <c r="L52" t="s">
        <v>1693</v>
      </c>
      <c r="N52" t="s">
        <v>3401</v>
      </c>
      <c r="O52" t="s">
        <v>3568</v>
      </c>
      <c r="P52" t="s">
        <v>3569</v>
      </c>
      <c r="Q52" t="s">
        <v>3570</v>
      </c>
      <c r="S52" t="s">
        <v>3168</v>
      </c>
      <c r="V52" t="s">
        <v>3571</v>
      </c>
      <c r="X52" t="b">
        <v>1</v>
      </c>
      <c r="AC52" t="s">
        <v>3572</v>
      </c>
      <c r="AH52" t="b">
        <v>1</v>
      </c>
      <c r="AJ52" t="s">
        <v>3120</v>
      </c>
      <c r="AK52" t="s">
        <v>3566</v>
      </c>
      <c r="AL52" t="s">
        <v>3573</v>
      </c>
      <c r="AM52" t="s">
        <v>996</v>
      </c>
      <c r="AN52" t="s">
        <v>2313</v>
      </c>
    </row>
    <row r="53" spans="1:40" hidden="1">
      <c r="A53" s="50" t="b">
        <f>NOT(ISERROR(MATCH(Table43[[#This Row],[Alias]],VN_Emails!#REF!,0)))</f>
        <v>0</v>
      </c>
      <c r="B53" t="s">
        <v>3574</v>
      </c>
      <c r="C53" t="s">
        <v>3575</v>
      </c>
      <c r="D53" t="s">
        <v>3576</v>
      </c>
      <c r="E53" t="s">
        <v>3115</v>
      </c>
      <c r="F53" t="s">
        <v>3577</v>
      </c>
      <c r="G53" t="b">
        <v>0</v>
      </c>
      <c r="K53" t="b">
        <v>1</v>
      </c>
      <c r="L53" t="s">
        <v>1699</v>
      </c>
      <c r="N53" t="s">
        <v>3401</v>
      </c>
      <c r="O53" t="s">
        <v>3578</v>
      </c>
      <c r="P53" t="s">
        <v>3579</v>
      </c>
      <c r="Q53" t="s">
        <v>3580</v>
      </c>
      <c r="S53" t="s">
        <v>3168</v>
      </c>
      <c r="V53" t="s">
        <v>3581</v>
      </c>
      <c r="X53" t="b">
        <v>1</v>
      </c>
      <c r="AC53" t="s">
        <v>3582</v>
      </c>
      <c r="AH53" t="b">
        <v>1</v>
      </c>
      <c r="AJ53" t="s">
        <v>3120</v>
      </c>
      <c r="AK53" t="s">
        <v>3575</v>
      </c>
      <c r="AL53" t="s">
        <v>3583</v>
      </c>
      <c r="AM53" t="s">
        <v>996</v>
      </c>
      <c r="AN53" t="s">
        <v>2313</v>
      </c>
    </row>
    <row r="54" spans="1:40" hidden="1">
      <c r="A54" s="50" t="b">
        <f>NOT(ISERROR(MATCH(Table43[[#This Row],[Alias]],VN_Emails!#REF!,0)))</f>
        <v>0</v>
      </c>
      <c r="B54" t="s">
        <v>3584</v>
      </c>
      <c r="C54" t="s">
        <v>3585</v>
      </c>
      <c r="D54" t="s">
        <v>1759</v>
      </c>
      <c r="E54" t="s">
        <v>3115</v>
      </c>
      <c r="F54" t="s">
        <v>3586</v>
      </c>
      <c r="G54" t="b">
        <v>0</v>
      </c>
      <c r="H54" t="s">
        <v>4</v>
      </c>
      <c r="K54" t="b">
        <v>1</v>
      </c>
      <c r="L54" t="s">
        <v>1760</v>
      </c>
      <c r="O54" t="s">
        <v>3449</v>
      </c>
      <c r="Q54" t="s">
        <v>3587</v>
      </c>
      <c r="S54" t="s">
        <v>3168</v>
      </c>
      <c r="V54" t="s">
        <v>3588</v>
      </c>
      <c r="W54" t="s">
        <v>3283</v>
      </c>
      <c r="X54" t="b">
        <v>1</v>
      </c>
      <c r="Y54" t="s">
        <v>3589</v>
      </c>
      <c r="AC54" t="s">
        <v>3590</v>
      </c>
      <c r="AF54" t="s">
        <v>3137</v>
      </c>
      <c r="AG54" t="s">
        <v>3591</v>
      </c>
      <c r="AH54" t="b">
        <v>1</v>
      </c>
      <c r="AI54" t="s">
        <v>3592</v>
      </c>
      <c r="AJ54" t="s">
        <v>3120</v>
      </c>
      <c r="AK54" t="s">
        <v>3585</v>
      </c>
      <c r="AL54" t="s">
        <v>3593</v>
      </c>
      <c r="AM54" t="s">
        <v>996</v>
      </c>
      <c r="AN54" t="s">
        <v>2313</v>
      </c>
    </row>
    <row r="55" spans="1:40">
      <c r="A55" s="50" t="b">
        <f>NOT(ISERROR(MATCH(Table43[[#This Row],[Alias]],VN_Emails!#REF!,0)))</f>
        <v>0</v>
      </c>
      <c r="B55" t="s">
        <v>3594</v>
      </c>
      <c r="C55" t="s">
        <v>1922</v>
      </c>
      <c r="D55" t="s">
        <v>1922</v>
      </c>
      <c r="E55" t="s">
        <v>3115</v>
      </c>
      <c r="F55" t="s">
        <v>3595</v>
      </c>
      <c r="G55" t="b">
        <v>0</v>
      </c>
      <c r="L55" t="s">
        <v>3596</v>
      </c>
      <c r="N55" t="s">
        <v>3558</v>
      </c>
      <c r="P55" t="s">
        <v>3597</v>
      </c>
      <c r="Q55" t="s">
        <v>3598</v>
      </c>
      <c r="S55" t="s">
        <v>3168</v>
      </c>
      <c r="V55" t="s">
        <v>3599</v>
      </c>
      <c r="X55" t="b">
        <v>0</v>
      </c>
      <c r="AC55" t="s">
        <v>3600</v>
      </c>
      <c r="AH55" t="b">
        <v>1</v>
      </c>
      <c r="AJ55" t="s">
        <v>3120</v>
      </c>
      <c r="AK55" t="s">
        <v>1922</v>
      </c>
      <c r="AL55" t="s">
        <v>3601</v>
      </c>
      <c r="AM55" t="s">
        <v>996</v>
      </c>
      <c r="AN55" t="s">
        <v>3237</v>
      </c>
    </row>
    <row r="56" spans="1:40" hidden="1">
      <c r="A56" s="50" t="b">
        <f>NOT(ISERROR(MATCH(Table43[[#This Row],[Alias]],VN_Emails!#REF!,0)))</f>
        <v>0</v>
      </c>
      <c r="B56" t="s">
        <v>3602</v>
      </c>
      <c r="C56" t="s">
        <v>3603</v>
      </c>
      <c r="D56" t="s">
        <v>2076</v>
      </c>
      <c r="E56" t="s">
        <v>3115</v>
      </c>
      <c r="F56" t="s">
        <v>3604</v>
      </c>
      <c r="G56" t="b">
        <v>0</v>
      </c>
      <c r="K56" t="b">
        <v>1</v>
      </c>
      <c r="L56" t="s">
        <v>2078</v>
      </c>
      <c r="N56" t="s">
        <v>3558</v>
      </c>
      <c r="O56" t="s">
        <v>3605</v>
      </c>
      <c r="P56" t="s">
        <v>3606</v>
      </c>
      <c r="Q56" t="s">
        <v>3607</v>
      </c>
      <c r="S56" t="s">
        <v>3168</v>
      </c>
      <c r="V56" t="s">
        <v>3608</v>
      </c>
      <c r="X56" t="b">
        <v>1</v>
      </c>
      <c r="AC56" t="s">
        <v>3609</v>
      </c>
      <c r="AH56" t="b">
        <v>1</v>
      </c>
      <c r="AI56" t="s">
        <v>1601</v>
      </c>
      <c r="AJ56" t="s">
        <v>3120</v>
      </c>
      <c r="AK56" t="s">
        <v>3603</v>
      </c>
      <c r="AL56" t="s">
        <v>3610</v>
      </c>
      <c r="AM56" t="s">
        <v>996</v>
      </c>
      <c r="AN56" t="s">
        <v>2313</v>
      </c>
    </row>
    <row r="57" spans="1:40" hidden="1">
      <c r="A57" s="50" t="b">
        <f>NOT(ISERROR(MATCH(Table43[[#This Row],[Alias]],VN_Emails!#REF!,0)))</f>
        <v>0</v>
      </c>
      <c r="B57" t="s">
        <v>3611</v>
      </c>
      <c r="C57" t="s">
        <v>3612</v>
      </c>
      <c r="D57" t="s">
        <v>2155</v>
      </c>
      <c r="E57" t="s">
        <v>3115</v>
      </c>
      <c r="F57" t="s">
        <v>3613</v>
      </c>
      <c r="G57" t="b">
        <v>0</v>
      </c>
      <c r="K57" t="b">
        <v>1</v>
      </c>
      <c r="L57" t="s">
        <v>2157</v>
      </c>
      <c r="N57" t="s">
        <v>3401</v>
      </c>
      <c r="O57" t="s">
        <v>3340</v>
      </c>
      <c r="P57" t="s">
        <v>3614</v>
      </c>
      <c r="Q57" t="s">
        <v>3615</v>
      </c>
      <c r="S57" t="s">
        <v>3168</v>
      </c>
      <c r="V57" t="s">
        <v>3616</v>
      </c>
      <c r="X57" t="b">
        <v>1</v>
      </c>
      <c r="AC57" t="s">
        <v>3617</v>
      </c>
      <c r="AH57" t="b">
        <v>1</v>
      </c>
      <c r="AI57" t="s">
        <v>3592</v>
      </c>
      <c r="AJ57" t="s">
        <v>3120</v>
      </c>
      <c r="AK57" t="s">
        <v>3612</v>
      </c>
      <c r="AL57" t="s">
        <v>3618</v>
      </c>
      <c r="AM57" t="s">
        <v>996</v>
      </c>
      <c r="AN57" t="s">
        <v>2313</v>
      </c>
    </row>
    <row r="58" spans="1:40" hidden="1">
      <c r="A58" s="50" t="b">
        <f>NOT(ISERROR(MATCH(Table43[[#This Row],[Alias]],VN_Emails!#REF!,0)))</f>
        <v>0</v>
      </c>
      <c r="B58" t="s">
        <v>3619</v>
      </c>
      <c r="C58" t="s">
        <v>3620</v>
      </c>
      <c r="D58" t="s">
        <v>1715</v>
      </c>
      <c r="E58" t="s">
        <v>3115</v>
      </c>
      <c r="F58" t="s">
        <v>3621</v>
      </c>
      <c r="G58" t="b">
        <v>0</v>
      </c>
      <c r="J58" t="s">
        <v>3483</v>
      </c>
      <c r="K58" t="b">
        <v>1</v>
      </c>
      <c r="L58" t="s">
        <v>1717</v>
      </c>
      <c r="N58" t="s">
        <v>3401</v>
      </c>
      <c r="O58" t="s">
        <v>3622</v>
      </c>
      <c r="P58" t="s">
        <v>3623</v>
      </c>
      <c r="Q58" t="s">
        <v>3624</v>
      </c>
      <c r="S58" t="s">
        <v>3168</v>
      </c>
      <c r="V58" t="s">
        <v>3625</v>
      </c>
      <c r="X58" t="b">
        <v>1</v>
      </c>
      <c r="AC58" t="s">
        <v>3626</v>
      </c>
      <c r="AH58" t="b">
        <v>1</v>
      </c>
      <c r="AI58" t="s">
        <v>3627</v>
      </c>
      <c r="AJ58" t="s">
        <v>3120</v>
      </c>
      <c r="AK58" t="s">
        <v>3620</v>
      </c>
      <c r="AL58" t="s">
        <v>3628</v>
      </c>
      <c r="AM58" t="s">
        <v>996</v>
      </c>
      <c r="AN58" t="s">
        <v>2313</v>
      </c>
    </row>
    <row r="59" spans="1:40" hidden="1">
      <c r="A59" s="50" t="b">
        <f>NOT(ISERROR(MATCH(Table43[[#This Row],[Alias]],VN_Emails!#REF!,0)))</f>
        <v>0</v>
      </c>
      <c r="B59" t="s">
        <v>3629</v>
      </c>
      <c r="C59" t="s">
        <v>3630</v>
      </c>
      <c r="D59" t="s">
        <v>1626</v>
      </c>
      <c r="E59" t="s">
        <v>3115</v>
      </c>
      <c r="F59" t="s">
        <v>3409</v>
      </c>
      <c r="G59" t="b">
        <v>0</v>
      </c>
      <c r="K59" t="b">
        <v>1</v>
      </c>
      <c r="L59" t="s">
        <v>1627</v>
      </c>
      <c r="O59" t="s">
        <v>3631</v>
      </c>
      <c r="Q59" t="s">
        <v>3632</v>
      </c>
      <c r="S59" t="s">
        <v>3168</v>
      </c>
      <c r="V59" t="s">
        <v>3633</v>
      </c>
      <c r="X59" t="b">
        <v>1</v>
      </c>
      <c r="AC59" t="s">
        <v>3634</v>
      </c>
      <c r="AH59" t="b">
        <v>1</v>
      </c>
      <c r="AI59" t="s">
        <v>3635</v>
      </c>
      <c r="AJ59" t="s">
        <v>3120</v>
      </c>
      <c r="AK59" t="s">
        <v>3630</v>
      </c>
      <c r="AL59" t="s">
        <v>3245</v>
      </c>
      <c r="AM59" t="s">
        <v>996</v>
      </c>
      <c r="AN59" t="s">
        <v>2313</v>
      </c>
    </row>
    <row r="60" spans="1:40" hidden="1">
      <c r="A60" s="50" t="b">
        <f>NOT(ISERROR(MATCH(Table43[[#This Row],[Alias]],VN_Emails!#REF!,0)))</f>
        <v>0</v>
      </c>
      <c r="B60" t="s">
        <v>3636</v>
      </c>
      <c r="C60" t="s">
        <v>1669</v>
      </c>
      <c r="D60" t="s">
        <v>1669</v>
      </c>
      <c r="E60" t="s">
        <v>3115</v>
      </c>
      <c r="F60" t="s">
        <v>3637</v>
      </c>
      <c r="G60" t="b">
        <v>0</v>
      </c>
      <c r="L60" t="s">
        <v>1671</v>
      </c>
      <c r="N60" t="s">
        <v>3401</v>
      </c>
      <c r="P60" t="s">
        <v>3638</v>
      </c>
      <c r="Q60" t="s">
        <v>3639</v>
      </c>
      <c r="S60" t="s">
        <v>3168</v>
      </c>
      <c r="V60" t="s">
        <v>3640</v>
      </c>
      <c r="X60" t="b">
        <v>0</v>
      </c>
      <c r="AC60" t="s">
        <v>3641</v>
      </c>
      <c r="AH60" t="b">
        <v>1</v>
      </c>
      <c r="AJ60" t="s">
        <v>3120</v>
      </c>
      <c r="AK60" t="s">
        <v>1669</v>
      </c>
      <c r="AL60" t="s">
        <v>3642</v>
      </c>
      <c r="AM60" t="s">
        <v>996</v>
      </c>
      <c r="AN60" t="s">
        <v>2313</v>
      </c>
    </row>
    <row r="61" spans="1:40" hidden="1">
      <c r="A61" s="50" t="b">
        <f>NOT(ISERROR(MATCH(Table43[[#This Row],[Alias]],VN_Emails!#REF!,0)))</f>
        <v>0</v>
      </c>
      <c r="B61" t="s">
        <v>3643</v>
      </c>
      <c r="C61" t="s">
        <v>3644</v>
      </c>
      <c r="D61" t="s">
        <v>1589</v>
      </c>
      <c r="E61" t="s">
        <v>3115</v>
      </c>
      <c r="F61" t="s">
        <v>3645</v>
      </c>
      <c r="G61" t="b">
        <v>0</v>
      </c>
      <c r="L61" t="s">
        <v>1591</v>
      </c>
      <c r="Q61" t="s">
        <v>3646</v>
      </c>
      <c r="S61" t="s">
        <v>3168</v>
      </c>
      <c r="V61" t="s">
        <v>3647</v>
      </c>
      <c r="AC61" t="s">
        <v>3648</v>
      </c>
      <c r="AJ61" t="s">
        <v>3120</v>
      </c>
      <c r="AK61" t="s">
        <v>3644</v>
      </c>
      <c r="AL61" t="s">
        <v>3453</v>
      </c>
      <c r="AM61" t="s">
        <v>996</v>
      </c>
      <c r="AN61" t="s">
        <v>2313</v>
      </c>
    </row>
    <row r="62" spans="1:40" hidden="1">
      <c r="A62" s="50" t="b">
        <f>NOT(ISERROR(MATCH(Table43[[#This Row],[Alias]],VN_Emails!#REF!,0)))</f>
        <v>0</v>
      </c>
      <c r="B62" t="s">
        <v>3649</v>
      </c>
      <c r="C62" t="s">
        <v>3650</v>
      </c>
      <c r="D62" t="s">
        <v>3651</v>
      </c>
      <c r="E62" t="s">
        <v>3115</v>
      </c>
      <c r="F62" t="s">
        <v>3652</v>
      </c>
      <c r="G62" t="b">
        <v>0</v>
      </c>
      <c r="K62" t="b">
        <v>1</v>
      </c>
      <c r="L62" t="s">
        <v>1988</v>
      </c>
      <c r="N62" t="s">
        <v>3653</v>
      </c>
      <c r="O62" t="s">
        <v>3251</v>
      </c>
      <c r="P62" t="s">
        <v>3654</v>
      </c>
      <c r="Q62" t="s">
        <v>3655</v>
      </c>
      <c r="S62" t="s">
        <v>3168</v>
      </c>
      <c r="V62" t="s">
        <v>3656</v>
      </c>
      <c r="X62" t="b">
        <v>1</v>
      </c>
      <c r="AC62" t="s">
        <v>3657</v>
      </c>
      <c r="AH62" t="b">
        <v>1</v>
      </c>
      <c r="AJ62" t="s">
        <v>3120</v>
      </c>
      <c r="AK62" t="s">
        <v>3650</v>
      </c>
      <c r="AL62" t="s">
        <v>3658</v>
      </c>
      <c r="AM62" t="s">
        <v>996</v>
      </c>
      <c r="AN62" t="s">
        <v>2313</v>
      </c>
    </row>
    <row r="63" spans="1:40" hidden="1">
      <c r="A63" s="50" t="b">
        <f>NOT(ISERROR(MATCH(Table43[[#This Row],[Alias]],VN_Emails!#REF!,0)))</f>
        <v>0</v>
      </c>
      <c r="B63" t="s">
        <v>3659</v>
      </c>
      <c r="C63" t="s">
        <v>3660</v>
      </c>
      <c r="D63" t="s">
        <v>3661</v>
      </c>
      <c r="E63" t="s">
        <v>3115</v>
      </c>
      <c r="F63" t="s">
        <v>3662</v>
      </c>
      <c r="G63" t="b">
        <v>0</v>
      </c>
      <c r="H63" t="s">
        <v>3128</v>
      </c>
      <c r="K63" t="b">
        <v>1</v>
      </c>
      <c r="L63" t="s">
        <v>2062</v>
      </c>
      <c r="N63" t="s">
        <v>3401</v>
      </c>
      <c r="O63" t="s">
        <v>3663</v>
      </c>
      <c r="P63" t="s">
        <v>3664</v>
      </c>
      <c r="Q63" t="s">
        <v>3665</v>
      </c>
      <c r="S63" t="s">
        <v>3168</v>
      </c>
      <c r="V63" t="s">
        <v>3666</v>
      </c>
      <c r="W63" t="s">
        <v>3283</v>
      </c>
      <c r="X63" t="b">
        <v>1</v>
      </c>
      <c r="Y63" t="s">
        <v>3667</v>
      </c>
      <c r="AC63" t="s">
        <v>3668</v>
      </c>
      <c r="AF63" t="s">
        <v>3137</v>
      </c>
      <c r="AG63" t="s">
        <v>3134</v>
      </c>
      <c r="AH63" t="b">
        <v>1</v>
      </c>
      <c r="AJ63" t="s">
        <v>3120</v>
      </c>
      <c r="AK63" t="s">
        <v>3660</v>
      </c>
      <c r="AL63" t="s">
        <v>3573</v>
      </c>
      <c r="AM63" t="s">
        <v>996</v>
      </c>
      <c r="AN63" t="s">
        <v>2313</v>
      </c>
    </row>
    <row r="64" spans="1:40" hidden="1">
      <c r="A64" s="50" t="b">
        <f>NOT(ISERROR(MATCH(Table43[[#This Row],[Alias]],VN_Emails!#REF!,0)))</f>
        <v>0</v>
      </c>
      <c r="B64" t="s">
        <v>3669</v>
      </c>
      <c r="C64" t="s">
        <v>2026</v>
      </c>
      <c r="D64" t="s">
        <v>2026</v>
      </c>
      <c r="E64" t="s">
        <v>3115</v>
      </c>
      <c r="F64" t="s">
        <v>3670</v>
      </c>
      <c r="G64" t="b">
        <v>0</v>
      </c>
      <c r="L64" t="s">
        <v>2028</v>
      </c>
      <c r="N64" t="s">
        <v>3401</v>
      </c>
      <c r="P64" t="s">
        <v>3671</v>
      </c>
      <c r="Q64" t="s">
        <v>3672</v>
      </c>
      <c r="S64" t="s">
        <v>3168</v>
      </c>
      <c r="V64" t="s">
        <v>3673</v>
      </c>
      <c r="X64" t="b">
        <v>0</v>
      </c>
      <c r="AC64" t="s">
        <v>3674</v>
      </c>
      <c r="AH64" t="b">
        <v>1</v>
      </c>
      <c r="AI64" t="s">
        <v>1638</v>
      </c>
      <c r="AJ64" t="s">
        <v>3120</v>
      </c>
      <c r="AK64" t="s">
        <v>2026</v>
      </c>
      <c r="AL64" t="s">
        <v>3675</v>
      </c>
      <c r="AM64" t="s">
        <v>996</v>
      </c>
      <c r="AN64" t="s">
        <v>2313</v>
      </c>
    </row>
    <row r="65" spans="1:40" hidden="1">
      <c r="A65" s="50" t="b">
        <f>NOT(ISERROR(MATCH(Table43[[#This Row],[Alias]],VN_Emails!#REF!,0)))</f>
        <v>0</v>
      </c>
      <c r="B65" t="s">
        <v>3676</v>
      </c>
      <c r="C65" t="s">
        <v>3677</v>
      </c>
      <c r="D65" t="s">
        <v>1550</v>
      </c>
      <c r="E65" t="s">
        <v>3115</v>
      </c>
      <c r="F65" t="s">
        <v>3678</v>
      </c>
      <c r="G65" t="b">
        <v>0</v>
      </c>
      <c r="L65" t="s">
        <v>1419</v>
      </c>
      <c r="Q65" t="s">
        <v>3679</v>
      </c>
      <c r="S65" t="s">
        <v>3168</v>
      </c>
      <c r="V65" t="s">
        <v>3680</v>
      </c>
      <c r="AC65" t="s">
        <v>3681</v>
      </c>
      <c r="AJ65" t="s">
        <v>3120</v>
      </c>
      <c r="AK65" t="s">
        <v>3677</v>
      </c>
      <c r="AL65" t="s">
        <v>3200</v>
      </c>
      <c r="AM65" t="s">
        <v>996</v>
      </c>
      <c r="AN65" t="s">
        <v>2313</v>
      </c>
    </row>
    <row r="66" spans="1:40" hidden="1">
      <c r="A66" s="50" t="b">
        <f>NOT(ISERROR(MATCH(Table43[[#This Row],[Alias]],VN_Emails!#REF!,0)))</f>
        <v>0</v>
      </c>
      <c r="B66" t="s">
        <v>3682</v>
      </c>
      <c r="C66" t="s">
        <v>3683</v>
      </c>
      <c r="D66" t="s">
        <v>3684</v>
      </c>
      <c r="E66" t="s">
        <v>3115</v>
      </c>
      <c r="F66" t="s">
        <v>3685</v>
      </c>
      <c r="G66" t="b">
        <v>0</v>
      </c>
      <c r="J66" t="s">
        <v>3686</v>
      </c>
      <c r="K66" t="b">
        <v>1</v>
      </c>
      <c r="L66" t="s">
        <v>1739</v>
      </c>
      <c r="N66" t="s">
        <v>3401</v>
      </c>
      <c r="O66" t="s">
        <v>3687</v>
      </c>
      <c r="P66" t="s">
        <v>3688</v>
      </c>
      <c r="Q66" t="s">
        <v>3689</v>
      </c>
      <c r="S66" t="s">
        <v>3168</v>
      </c>
      <c r="V66" t="s">
        <v>3690</v>
      </c>
      <c r="X66" t="b">
        <v>1</v>
      </c>
      <c r="AC66" t="s">
        <v>3691</v>
      </c>
      <c r="AH66" t="b">
        <v>1</v>
      </c>
      <c r="AI66" t="s">
        <v>1937</v>
      </c>
      <c r="AJ66" t="s">
        <v>1556</v>
      </c>
      <c r="AK66" t="s">
        <v>3683</v>
      </c>
      <c r="AL66" t="s">
        <v>3692</v>
      </c>
      <c r="AM66" t="s">
        <v>996</v>
      </c>
      <c r="AN66" t="s">
        <v>2313</v>
      </c>
    </row>
    <row r="67" spans="1:40" hidden="1">
      <c r="A67" s="50" t="b">
        <f>NOT(ISERROR(MATCH(Table43[[#This Row],[Alias]],VN_Emails!#REF!,0)))</f>
        <v>0</v>
      </c>
      <c r="B67" t="s">
        <v>3693</v>
      </c>
      <c r="C67" t="s">
        <v>3694</v>
      </c>
      <c r="D67" t="s">
        <v>3695</v>
      </c>
      <c r="E67" t="s">
        <v>3115</v>
      </c>
      <c r="F67" t="s">
        <v>3696</v>
      </c>
      <c r="G67" t="b">
        <v>0</v>
      </c>
      <c r="K67" t="b">
        <v>1</v>
      </c>
      <c r="L67" t="s">
        <v>2034</v>
      </c>
      <c r="N67" t="s">
        <v>3401</v>
      </c>
      <c r="O67" t="s">
        <v>3697</v>
      </c>
      <c r="P67" t="s">
        <v>3698</v>
      </c>
      <c r="Q67" t="s">
        <v>3699</v>
      </c>
      <c r="S67" t="s">
        <v>3168</v>
      </c>
      <c r="V67" t="s">
        <v>3700</v>
      </c>
      <c r="X67" t="b">
        <v>1</v>
      </c>
      <c r="AC67" t="s">
        <v>3701</v>
      </c>
      <c r="AH67" t="b">
        <v>1</v>
      </c>
      <c r="AJ67" t="s">
        <v>3120</v>
      </c>
      <c r="AK67" t="s">
        <v>3694</v>
      </c>
      <c r="AL67" t="s">
        <v>3702</v>
      </c>
      <c r="AM67" t="s">
        <v>996</v>
      </c>
      <c r="AN67" t="s">
        <v>2313</v>
      </c>
    </row>
    <row r="68" spans="1:40" hidden="1">
      <c r="A68" s="50" t="b">
        <f>NOT(ISERROR(MATCH(Table43[[#This Row],[Alias]],VN_Emails!#REF!,0)))</f>
        <v>0</v>
      </c>
      <c r="B68" t="s">
        <v>3703</v>
      </c>
      <c r="C68" t="s">
        <v>3704</v>
      </c>
      <c r="D68" t="s">
        <v>1598</v>
      </c>
      <c r="E68" t="s">
        <v>3115</v>
      </c>
      <c r="F68" t="s">
        <v>3604</v>
      </c>
      <c r="G68" t="b">
        <v>0</v>
      </c>
      <c r="L68" t="s">
        <v>1600</v>
      </c>
      <c r="Q68" t="s">
        <v>3705</v>
      </c>
      <c r="S68" t="s">
        <v>3168</v>
      </c>
      <c r="V68" t="s">
        <v>3706</v>
      </c>
      <c r="AC68" t="s">
        <v>3707</v>
      </c>
      <c r="AJ68" t="s">
        <v>3120</v>
      </c>
      <c r="AK68" t="s">
        <v>3704</v>
      </c>
      <c r="AL68" t="s">
        <v>3453</v>
      </c>
      <c r="AM68" t="s">
        <v>996</v>
      </c>
      <c r="AN68" t="s">
        <v>2313</v>
      </c>
    </row>
    <row r="69" spans="1:40" hidden="1">
      <c r="A69" s="50" t="b">
        <f>NOT(ISERROR(MATCH(Table43[[#This Row],[Alias]],VN_Emails!#REF!,0)))</f>
        <v>0</v>
      </c>
      <c r="B69" t="s">
        <v>3708</v>
      </c>
      <c r="C69" t="s">
        <v>1848</v>
      </c>
      <c r="D69" t="s">
        <v>1848</v>
      </c>
      <c r="E69" t="s">
        <v>3115</v>
      </c>
      <c r="F69" t="s">
        <v>3709</v>
      </c>
      <c r="G69" t="b">
        <v>0</v>
      </c>
      <c r="J69" t="s">
        <v>3173</v>
      </c>
      <c r="L69" t="s">
        <v>1850</v>
      </c>
      <c r="N69" t="s">
        <v>3710</v>
      </c>
      <c r="P69" t="s">
        <v>3711</v>
      </c>
      <c r="Q69" t="s">
        <v>3712</v>
      </c>
      <c r="S69" t="s">
        <v>3168</v>
      </c>
      <c r="V69" t="s">
        <v>3713</v>
      </c>
      <c r="X69" t="b">
        <v>0</v>
      </c>
      <c r="AC69" t="s">
        <v>3714</v>
      </c>
      <c r="AH69" t="b">
        <v>1</v>
      </c>
      <c r="AI69" t="s">
        <v>3226</v>
      </c>
      <c r="AJ69" t="s">
        <v>3120</v>
      </c>
      <c r="AK69" t="s">
        <v>1848</v>
      </c>
      <c r="AL69" t="s">
        <v>3715</v>
      </c>
      <c r="AM69" t="s">
        <v>996</v>
      </c>
      <c r="AN69" t="s">
        <v>2313</v>
      </c>
    </row>
    <row r="70" spans="1:40" hidden="1">
      <c r="A70" s="50" t="b">
        <f>NOT(ISERROR(MATCH(Table43[[#This Row],[Alias]],VN_Emails!#REF!,0)))</f>
        <v>0</v>
      </c>
      <c r="B70" t="s">
        <v>3716</v>
      </c>
      <c r="C70" t="s">
        <v>3717</v>
      </c>
      <c r="D70" t="s">
        <v>1607</v>
      </c>
      <c r="E70" t="s">
        <v>3115</v>
      </c>
      <c r="F70" t="s">
        <v>3718</v>
      </c>
      <c r="G70" t="b">
        <v>0</v>
      </c>
      <c r="K70" t="b">
        <v>1</v>
      </c>
      <c r="L70" t="s">
        <v>1608</v>
      </c>
      <c r="O70" t="s">
        <v>3631</v>
      </c>
      <c r="Q70" t="s">
        <v>3719</v>
      </c>
      <c r="S70" t="s">
        <v>3168</v>
      </c>
      <c r="V70" t="s">
        <v>3720</v>
      </c>
      <c r="X70" t="b">
        <v>1</v>
      </c>
      <c r="AC70" t="s">
        <v>3721</v>
      </c>
      <c r="AH70" t="b">
        <v>1</v>
      </c>
      <c r="AI70" t="s">
        <v>3722</v>
      </c>
      <c r="AJ70" t="s">
        <v>3120</v>
      </c>
      <c r="AK70" t="s">
        <v>3717</v>
      </c>
      <c r="AL70" t="s">
        <v>3200</v>
      </c>
      <c r="AM70" t="s">
        <v>996</v>
      </c>
      <c r="AN70" t="s">
        <v>2313</v>
      </c>
    </row>
    <row r="71" spans="1:40" hidden="1">
      <c r="A71" s="50" t="b">
        <f>NOT(ISERROR(MATCH(Table43[[#This Row],[Alias]],VN_Emails!#REF!,0)))</f>
        <v>0</v>
      </c>
      <c r="B71" t="s">
        <v>3723</v>
      </c>
      <c r="C71" t="s">
        <v>3724</v>
      </c>
      <c r="D71" t="s">
        <v>1615</v>
      </c>
      <c r="E71" t="s">
        <v>3115</v>
      </c>
      <c r="F71" t="s">
        <v>3725</v>
      </c>
      <c r="G71" t="b">
        <v>0</v>
      </c>
      <c r="L71" t="s">
        <v>3726</v>
      </c>
      <c r="Q71" t="s">
        <v>3727</v>
      </c>
      <c r="S71" t="s">
        <v>3168</v>
      </c>
      <c r="V71" t="s">
        <v>3728</v>
      </c>
      <c r="AC71" t="s">
        <v>3729</v>
      </c>
      <c r="AJ71" t="s">
        <v>3120</v>
      </c>
      <c r="AK71" t="s">
        <v>3724</v>
      </c>
      <c r="AL71" t="s">
        <v>3245</v>
      </c>
      <c r="AM71" t="s">
        <v>996</v>
      </c>
      <c r="AN71" t="s">
        <v>2313</v>
      </c>
    </row>
    <row r="72" spans="1:40" hidden="1">
      <c r="A72" s="50" t="b">
        <f>NOT(ISERROR(MATCH(Table43[[#This Row],[Alias]],VN_Emails!#REF!,0)))</f>
        <v>0</v>
      </c>
      <c r="B72" t="s">
        <v>3730</v>
      </c>
      <c r="C72" t="s">
        <v>3731</v>
      </c>
      <c r="D72" t="s">
        <v>2152</v>
      </c>
      <c r="E72" t="s">
        <v>3115</v>
      </c>
      <c r="F72" t="s">
        <v>3732</v>
      </c>
      <c r="G72" t="b">
        <v>0</v>
      </c>
      <c r="L72" t="s">
        <v>3733</v>
      </c>
      <c r="Q72" t="s">
        <v>3734</v>
      </c>
      <c r="S72" t="s">
        <v>3168</v>
      </c>
      <c r="V72" t="s">
        <v>3735</v>
      </c>
      <c r="AC72" t="s">
        <v>3736</v>
      </c>
      <c r="AJ72" t="s">
        <v>3120</v>
      </c>
      <c r="AK72" t="s">
        <v>3731</v>
      </c>
      <c r="AL72" t="s">
        <v>3271</v>
      </c>
      <c r="AM72" t="s">
        <v>996</v>
      </c>
      <c r="AN72" t="s">
        <v>2313</v>
      </c>
    </row>
    <row r="73" spans="1:40" hidden="1">
      <c r="A73" s="50" t="b">
        <f>NOT(ISERROR(MATCH(Table43[[#This Row],[Alias]],VN_Emails!#REF!,0)))</f>
        <v>0</v>
      </c>
      <c r="B73" t="s">
        <v>3737</v>
      </c>
      <c r="C73" t="s">
        <v>3738</v>
      </c>
      <c r="D73" t="s">
        <v>3739</v>
      </c>
      <c r="E73" t="s">
        <v>3115</v>
      </c>
      <c r="F73" t="s">
        <v>3740</v>
      </c>
      <c r="G73" t="b">
        <v>0</v>
      </c>
      <c r="K73" t="b">
        <v>1</v>
      </c>
      <c r="L73" t="s">
        <v>2015</v>
      </c>
      <c r="N73" t="s">
        <v>3741</v>
      </c>
      <c r="O73" t="s">
        <v>3251</v>
      </c>
      <c r="P73" t="s">
        <v>3742</v>
      </c>
      <c r="Q73" t="s">
        <v>3743</v>
      </c>
      <c r="S73" t="s">
        <v>3168</v>
      </c>
      <c r="V73" t="s">
        <v>3744</v>
      </c>
      <c r="X73" t="b">
        <v>1</v>
      </c>
      <c r="AC73" t="s">
        <v>3745</v>
      </c>
      <c r="AH73" t="b">
        <v>1</v>
      </c>
      <c r="AJ73" t="s">
        <v>3120</v>
      </c>
      <c r="AK73" t="s">
        <v>3738</v>
      </c>
      <c r="AL73" t="s">
        <v>3746</v>
      </c>
      <c r="AM73" t="s">
        <v>996</v>
      </c>
      <c r="AN73" t="s">
        <v>2313</v>
      </c>
    </row>
    <row r="74" spans="1:40" hidden="1">
      <c r="A74" s="50" t="b">
        <f>NOT(ISERROR(MATCH(Table43[[#This Row],[Alias]],VN_Emails!#REF!,0)))</f>
        <v>0</v>
      </c>
      <c r="B74" t="s">
        <v>3747</v>
      </c>
      <c r="C74" t="s">
        <v>3748</v>
      </c>
      <c r="D74" t="s">
        <v>1568</v>
      </c>
      <c r="E74" t="s">
        <v>3115</v>
      </c>
      <c r="F74" t="s">
        <v>3749</v>
      </c>
      <c r="G74" t="b">
        <v>0</v>
      </c>
      <c r="L74" t="s">
        <v>1570</v>
      </c>
      <c r="Q74" t="s">
        <v>3750</v>
      </c>
      <c r="S74" t="s">
        <v>3168</v>
      </c>
      <c r="V74" t="s">
        <v>3751</v>
      </c>
      <c r="AC74" t="s">
        <v>3752</v>
      </c>
      <c r="AJ74" t="s">
        <v>3120</v>
      </c>
      <c r="AK74" t="s">
        <v>3748</v>
      </c>
      <c r="AL74" t="s">
        <v>3200</v>
      </c>
      <c r="AM74" t="s">
        <v>996</v>
      </c>
      <c r="AN74" t="s">
        <v>2313</v>
      </c>
    </row>
    <row r="75" spans="1:40" hidden="1">
      <c r="A75" s="50" t="b">
        <f>NOT(ISERROR(MATCH(Table43[[#This Row],[Alias]],VN_Emails!#REF!,0)))</f>
        <v>0</v>
      </c>
      <c r="B75" t="s">
        <v>3753</v>
      </c>
      <c r="C75" t="s">
        <v>3754</v>
      </c>
      <c r="D75" t="s">
        <v>1680</v>
      </c>
      <c r="E75" t="s">
        <v>3115</v>
      </c>
      <c r="F75" t="s">
        <v>3755</v>
      </c>
      <c r="G75" t="b">
        <v>0</v>
      </c>
      <c r="J75" t="s">
        <v>3756</v>
      </c>
      <c r="K75" t="b">
        <v>1</v>
      </c>
      <c r="L75" t="s">
        <v>1682</v>
      </c>
      <c r="O75" t="s">
        <v>3757</v>
      </c>
      <c r="Q75" t="s">
        <v>3758</v>
      </c>
      <c r="S75" t="s">
        <v>3168</v>
      </c>
      <c r="V75" t="s">
        <v>3759</v>
      </c>
      <c r="X75" t="b">
        <v>1</v>
      </c>
      <c r="AC75" t="s">
        <v>3760</v>
      </c>
      <c r="AH75" t="b">
        <v>1</v>
      </c>
      <c r="AI75" t="s">
        <v>3761</v>
      </c>
      <c r="AJ75" t="s">
        <v>3120</v>
      </c>
      <c r="AK75" t="s">
        <v>3754</v>
      </c>
      <c r="AL75" t="s">
        <v>3312</v>
      </c>
      <c r="AM75" t="s">
        <v>996</v>
      </c>
      <c r="AN75" t="s">
        <v>2313</v>
      </c>
    </row>
    <row r="76" spans="1:40" hidden="1">
      <c r="A76" s="50" t="b">
        <f>NOT(ISERROR(MATCH(Table43[[#This Row],[Alias]],VN_Emails!#REF!,0)))</f>
        <v>0</v>
      </c>
      <c r="B76" t="s">
        <v>3762</v>
      </c>
      <c r="C76" t="s">
        <v>3763</v>
      </c>
      <c r="D76" t="s">
        <v>2023</v>
      </c>
      <c r="E76" t="s">
        <v>3115</v>
      </c>
      <c r="F76" t="s">
        <v>3764</v>
      </c>
      <c r="G76" t="b">
        <v>0</v>
      </c>
      <c r="L76" t="s">
        <v>3765</v>
      </c>
      <c r="Q76" t="s">
        <v>3766</v>
      </c>
      <c r="S76" t="s">
        <v>3168</v>
      </c>
      <c r="V76" t="s">
        <v>3767</v>
      </c>
      <c r="AC76" t="s">
        <v>3768</v>
      </c>
      <c r="AJ76" t="s">
        <v>3120</v>
      </c>
      <c r="AK76" t="s">
        <v>3763</v>
      </c>
      <c r="AL76" t="s">
        <v>3271</v>
      </c>
      <c r="AM76" t="s">
        <v>996</v>
      </c>
      <c r="AN76" t="s">
        <v>2313</v>
      </c>
    </row>
    <row r="77" spans="1:40" hidden="1">
      <c r="A77" s="50" t="b">
        <f>NOT(ISERROR(MATCH(Table43[[#This Row],[Alias]],VN_Emails!#REF!,0)))</f>
        <v>0</v>
      </c>
      <c r="B77" t="s">
        <v>3769</v>
      </c>
      <c r="C77" t="s">
        <v>3770</v>
      </c>
      <c r="D77" t="s">
        <v>1594</v>
      </c>
      <c r="E77" t="s">
        <v>3115</v>
      </c>
      <c r="F77" t="s">
        <v>3771</v>
      </c>
      <c r="G77" t="b">
        <v>0</v>
      </c>
      <c r="L77" t="s">
        <v>3772</v>
      </c>
      <c r="Q77" t="s">
        <v>3773</v>
      </c>
      <c r="S77" t="s">
        <v>3168</v>
      </c>
      <c r="V77" t="s">
        <v>3774</v>
      </c>
      <c r="AC77" t="s">
        <v>3775</v>
      </c>
      <c r="AJ77" t="s">
        <v>3120</v>
      </c>
      <c r="AK77" t="s">
        <v>3770</v>
      </c>
      <c r="AL77" t="s">
        <v>3593</v>
      </c>
      <c r="AM77" t="s">
        <v>996</v>
      </c>
      <c r="AN77" t="s">
        <v>2313</v>
      </c>
    </row>
    <row r="78" spans="1:40" hidden="1">
      <c r="A78" s="50" t="b">
        <f>NOT(ISERROR(MATCH(Table43[[#This Row],[Alias]],VN_Emails!#REF!,0)))</f>
        <v>0</v>
      </c>
      <c r="B78" t="s">
        <v>3776</v>
      </c>
      <c r="C78" t="s">
        <v>3777</v>
      </c>
      <c r="D78" t="s">
        <v>3778</v>
      </c>
      <c r="E78" t="s">
        <v>3115</v>
      </c>
      <c r="F78" t="s">
        <v>3779</v>
      </c>
      <c r="G78" t="b">
        <v>0</v>
      </c>
      <c r="K78" t="b">
        <v>1</v>
      </c>
      <c r="L78" t="s">
        <v>2020</v>
      </c>
      <c r="N78" t="s">
        <v>3780</v>
      </c>
      <c r="O78" t="s">
        <v>3251</v>
      </c>
      <c r="P78" t="s">
        <v>3781</v>
      </c>
      <c r="Q78" t="s">
        <v>3782</v>
      </c>
      <c r="S78" t="s">
        <v>3168</v>
      </c>
      <c r="V78" t="s">
        <v>3783</v>
      </c>
      <c r="X78" t="b">
        <v>1</v>
      </c>
      <c r="AC78" t="s">
        <v>3784</v>
      </c>
      <c r="AH78" t="b">
        <v>1</v>
      </c>
      <c r="AI78" t="s">
        <v>2022</v>
      </c>
      <c r="AJ78" t="s">
        <v>3120</v>
      </c>
      <c r="AK78" t="s">
        <v>3777</v>
      </c>
      <c r="AL78" t="s">
        <v>3658</v>
      </c>
      <c r="AM78" t="s">
        <v>996</v>
      </c>
      <c r="AN78" t="s">
        <v>2313</v>
      </c>
    </row>
    <row r="79" spans="1:40" hidden="1">
      <c r="A79" s="50" t="b">
        <f>NOT(ISERROR(MATCH(Table43[[#This Row],[Alias]],VN_Emails!#REF!,0)))</f>
        <v>0</v>
      </c>
      <c r="B79" t="s">
        <v>3785</v>
      </c>
      <c r="C79" t="s">
        <v>3786</v>
      </c>
      <c r="D79" t="s">
        <v>2126</v>
      </c>
      <c r="E79" t="s">
        <v>3115</v>
      </c>
      <c r="F79" t="s">
        <v>3787</v>
      </c>
      <c r="G79" t="b">
        <v>0</v>
      </c>
      <c r="K79" t="b">
        <v>1</v>
      </c>
      <c r="L79" t="s">
        <v>2128</v>
      </c>
      <c r="N79" t="s">
        <v>3788</v>
      </c>
      <c r="O79" t="s">
        <v>3317</v>
      </c>
      <c r="P79" t="s">
        <v>3789</v>
      </c>
      <c r="Q79" t="s">
        <v>3790</v>
      </c>
      <c r="S79" t="s">
        <v>3168</v>
      </c>
      <c r="V79" t="s">
        <v>3791</v>
      </c>
      <c r="X79" t="b">
        <v>1</v>
      </c>
      <c r="AC79" t="s">
        <v>3792</v>
      </c>
      <c r="AH79" t="b">
        <v>1</v>
      </c>
      <c r="AJ79" t="s">
        <v>1556</v>
      </c>
      <c r="AK79" t="s">
        <v>3786</v>
      </c>
      <c r="AL79" t="s">
        <v>3317</v>
      </c>
      <c r="AM79" t="s">
        <v>996</v>
      </c>
      <c r="AN79" t="s">
        <v>2313</v>
      </c>
    </row>
    <row r="80" spans="1:40" hidden="1">
      <c r="A80" s="50" t="b">
        <f>NOT(ISERROR(MATCH(Table43[[#This Row],[Alias]],VN_Emails!#REF!,0)))</f>
        <v>0</v>
      </c>
      <c r="B80" t="s">
        <v>3793</v>
      </c>
      <c r="C80" t="s">
        <v>3794</v>
      </c>
      <c r="D80" t="s">
        <v>1603</v>
      </c>
      <c r="E80" t="s">
        <v>3115</v>
      </c>
      <c r="F80" t="s">
        <v>3795</v>
      </c>
      <c r="G80" t="b">
        <v>0</v>
      </c>
      <c r="K80" t="b">
        <v>1</v>
      </c>
      <c r="L80" t="s">
        <v>1605</v>
      </c>
      <c r="N80" t="s">
        <v>3796</v>
      </c>
      <c r="O80" t="s">
        <v>3251</v>
      </c>
      <c r="P80" t="s">
        <v>3797</v>
      </c>
      <c r="Q80" t="s">
        <v>3798</v>
      </c>
      <c r="S80" t="s">
        <v>3168</v>
      </c>
      <c r="V80" t="s">
        <v>3799</v>
      </c>
      <c r="X80" t="b">
        <v>1</v>
      </c>
      <c r="AC80" t="s">
        <v>3800</v>
      </c>
      <c r="AH80" t="b">
        <v>1</v>
      </c>
      <c r="AJ80" t="s">
        <v>1556</v>
      </c>
      <c r="AK80" t="s">
        <v>3794</v>
      </c>
      <c r="AL80" t="s">
        <v>3200</v>
      </c>
      <c r="AM80" t="s">
        <v>996</v>
      </c>
      <c r="AN80" t="s">
        <v>2313</v>
      </c>
    </row>
    <row r="81" spans="1:41" hidden="1">
      <c r="A81" s="50" t="b">
        <f>NOT(ISERROR(MATCH(Table43[[#This Row],[Alias]],VN_Emails!#REF!,0)))</f>
        <v>0</v>
      </c>
      <c r="B81" t="s">
        <v>3801</v>
      </c>
      <c r="C81" t="s">
        <v>3802</v>
      </c>
      <c r="D81" t="s">
        <v>3803</v>
      </c>
      <c r="E81" t="s">
        <v>3115</v>
      </c>
      <c r="F81" t="s">
        <v>3804</v>
      </c>
      <c r="G81" t="b">
        <v>0</v>
      </c>
      <c r="K81" t="b">
        <v>1</v>
      </c>
      <c r="L81" t="s">
        <v>1734</v>
      </c>
      <c r="N81" t="s">
        <v>3805</v>
      </c>
      <c r="O81" t="s">
        <v>3547</v>
      </c>
      <c r="P81" t="s">
        <v>3806</v>
      </c>
      <c r="Q81" t="s">
        <v>3807</v>
      </c>
      <c r="S81" t="s">
        <v>3168</v>
      </c>
      <c r="V81" t="s">
        <v>3808</v>
      </c>
      <c r="X81" t="b">
        <v>1</v>
      </c>
      <c r="AC81" t="s">
        <v>3809</v>
      </c>
      <c r="AH81" t="b">
        <v>1</v>
      </c>
      <c r="AI81" t="s">
        <v>3810</v>
      </c>
      <c r="AJ81" t="s">
        <v>1556</v>
      </c>
      <c r="AK81" t="s">
        <v>3802</v>
      </c>
      <c r="AL81" t="s">
        <v>3811</v>
      </c>
      <c r="AM81" t="s">
        <v>996</v>
      </c>
      <c r="AN81" t="s">
        <v>2313</v>
      </c>
    </row>
    <row r="82" spans="1:41" hidden="1">
      <c r="A82" s="50" t="b">
        <f>NOT(ISERROR(MATCH(Table43[[#This Row],[Alias]],VN_Emails!#REF!,0)))</f>
        <v>0</v>
      </c>
      <c r="B82" t="s">
        <v>3812</v>
      </c>
      <c r="C82" t="s">
        <v>3813</v>
      </c>
      <c r="D82" t="s">
        <v>1658</v>
      </c>
      <c r="E82" t="s">
        <v>3115</v>
      </c>
      <c r="F82" t="s">
        <v>3771</v>
      </c>
      <c r="G82" t="b">
        <v>0</v>
      </c>
      <c r="H82" t="s">
        <v>3814</v>
      </c>
      <c r="K82" t="b">
        <v>1</v>
      </c>
      <c r="L82" t="s">
        <v>1660</v>
      </c>
      <c r="O82" t="s">
        <v>3187</v>
      </c>
      <c r="Q82" t="s">
        <v>3815</v>
      </c>
      <c r="S82" t="s">
        <v>3168</v>
      </c>
      <c r="V82" t="s">
        <v>3816</v>
      </c>
      <c r="W82" t="s">
        <v>3817</v>
      </c>
      <c r="X82" t="b">
        <v>1</v>
      </c>
      <c r="Y82">
        <v>949860610</v>
      </c>
      <c r="AC82" t="s">
        <v>3818</v>
      </c>
      <c r="AF82" t="s">
        <v>3137</v>
      </c>
      <c r="AG82" t="s">
        <v>3819</v>
      </c>
      <c r="AH82" t="b">
        <v>1</v>
      </c>
      <c r="AI82" t="s">
        <v>1584</v>
      </c>
      <c r="AJ82" t="s">
        <v>3120</v>
      </c>
      <c r="AK82" t="s">
        <v>3813</v>
      </c>
      <c r="AL82" t="s">
        <v>3820</v>
      </c>
      <c r="AM82" t="s">
        <v>996</v>
      </c>
      <c r="AN82" t="s">
        <v>2313</v>
      </c>
    </row>
    <row r="83" spans="1:41" hidden="1">
      <c r="A83" s="50" t="b">
        <f>NOT(ISERROR(MATCH(Table43[[#This Row],[Alias]],VN_Emails!#REF!,0)))</f>
        <v>0</v>
      </c>
      <c r="B83" t="s">
        <v>3821</v>
      </c>
      <c r="C83" t="s">
        <v>3822</v>
      </c>
      <c r="D83" t="s">
        <v>3823</v>
      </c>
      <c r="E83" t="s">
        <v>3115</v>
      </c>
      <c r="F83" t="s">
        <v>3824</v>
      </c>
      <c r="G83" t="b">
        <v>0</v>
      </c>
      <c r="K83" t="b">
        <v>1</v>
      </c>
      <c r="L83" t="s">
        <v>2040</v>
      </c>
      <c r="N83" t="s">
        <v>2040</v>
      </c>
      <c r="O83" t="s">
        <v>3825</v>
      </c>
      <c r="Q83" t="s">
        <v>3826</v>
      </c>
      <c r="S83" t="s">
        <v>3168</v>
      </c>
      <c r="V83" t="s">
        <v>3827</v>
      </c>
      <c r="X83" t="b">
        <v>1</v>
      </c>
      <c r="AC83" t="s">
        <v>3828</v>
      </c>
      <c r="AH83" t="b">
        <v>1</v>
      </c>
      <c r="AJ83" t="s">
        <v>3120</v>
      </c>
      <c r="AK83" t="s">
        <v>3822</v>
      </c>
      <c r="AL83" t="s">
        <v>3829</v>
      </c>
      <c r="AM83" t="s">
        <v>996</v>
      </c>
      <c r="AN83" t="s">
        <v>2313</v>
      </c>
    </row>
    <row r="84" spans="1:41" hidden="1">
      <c r="A84" s="50" t="b">
        <f>NOT(ISERROR(MATCH(Table43[[#This Row],[Alias]],VN_Emails!#REF!,0)))</f>
        <v>0</v>
      </c>
      <c r="B84" t="s">
        <v>3830</v>
      </c>
      <c r="C84" t="s">
        <v>3831</v>
      </c>
      <c r="D84" t="s">
        <v>2105</v>
      </c>
      <c r="E84" t="s">
        <v>3115</v>
      </c>
      <c r="F84" t="s">
        <v>3832</v>
      </c>
      <c r="G84" t="b">
        <v>0</v>
      </c>
      <c r="J84" t="s">
        <v>3833</v>
      </c>
      <c r="K84" t="b">
        <v>1</v>
      </c>
      <c r="L84" t="s">
        <v>3834</v>
      </c>
      <c r="N84" t="s">
        <v>3834</v>
      </c>
      <c r="O84" t="s">
        <v>3825</v>
      </c>
      <c r="Q84" t="s">
        <v>3835</v>
      </c>
      <c r="S84" t="s">
        <v>3168</v>
      </c>
      <c r="V84" t="s">
        <v>3836</v>
      </c>
      <c r="X84" t="b">
        <v>1</v>
      </c>
      <c r="AC84" t="s">
        <v>3837</v>
      </c>
      <c r="AH84" t="b">
        <v>1</v>
      </c>
      <c r="AI84" t="s">
        <v>3838</v>
      </c>
      <c r="AJ84" t="s">
        <v>3120</v>
      </c>
      <c r="AK84" t="s">
        <v>3831</v>
      </c>
      <c r="AL84" t="s">
        <v>3839</v>
      </c>
      <c r="AM84" t="s">
        <v>996</v>
      </c>
      <c r="AN84" t="s">
        <v>2313</v>
      </c>
    </row>
    <row r="85" spans="1:41" hidden="1">
      <c r="A85" s="50" t="b">
        <f>NOT(ISERROR(MATCH(Table43[[#This Row],[Alias]],VN_Emails!#REF!,0)))</f>
        <v>0</v>
      </c>
      <c r="B85" t="s">
        <v>3840</v>
      </c>
      <c r="C85" t="s">
        <v>3841</v>
      </c>
      <c r="D85" t="s">
        <v>2142</v>
      </c>
      <c r="E85" t="s">
        <v>3115</v>
      </c>
      <c r="F85" t="s">
        <v>3842</v>
      </c>
      <c r="G85" t="b">
        <v>0</v>
      </c>
      <c r="L85" t="s">
        <v>2144</v>
      </c>
      <c r="Q85" t="s">
        <v>3843</v>
      </c>
      <c r="S85" t="s">
        <v>3168</v>
      </c>
      <c r="V85" t="s">
        <v>3844</v>
      </c>
      <c r="AC85" t="s">
        <v>3845</v>
      </c>
      <c r="AJ85" t="s">
        <v>3120</v>
      </c>
      <c r="AK85" t="s">
        <v>3841</v>
      </c>
      <c r="AL85" t="s">
        <v>3334</v>
      </c>
      <c r="AM85" t="s">
        <v>996</v>
      </c>
      <c r="AN85" t="s">
        <v>2313</v>
      </c>
    </row>
    <row r="86" spans="1:41" hidden="1">
      <c r="A86" s="50" t="b">
        <f>NOT(ISERROR(MATCH(Table43[[#This Row],[Alias]],VN_Emails!#REF!,0)))</f>
        <v>0</v>
      </c>
      <c r="B86" t="s">
        <v>3846</v>
      </c>
      <c r="C86" t="s">
        <v>3847</v>
      </c>
      <c r="D86" t="s">
        <v>3848</v>
      </c>
      <c r="E86" t="s">
        <v>3115</v>
      </c>
      <c r="F86" t="s">
        <v>3849</v>
      </c>
      <c r="G86" t="b">
        <v>0</v>
      </c>
      <c r="J86" t="s">
        <v>1746</v>
      </c>
      <c r="K86" t="b">
        <v>1</v>
      </c>
      <c r="L86" t="s">
        <v>2115</v>
      </c>
      <c r="N86" t="s">
        <v>3850</v>
      </c>
      <c r="O86" t="s">
        <v>3851</v>
      </c>
      <c r="P86" t="s">
        <v>3852</v>
      </c>
      <c r="Q86" t="s">
        <v>3853</v>
      </c>
      <c r="S86" t="s">
        <v>3168</v>
      </c>
      <c r="V86" t="s">
        <v>3854</v>
      </c>
      <c r="X86" t="b">
        <v>1</v>
      </c>
      <c r="AC86" t="s">
        <v>3855</v>
      </c>
      <c r="AH86" t="b">
        <v>1</v>
      </c>
      <c r="AI86" t="s">
        <v>3838</v>
      </c>
      <c r="AJ86" t="s">
        <v>1556</v>
      </c>
      <c r="AK86" t="s">
        <v>3847</v>
      </c>
      <c r="AL86" t="s">
        <v>3856</v>
      </c>
      <c r="AM86" t="s">
        <v>996</v>
      </c>
      <c r="AN86" t="s">
        <v>2313</v>
      </c>
    </row>
    <row r="87" spans="1:41">
      <c r="A87" s="50" t="b">
        <f>NOT(ISERROR(MATCH(Table43[[#This Row],[Alias]],VN_Emails!#REF!,0)))</f>
        <v>0</v>
      </c>
      <c r="B87" t="s">
        <v>3857</v>
      </c>
      <c r="C87" t="s">
        <v>3858</v>
      </c>
      <c r="D87" t="s">
        <v>1960</v>
      </c>
      <c r="E87" t="s">
        <v>3115</v>
      </c>
      <c r="F87" t="s">
        <v>3859</v>
      </c>
      <c r="G87" t="b">
        <v>0</v>
      </c>
      <c r="L87" t="s">
        <v>3860</v>
      </c>
      <c r="Q87" t="s">
        <v>3861</v>
      </c>
      <c r="S87" t="s">
        <v>3168</v>
      </c>
      <c r="V87" t="s">
        <v>3862</v>
      </c>
      <c r="AC87" t="s">
        <v>3863</v>
      </c>
      <c r="AJ87" t="s">
        <v>3120</v>
      </c>
      <c r="AK87" t="s">
        <v>3858</v>
      </c>
      <c r="AL87" t="s">
        <v>3528</v>
      </c>
      <c r="AM87" t="s">
        <v>996</v>
      </c>
      <c r="AN87" t="s">
        <v>3237</v>
      </c>
    </row>
    <row r="88" spans="1:41" hidden="1">
      <c r="A88" s="50" t="b">
        <f>NOT(ISERROR(MATCH(Table43[[#This Row],[Alias]],VN_Emails!#REF!,0)))</f>
        <v>0</v>
      </c>
      <c r="B88" t="s">
        <v>3864</v>
      </c>
      <c r="C88" t="s">
        <v>3865</v>
      </c>
      <c r="D88" t="s">
        <v>3866</v>
      </c>
      <c r="E88" t="s">
        <v>3115</v>
      </c>
      <c r="F88" t="s">
        <v>3867</v>
      </c>
      <c r="G88" t="b">
        <v>0</v>
      </c>
      <c r="L88" t="s">
        <v>3868</v>
      </c>
      <c r="Q88" t="s">
        <v>3869</v>
      </c>
      <c r="S88" t="s">
        <v>3168</v>
      </c>
      <c r="V88" t="s">
        <v>3870</v>
      </c>
      <c r="AC88" t="s">
        <v>3871</v>
      </c>
      <c r="AJ88" t="s">
        <v>3120</v>
      </c>
      <c r="AK88" t="s">
        <v>3865</v>
      </c>
      <c r="AL88" t="s">
        <v>3271</v>
      </c>
      <c r="AM88" t="s">
        <v>996</v>
      </c>
      <c r="AN88" t="s">
        <v>2313</v>
      </c>
    </row>
    <row r="89" spans="1:41" hidden="1">
      <c r="A89" s="50" t="b">
        <f>NOT(ISERROR(MATCH(Table43[[#This Row],[Alias]],VN_Emails!#REF!,0)))</f>
        <v>0</v>
      </c>
      <c r="B89" t="s">
        <v>3872</v>
      </c>
      <c r="C89" t="s">
        <v>3873</v>
      </c>
      <c r="D89" t="s">
        <v>1684</v>
      </c>
      <c r="E89" t="s">
        <v>3115</v>
      </c>
      <c r="F89" t="s">
        <v>3874</v>
      </c>
      <c r="G89" t="b">
        <v>0</v>
      </c>
      <c r="K89" t="b">
        <v>1</v>
      </c>
      <c r="L89" t="s">
        <v>1686</v>
      </c>
      <c r="N89" t="s">
        <v>3875</v>
      </c>
      <c r="O89" t="s">
        <v>3418</v>
      </c>
      <c r="P89" t="s">
        <v>3876</v>
      </c>
      <c r="Q89" t="s">
        <v>3877</v>
      </c>
      <c r="S89" t="s">
        <v>3168</v>
      </c>
      <c r="V89" t="s">
        <v>3878</v>
      </c>
      <c r="X89" t="b">
        <v>1</v>
      </c>
      <c r="AC89" t="s">
        <v>3879</v>
      </c>
      <c r="AH89" t="b">
        <v>1</v>
      </c>
      <c r="AI89" t="s">
        <v>1688</v>
      </c>
      <c r="AJ89" t="s">
        <v>3120</v>
      </c>
      <c r="AK89" t="s">
        <v>3873</v>
      </c>
      <c r="AL89" t="s">
        <v>3880</v>
      </c>
      <c r="AM89" t="s">
        <v>996</v>
      </c>
      <c r="AN89" t="s">
        <v>2313</v>
      </c>
    </row>
    <row r="90" spans="1:41" hidden="1">
      <c r="A90" s="50" t="b">
        <f>NOT(ISERROR(MATCH(Table43[[#This Row],[Alias]],VN_Emails!#REF!,0)))</f>
        <v>0</v>
      </c>
      <c r="B90" t="s">
        <v>3881</v>
      </c>
      <c r="C90" t="s">
        <v>3882</v>
      </c>
      <c r="D90" t="s">
        <v>3883</v>
      </c>
      <c r="E90" t="s">
        <v>3115</v>
      </c>
      <c r="F90" t="s">
        <v>3884</v>
      </c>
      <c r="G90" t="b">
        <v>0</v>
      </c>
      <c r="K90" t="b">
        <v>1</v>
      </c>
      <c r="L90" t="s">
        <v>2058</v>
      </c>
      <c r="N90" t="s">
        <v>3885</v>
      </c>
      <c r="O90" t="s">
        <v>3251</v>
      </c>
      <c r="P90" t="s">
        <v>3886</v>
      </c>
      <c r="Q90" t="s">
        <v>3887</v>
      </c>
      <c r="S90" t="s">
        <v>3168</v>
      </c>
      <c r="V90" t="s">
        <v>3888</v>
      </c>
      <c r="X90" t="b">
        <v>1</v>
      </c>
      <c r="AC90" t="s">
        <v>3889</v>
      </c>
      <c r="AH90" t="b">
        <v>1</v>
      </c>
      <c r="AJ90" t="s">
        <v>3120</v>
      </c>
      <c r="AK90" t="s">
        <v>3882</v>
      </c>
      <c r="AL90" t="s">
        <v>3271</v>
      </c>
      <c r="AM90" t="s">
        <v>996</v>
      </c>
      <c r="AN90" t="s">
        <v>2313</v>
      </c>
    </row>
    <row r="91" spans="1:41" hidden="1">
      <c r="A91" s="50" t="b">
        <f>NOT(ISERROR(MATCH(Table43[[#This Row],[Alias]],VN_Emails!#REF!,0)))</f>
        <v>0</v>
      </c>
      <c r="B91" t="s">
        <v>3890</v>
      </c>
      <c r="C91" t="s">
        <v>3891</v>
      </c>
      <c r="D91" t="s">
        <v>2068</v>
      </c>
      <c r="E91" t="s">
        <v>3115</v>
      </c>
      <c r="F91" t="s">
        <v>3892</v>
      </c>
      <c r="G91" t="b">
        <v>0</v>
      </c>
      <c r="J91" t="s">
        <v>3893</v>
      </c>
      <c r="K91" t="b">
        <v>1</v>
      </c>
      <c r="L91" t="s">
        <v>2070</v>
      </c>
      <c r="N91" t="s">
        <v>3875</v>
      </c>
      <c r="O91" t="s">
        <v>3894</v>
      </c>
      <c r="P91" t="s">
        <v>3895</v>
      </c>
      <c r="Q91" t="s">
        <v>3896</v>
      </c>
      <c r="S91" t="s">
        <v>3168</v>
      </c>
      <c r="V91" t="s">
        <v>3897</v>
      </c>
      <c r="X91" t="b">
        <v>1</v>
      </c>
      <c r="AC91" t="s">
        <v>3898</v>
      </c>
      <c r="AH91" t="b">
        <v>1</v>
      </c>
      <c r="AI91" t="s">
        <v>1584</v>
      </c>
      <c r="AJ91" t="s">
        <v>1556</v>
      </c>
      <c r="AK91" t="s">
        <v>3891</v>
      </c>
      <c r="AL91" t="s">
        <v>3899</v>
      </c>
      <c r="AM91" t="s">
        <v>996</v>
      </c>
      <c r="AN91" t="s">
        <v>2313</v>
      </c>
    </row>
    <row r="92" spans="1:41" hidden="1">
      <c r="A92" s="50" t="b">
        <f>NOT(ISERROR(MATCH(Table43[[#This Row],[Alias]],VN_Emails!#REF!,0)))</f>
        <v>0</v>
      </c>
      <c r="B92" t="s">
        <v>3900</v>
      </c>
      <c r="C92" t="s">
        <v>3901</v>
      </c>
      <c r="D92" t="s">
        <v>1639</v>
      </c>
      <c r="E92" t="s">
        <v>3115</v>
      </c>
      <c r="F92" t="s">
        <v>3902</v>
      </c>
      <c r="G92" t="b">
        <v>0</v>
      </c>
      <c r="L92" t="s">
        <v>3903</v>
      </c>
      <c r="Q92" t="s">
        <v>3904</v>
      </c>
      <c r="S92" t="s">
        <v>3168</v>
      </c>
      <c r="V92" t="s">
        <v>3905</v>
      </c>
      <c r="AC92" t="s">
        <v>3906</v>
      </c>
      <c r="AJ92" t="s">
        <v>3120</v>
      </c>
      <c r="AK92" t="s">
        <v>3901</v>
      </c>
      <c r="AL92" t="s">
        <v>3271</v>
      </c>
      <c r="AM92" t="s">
        <v>996</v>
      </c>
      <c r="AN92" t="s">
        <v>2313</v>
      </c>
    </row>
    <row r="93" spans="1:41">
      <c r="A93" s="50" t="b">
        <f>NOT(ISERROR(MATCH(Table43[[#This Row],[Alias]],VN_Emails!#REF!,0)))</f>
        <v>0</v>
      </c>
      <c r="B93" t="s">
        <v>3907</v>
      </c>
      <c r="C93" t="s">
        <v>3908</v>
      </c>
      <c r="D93" t="s">
        <v>1942</v>
      </c>
      <c r="E93" t="s">
        <v>3115</v>
      </c>
      <c r="F93" t="s">
        <v>3909</v>
      </c>
      <c r="G93" t="b">
        <v>0</v>
      </c>
      <c r="L93" t="s">
        <v>3910</v>
      </c>
      <c r="Q93" t="s">
        <v>3911</v>
      </c>
      <c r="S93" t="s">
        <v>3168</v>
      </c>
      <c r="V93" t="s">
        <v>3912</v>
      </c>
      <c r="AC93" t="s">
        <v>3913</v>
      </c>
      <c r="AJ93" t="s">
        <v>3120</v>
      </c>
      <c r="AK93" t="s">
        <v>3908</v>
      </c>
      <c r="AL93" t="s">
        <v>3271</v>
      </c>
      <c r="AM93" t="s">
        <v>996</v>
      </c>
      <c r="AN93" t="s">
        <v>3237</v>
      </c>
    </row>
    <row r="94" spans="1:41" hidden="1">
      <c r="A94" s="50" t="b">
        <f>NOT(ISERROR(MATCH(Table43[[#This Row],[Alias]],VN_Emails!#REF!,0)))</f>
        <v>0</v>
      </c>
      <c r="B94" t="s">
        <v>3914</v>
      </c>
      <c r="C94" t="s">
        <v>3915</v>
      </c>
      <c r="D94" t="s">
        <v>2121</v>
      </c>
      <c r="E94" t="s">
        <v>3115</v>
      </c>
      <c r="F94" t="s">
        <v>3916</v>
      </c>
      <c r="G94" t="b">
        <v>0</v>
      </c>
      <c r="K94" t="b">
        <v>1</v>
      </c>
      <c r="L94" t="s">
        <v>2122</v>
      </c>
      <c r="O94" t="s">
        <v>3917</v>
      </c>
      <c r="Q94" t="s">
        <v>3918</v>
      </c>
      <c r="S94" t="s">
        <v>3168</v>
      </c>
      <c r="V94" t="s">
        <v>3919</v>
      </c>
      <c r="X94" t="b">
        <v>1</v>
      </c>
      <c r="AC94" t="s">
        <v>3920</v>
      </c>
      <c r="AH94" t="b">
        <v>1</v>
      </c>
      <c r="AI94" t="s">
        <v>3921</v>
      </c>
      <c r="AJ94" t="s">
        <v>1556</v>
      </c>
      <c r="AK94" t="s">
        <v>3915</v>
      </c>
      <c r="AL94" t="s">
        <v>3922</v>
      </c>
      <c r="AM94" t="s">
        <v>996</v>
      </c>
      <c r="AN94" t="s">
        <v>2313</v>
      </c>
    </row>
    <row r="95" spans="1:41">
      <c r="A95" s="50" t="b">
        <f>NOT(ISERROR(MATCH(Table43[[#This Row],[Alias]],VN_Emails!#REF!,0)))</f>
        <v>0</v>
      </c>
      <c r="B95" t="s">
        <v>3923</v>
      </c>
      <c r="C95" t="s">
        <v>1905</v>
      </c>
      <c r="D95" t="s">
        <v>1905</v>
      </c>
      <c r="E95" t="s">
        <v>3115</v>
      </c>
      <c r="F95" t="s">
        <v>3924</v>
      </c>
      <c r="G95" t="b">
        <v>0</v>
      </c>
      <c r="L95" t="s">
        <v>3925</v>
      </c>
      <c r="N95" t="s">
        <v>3926</v>
      </c>
      <c r="P95" t="s">
        <v>3927</v>
      </c>
      <c r="Q95" t="s">
        <v>3928</v>
      </c>
      <c r="S95" t="s">
        <v>3168</v>
      </c>
      <c r="V95" t="s">
        <v>3929</v>
      </c>
      <c r="X95" t="b">
        <v>0</v>
      </c>
      <c r="AC95" t="s">
        <v>3930</v>
      </c>
      <c r="AH95" t="b">
        <v>1</v>
      </c>
      <c r="AJ95" t="s">
        <v>3120</v>
      </c>
      <c r="AK95" t="s">
        <v>1905</v>
      </c>
      <c r="AL95" t="s">
        <v>3931</v>
      </c>
      <c r="AM95" t="s">
        <v>996</v>
      </c>
      <c r="AN95" t="s">
        <v>3237</v>
      </c>
    </row>
    <row r="96" spans="1:41" s="50" customFormat="1" ht="26.25">
      <c r="A96" s="50" t="b">
        <f>NOT(ISERROR(MATCH(Table43[[#This Row],[Alias]],VN_Emails!#REF!,0)))</f>
        <v>0</v>
      </c>
      <c r="B96" s="50" t="s">
        <v>3932</v>
      </c>
      <c r="C96" s="50" t="s">
        <v>1935</v>
      </c>
      <c r="D96" s="50" t="s">
        <v>3933</v>
      </c>
      <c r="E96" s="50" t="s">
        <v>3115</v>
      </c>
      <c r="F96" s="50" t="s">
        <v>3934</v>
      </c>
      <c r="G96" s="50" t="b">
        <v>0</v>
      </c>
      <c r="L96" s="50" t="s">
        <v>3935</v>
      </c>
      <c r="Q96" s="50" t="s">
        <v>3936</v>
      </c>
      <c r="S96" s="50" t="s">
        <v>3168</v>
      </c>
      <c r="V96" s="50" t="s">
        <v>3937</v>
      </c>
      <c r="AC96" s="50" t="s">
        <v>3938</v>
      </c>
      <c r="AJ96" s="50" t="s">
        <v>3120</v>
      </c>
      <c r="AK96" s="50" t="s">
        <v>1935</v>
      </c>
      <c r="AL96" s="50" t="s">
        <v>3382</v>
      </c>
      <c r="AM96" s="50" t="s">
        <v>996</v>
      </c>
      <c r="AN96" s="50" t="s">
        <v>2313</v>
      </c>
      <c r="AO96" s="66" t="s">
        <v>3939</v>
      </c>
    </row>
    <row r="97" spans="1:41" hidden="1">
      <c r="A97" s="50" t="b">
        <f>NOT(ISERROR(MATCH(Table43[[#This Row],[Alias]],VN_Emails!#REF!,0)))</f>
        <v>0</v>
      </c>
      <c r="B97" t="s">
        <v>3940</v>
      </c>
      <c r="C97" t="s">
        <v>3941</v>
      </c>
      <c r="D97" t="s">
        <v>1643</v>
      </c>
      <c r="E97" t="s">
        <v>3115</v>
      </c>
      <c r="F97" t="s">
        <v>3942</v>
      </c>
      <c r="G97" t="b">
        <v>0</v>
      </c>
      <c r="L97" t="s">
        <v>3943</v>
      </c>
      <c r="Q97" t="s">
        <v>3944</v>
      </c>
      <c r="S97" t="s">
        <v>3168</v>
      </c>
      <c r="V97" t="s">
        <v>3945</v>
      </c>
      <c r="AC97" t="s">
        <v>3946</v>
      </c>
      <c r="AJ97" t="s">
        <v>3120</v>
      </c>
      <c r="AK97" t="s">
        <v>3941</v>
      </c>
      <c r="AL97" t="s">
        <v>3271</v>
      </c>
      <c r="AM97" t="s">
        <v>996</v>
      </c>
      <c r="AN97" s="50" t="s">
        <v>2313</v>
      </c>
    </row>
    <row r="98" spans="1:41">
      <c r="A98" s="50" t="b">
        <f>NOT(ISERROR(MATCH(Table43[[#This Row],[Alias]],VN_Emails!#REF!,0)))</f>
        <v>0</v>
      </c>
      <c r="B98" t="s">
        <v>3947</v>
      </c>
      <c r="C98" t="s">
        <v>3948</v>
      </c>
      <c r="D98" t="s">
        <v>3949</v>
      </c>
      <c r="E98" t="s">
        <v>3115</v>
      </c>
      <c r="F98" t="s">
        <v>3950</v>
      </c>
      <c r="G98" t="b">
        <v>0</v>
      </c>
      <c r="L98" t="s">
        <v>3951</v>
      </c>
      <c r="Q98" t="s">
        <v>3952</v>
      </c>
      <c r="S98" t="s">
        <v>3168</v>
      </c>
      <c r="V98" t="s">
        <v>3953</v>
      </c>
      <c r="AC98" t="s">
        <v>3954</v>
      </c>
      <c r="AJ98" t="s">
        <v>3120</v>
      </c>
      <c r="AK98" t="s">
        <v>3948</v>
      </c>
      <c r="AL98" t="s">
        <v>3382</v>
      </c>
      <c r="AM98" t="s">
        <v>996</v>
      </c>
      <c r="AN98" t="s">
        <v>3237</v>
      </c>
    </row>
    <row r="99" spans="1:41" hidden="1">
      <c r="A99" s="50" t="b">
        <f>NOT(ISERROR(MATCH(Table43[[#This Row],[Alias]],VN_Emails!#REF!,0)))</f>
        <v>0</v>
      </c>
      <c r="B99" t="s">
        <v>3955</v>
      </c>
      <c r="C99" t="s">
        <v>2095</v>
      </c>
      <c r="D99" t="s">
        <v>2095</v>
      </c>
      <c r="E99" t="s">
        <v>3115</v>
      </c>
      <c r="F99" t="s">
        <v>3956</v>
      </c>
      <c r="G99" t="b">
        <v>0</v>
      </c>
      <c r="L99" t="s">
        <v>3957</v>
      </c>
      <c r="Q99" t="s">
        <v>3958</v>
      </c>
      <c r="S99" t="s">
        <v>3168</v>
      </c>
      <c r="V99" t="s">
        <v>3959</v>
      </c>
      <c r="AC99" t="s">
        <v>3960</v>
      </c>
      <c r="AJ99" t="s">
        <v>3120</v>
      </c>
      <c r="AK99" t="s">
        <v>2095</v>
      </c>
      <c r="AL99" t="s">
        <v>3382</v>
      </c>
      <c r="AM99" t="s">
        <v>996</v>
      </c>
      <c r="AN99" t="s">
        <v>2313</v>
      </c>
    </row>
    <row r="100" spans="1:41" hidden="1">
      <c r="A100" s="50" t="b">
        <f>NOT(ISERROR(MATCH(Table43[[#This Row],[Alias]],VN_Emails!#REF!,0)))</f>
        <v>0</v>
      </c>
      <c r="B100" t="s">
        <v>3961</v>
      </c>
      <c r="C100" t="s">
        <v>3962</v>
      </c>
      <c r="D100" t="s">
        <v>3963</v>
      </c>
      <c r="E100" t="s">
        <v>3115</v>
      </c>
      <c r="F100" t="s">
        <v>3964</v>
      </c>
      <c r="G100" t="b">
        <v>0</v>
      </c>
      <c r="K100" t="b">
        <v>1</v>
      </c>
      <c r="L100" t="s">
        <v>1705</v>
      </c>
      <c r="N100" t="s">
        <v>3965</v>
      </c>
      <c r="O100" t="s">
        <v>3966</v>
      </c>
      <c r="P100" t="s">
        <v>3967</v>
      </c>
      <c r="Q100" t="s">
        <v>3968</v>
      </c>
      <c r="S100" t="s">
        <v>3168</v>
      </c>
      <c r="V100" t="s">
        <v>3969</v>
      </c>
      <c r="X100" t="b">
        <v>1</v>
      </c>
      <c r="AC100" t="s">
        <v>3970</v>
      </c>
      <c r="AH100" t="b">
        <v>1</v>
      </c>
      <c r="AJ100" t="s">
        <v>3120</v>
      </c>
      <c r="AK100" t="s">
        <v>3962</v>
      </c>
      <c r="AL100" t="s">
        <v>3971</v>
      </c>
      <c r="AM100" t="s">
        <v>996</v>
      </c>
      <c r="AN100" t="s">
        <v>2313</v>
      </c>
    </row>
    <row r="101" spans="1:41" hidden="1">
      <c r="A101" s="50" t="b">
        <f>NOT(ISERROR(MATCH(Table43[[#This Row],[Alias]],VN_Emails!#REF!,0)))</f>
        <v>0</v>
      </c>
      <c r="B101" t="s">
        <v>3972</v>
      </c>
      <c r="C101" t="s">
        <v>3973</v>
      </c>
      <c r="D101" t="s">
        <v>3974</v>
      </c>
      <c r="E101" t="s">
        <v>3115</v>
      </c>
      <c r="F101" t="s">
        <v>3975</v>
      </c>
      <c r="G101" t="b">
        <v>0</v>
      </c>
      <c r="H101" t="s">
        <v>3976</v>
      </c>
      <c r="J101" t="s">
        <v>3339</v>
      </c>
      <c r="K101" t="b">
        <v>1</v>
      </c>
      <c r="L101" t="s">
        <v>3977</v>
      </c>
      <c r="N101" t="s">
        <v>3978</v>
      </c>
      <c r="O101" t="s">
        <v>3979</v>
      </c>
      <c r="Q101" t="s">
        <v>3980</v>
      </c>
      <c r="S101" t="s">
        <v>3168</v>
      </c>
      <c r="V101" t="s">
        <v>3981</v>
      </c>
      <c r="W101" t="s">
        <v>3283</v>
      </c>
      <c r="X101" t="b">
        <v>1</v>
      </c>
      <c r="Y101">
        <v>918484888</v>
      </c>
      <c r="AC101" t="s">
        <v>3982</v>
      </c>
      <c r="AF101" t="s">
        <v>3137</v>
      </c>
      <c r="AG101" t="s">
        <v>3983</v>
      </c>
      <c r="AH101" t="b">
        <v>1</v>
      </c>
      <c r="AI101" t="s">
        <v>3984</v>
      </c>
      <c r="AJ101" t="s">
        <v>3120</v>
      </c>
      <c r="AK101" t="s">
        <v>3973</v>
      </c>
      <c r="AL101" t="s">
        <v>3985</v>
      </c>
      <c r="AM101" t="s">
        <v>996</v>
      </c>
      <c r="AN101" t="s">
        <v>2313</v>
      </c>
    </row>
    <row r="102" spans="1:41" hidden="1">
      <c r="A102" s="50" t="b">
        <f>NOT(ISERROR(MATCH(Table43[[#This Row],[Alias]],VN_Emails!#REF!,0)))</f>
        <v>0</v>
      </c>
      <c r="B102" t="s">
        <v>3986</v>
      </c>
      <c r="C102" t="s">
        <v>3987</v>
      </c>
      <c r="D102" t="s">
        <v>1622</v>
      </c>
      <c r="E102" t="s">
        <v>3115</v>
      </c>
      <c r="F102" t="s">
        <v>3988</v>
      </c>
      <c r="G102" t="b">
        <v>0</v>
      </c>
      <c r="L102" t="s">
        <v>3989</v>
      </c>
      <c r="Q102" t="s">
        <v>3990</v>
      </c>
      <c r="S102" t="s">
        <v>3168</v>
      </c>
      <c r="V102" t="s">
        <v>3991</v>
      </c>
      <c r="AC102" t="s">
        <v>3992</v>
      </c>
      <c r="AJ102" t="s">
        <v>3120</v>
      </c>
      <c r="AK102" t="s">
        <v>3987</v>
      </c>
      <c r="AL102" t="s">
        <v>3245</v>
      </c>
      <c r="AM102" t="s">
        <v>996</v>
      </c>
      <c r="AN102" t="s">
        <v>2313</v>
      </c>
    </row>
    <row r="103" spans="1:41" hidden="1">
      <c r="A103" s="50" t="b">
        <f>NOT(ISERROR(MATCH(Table43[[#This Row],[Alias]],VN_Emails!#REF!,0)))</f>
        <v>0</v>
      </c>
      <c r="B103" t="s">
        <v>3993</v>
      </c>
      <c r="C103" t="s">
        <v>3994</v>
      </c>
      <c r="D103" t="s">
        <v>1563</v>
      </c>
      <c r="E103" t="s">
        <v>3115</v>
      </c>
      <c r="F103" t="s">
        <v>3995</v>
      </c>
      <c r="G103" t="b">
        <v>0</v>
      </c>
      <c r="L103" t="s">
        <v>1565</v>
      </c>
      <c r="Q103" t="s">
        <v>3996</v>
      </c>
      <c r="S103" t="s">
        <v>3168</v>
      </c>
      <c r="V103" t="s">
        <v>3997</v>
      </c>
      <c r="AC103" t="s">
        <v>3998</v>
      </c>
      <c r="AJ103" t="s">
        <v>3120</v>
      </c>
      <c r="AK103" t="s">
        <v>3994</v>
      </c>
      <c r="AL103" t="s">
        <v>3453</v>
      </c>
      <c r="AM103" t="s">
        <v>996</v>
      </c>
      <c r="AN103" t="s">
        <v>2313</v>
      </c>
    </row>
    <row r="104" spans="1:41" s="50" customFormat="1">
      <c r="A104" s="50" t="b">
        <f>NOT(ISERROR(MATCH(Table43[[#This Row],[Alias]],VN_Emails!#REF!,0)))</f>
        <v>0</v>
      </c>
      <c r="B104" s="50" t="s">
        <v>3999</v>
      </c>
      <c r="C104" s="50" t="s">
        <v>4000</v>
      </c>
      <c r="D104" s="50" t="s">
        <v>1939</v>
      </c>
      <c r="E104" s="50" t="s">
        <v>3115</v>
      </c>
      <c r="F104" s="50" t="s">
        <v>4001</v>
      </c>
      <c r="G104" s="50" t="b">
        <v>0</v>
      </c>
      <c r="L104" s="50" t="s">
        <v>4002</v>
      </c>
      <c r="Q104" s="50" t="s">
        <v>4003</v>
      </c>
      <c r="S104" s="50" t="s">
        <v>3168</v>
      </c>
      <c r="V104" s="50" t="s">
        <v>4004</v>
      </c>
      <c r="AC104" s="50" t="s">
        <v>4005</v>
      </c>
      <c r="AJ104" s="50" t="s">
        <v>3120</v>
      </c>
      <c r="AK104" s="50" t="s">
        <v>4000</v>
      </c>
      <c r="AL104" s="50" t="s">
        <v>3453</v>
      </c>
      <c r="AM104" s="50" t="s">
        <v>996</v>
      </c>
      <c r="AN104" s="50" t="s">
        <v>2313</v>
      </c>
      <c r="AO104" s="66" t="s">
        <v>4006</v>
      </c>
    </row>
    <row r="105" spans="1:41" hidden="1">
      <c r="A105" s="50" t="b">
        <f>NOT(ISERROR(MATCH(Table43[[#This Row],[Alias]],VN_Emails!#REF!,0)))</f>
        <v>0</v>
      </c>
      <c r="B105" t="s">
        <v>4007</v>
      </c>
      <c r="C105" t="s">
        <v>4008</v>
      </c>
      <c r="D105" t="s">
        <v>1975</v>
      </c>
      <c r="E105" t="s">
        <v>3115</v>
      </c>
      <c r="F105" t="s">
        <v>4009</v>
      </c>
      <c r="G105" t="b">
        <v>0</v>
      </c>
      <c r="L105" t="s">
        <v>4010</v>
      </c>
      <c r="Q105" t="s">
        <v>4011</v>
      </c>
      <c r="S105" t="s">
        <v>3168</v>
      </c>
      <c r="V105" t="s">
        <v>4012</v>
      </c>
      <c r="AC105" t="s">
        <v>4013</v>
      </c>
      <c r="AJ105" t="s">
        <v>3120</v>
      </c>
      <c r="AK105" t="s">
        <v>4008</v>
      </c>
      <c r="AL105" t="s">
        <v>3271</v>
      </c>
      <c r="AM105" t="s">
        <v>996</v>
      </c>
      <c r="AN105" s="50" t="s">
        <v>2313</v>
      </c>
    </row>
    <row r="106" spans="1:41" hidden="1">
      <c r="A106" s="50" t="b">
        <f>NOT(ISERROR(MATCH(Table43[[#This Row],[Alias]],VN_Emails!#REF!,0)))</f>
        <v>0</v>
      </c>
      <c r="B106" t="s">
        <v>4014</v>
      </c>
      <c r="C106" t="s">
        <v>4015</v>
      </c>
      <c r="D106" t="s">
        <v>1631</v>
      </c>
      <c r="E106" t="s">
        <v>3115</v>
      </c>
      <c r="F106" t="s">
        <v>4016</v>
      </c>
      <c r="G106" t="b">
        <v>0</v>
      </c>
      <c r="L106" t="s">
        <v>4017</v>
      </c>
      <c r="Q106" t="s">
        <v>4018</v>
      </c>
      <c r="S106" t="s">
        <v>3168</v>
      </c>
      <c r="V106" t="s">
        <v>4019</v>
      </c>
      <c r="AC106" t="s">
        <v>4020</v>
      </c>
      <c r="AJ106" t="s">
        <v>3120</v>
      </c>
      <c r="AK106" t="s">
        <v>4015</v>
      </c>
      <c r="AL106" t="s">
        <v>3245</v>
      </c>
      <c r="AM106" t="s">
        <v>996</v>
      </c>
      <c r="AN106" s="50" t="s">
        <v>2313</v>
      </c>
    </row>
    <row r="107" spans="1:41" hidden="1">
      <c r="A107" s="50" t="b">
        <f>NOT(ISERROR(MATCH(Table43[[#This Row],[Alias]],VN_Emails!#REF!,0)))</f>
        <v>0</v>
      </c>
      <c r="B107" t="s">
        <v>4021</v>
      </c>
      <c r="C107" t="s">
        <v>4022</v>
      </c>
      <c r="D107" t="s">
        <v>1650</v>
      </c>
      <c r="E107" t="s">
        <v>3115</v>
      </c>
      <c r="F107" t="s">
        <v>4023</v>
      </c>
      <c r="G107" t="b">
        <v>0</v>
      </c>
      <c r="L107" t="s">
        <v>4024</v>
      </c>
      <c r="Q107" t="s">
        <v>4025</v>
      </c>
      <c r="S107" t="s">
        <v>3168</v>
      </c>
      <c r="V107" t="s">
        <v>4026</v>
      </c>
      <c r="AC107" t="s">
        <v>4027</v>
      </c>
      <c r="AJ107" t="s">
        <v>3120</v>
      </c>
      <c r="AK107" t="s">
        <v>4022</v>
      </c>
      <c r="AL107" t="s">
        <v>3271</v>
      </c>
      <c r="AM107" t="s">
        <v>996</v>
      </c>
      <c r="AN107" s="50" t="s">
        <v>2313</v>
      </c>
    </row>
    <row r="108" spans="1:41">
      <c r="A108" s="50" t="b">
        <f>NOT(ISERROR(MATCH(Table43[[#This Row],[Alias]],VN_Emails!#REF!,0)))</f>
        <v>0</v>
      </c>
      <c r="B108" t="s">
        <v>4028</v>
      </c>
      <c r="C108" t="s">
        <v>4029</v>
      </c>
      <c r="D108" t="s">
        <v>4030</v>
      </c>
      <c r="E108" t="s">
        <v>3115</v>
      </c>
      <c r="F108" t="s">
        <v>4031</v>
      </c>
      <c r="G108" t="b">
        <v>1</v>
      </c>
      <c r="K108" t="b">
        <v>1</v>
      </c>
      <c r="L108" t="s">
        <v>4032</v>
      </c>
      <c r="N108" t="s">
        <v>3401</v>
      </c>
      <c r="O108" t="s">
        <v>4033</v>
      </c>
      <c r="P108" t="s">
        <v>4034</v>
      </c>
      <c r="Q108" t="s">
        <v>4035</v>
      </c>
      <c r="V108" t="s">
        <v>4036</v>
      </c>
      <c r="X108" t="b">
        <v>1</v>
      </c>
      <c r="AC108" t="s">
        <v>4037</v>
      </c>
      <c r="AH108" t="b">
        <v>1</v>
      </c>
      <c r="AJ108" t="s">
        <v>3120</v>
      </c>
      <c r="AK108" t="s">
        <v>4029</v>
      </c>
      <c r="AL108" t="s">
        <v>3658</v>
      </c>
      <c r="AM108" t="s">
        <v>996</v>
      </c>
      <c r="AN108" t="s">
        <v>3237</v>
      </c>
    </row>
    <row r="109" spans="1:41">
      <c r="A109" s="50" t="b">
        <f>NOT(ISERROR(MATCH(Table43[[#This Row],[Alias]],VN_Emails!#REF!,0)))</f>
        <v>0</v>
      </c>
      <c r="B109" t="s">
        <v>4038</v>
      </c>
      <c r="C109" t="s">
        <v>4039</v>
      </c>
      <c r="D109" t="s">
        <v>1913</v>
      </c>
      <c r="E109" t="s">
        <v>3115</v>
      </c>
      <c r="F109" t="s">
        <v>4040</v>
      </c>
      <c r="G109" t="b">
        <v>0</v>
      </c>
      <c r="K109" t="b">
        <v>1</v>
      </c>
      <c r="L109" t="s">
        <v>1915</v>
      </c>
      <c r="N109" t="s">
        <v>3401</v>
      </c>
      <c r="O109" t="s">
        <v>3340</v>
      </c>
      <c r="P109" t="s">
        <v>4041</v>
      </c>
      <c r="Q109" t="s">
        <v>4042</v>
      </c>
      <c r="V109" t="s">
        <v>4043</v>
      </c>
      <c r="X109" t="b">
        <v>1</v>
      </c>
      <c r="AC109" t="s">
        <v>4044</v>
      </c>
      <c r="AH109" t="b">
        <v>1</v>
      </c>
      <c r="AI109" t="s">
        <v>3592</v>
      </c>
      <c r="AJ109" t="s">
        <v>3120</v>
      </c>
      <c r="AK109" t="s">
        <v>4039</v>
      </c>
      <c r="AL109" t="s">
        <v>3618</v>
      </c>
      <c r="AM109" t="s">
        <v>996</v>
      </c>
      <c r="AN109" t="s">
        <v>3237</v>
      </c>
    </row>
    <row r="110" spans="1:41">
      <c r="A110" s="50" t="b">
        <f>NOT(ISERROR(MATCH(Table43[[#This Row],[Alias]],VN_Emails!#REF!,0)))</f>
        <v>0</v>
      </c>
      <c r="B110" t="s">
        <v>4045</v>
      </c>
      <c r="C110" t="s">
        <v>4046</v>
      </c>
      <c r="D110" t="s">
        <v>1908</v>
      </c>
      <c r="E110" t="s">
        <v>3115</v>
      </c>
      <c r="F110" t="s">
        <v>4047</v>
      </c>
      <c r="G110" t="b">
        <v>1</v>
      </c>
      <c r="K110" t="b">
        <v>1</v>
      </c>
      <c r="L110" t="s">
        <v>4048</v>
      </c>
      <c r="N110" t="s">
        <v>3401</v>
      </c>
      <c r="O110" t="s">
        <v>4049</v>
      </c>
      <c r="P110" t="s">
        <v>4050</v>
      </c>
      <c r="Q110" t="s">
        <v>4051</v>
      </c>
      <c r="V110" t="s">
        <v>4052</v>
      </c>
      <c r="X110" t="b">
        <v>1</v>
      </c>
      <c r="AC110" t="s">
        <v>4053</v>
      </c>
      <c r="AH110" t="b">
        <v>1</v>
      </c>
      <c r="AI110" t="s">
        <v>1642</v>
      </c>
      <c r="AJ110" t="s">
        <v>3120</v>
      </c>
      <c r="AK110" t="s">
        <v>4046</v>
      </c>
      <c r="AL110" t="s">
        <v>4054</v>
      </c>
      <c r="AM110" t="s">
        <v>996</v>
      </c>
      <c r="AN110" t="s">
        <v>3237</v>
      </c>
    </row>
    <row r="111" spans="1:41" hidden="1">
      <c r="A111" s="50" t="b">
        <f>NOT(ISERROR(MATCH(Table43[[#This Row],[Alias]],VN_Emails!#REF!,0)))</f>
        <v>0</v>
      </c>
      <c r="B111" t="s">
        <v>4055</v>
      </c>
      <c r="C111" t="s">
        <v>4056</v>
      </c>
      <c r="D111" t="s">
        <v>1743</v>
      </c>
      <c r="E111" t="s">
        <v>3115</v>
      </c>
      <c r="F111" t="s">
        <v>4057</v>
      </c>
      <c r="G111" t="b">
        <v>0</v>
      </c>
      <c r="J111" t="s">
        <v>1746</v>
      </c>
      <c r="K111" t="b">
        <v>1</v>
      </c>
      <c r="L111" t="s">
        <v>1745</v>
      </c>
      <c r="N111" t="s">
        <v>4058</v>
      </c>
      <c r="O111" t="s">
        <v>4059</v>
      </c>
      <c r="P111" t="s">
        <v>4060</v>
      </c>
      <c r="Q111" t="s">
        <v>4061</v>
      </c>
      <c r="V111" t="s">
        <v>4062</v>
      </c>
      <c r="W111" t="s">
        <v>1746</v>
      </c>
      <c r="X111" t="b">
        <v>1</v>
      </c>
      <c r="AC111" t="s">
        <v>4063</v>
      </c>
      <c r="AH111" t="b">
        <v>1</v>
      </c>
      <c r="AI111" t="s">
        <v>1584</v>
      </c>
      <c r="AK111" t="s">
        <v>4056</v>
      </c>
      <c r="AL111" t="s">
        <v>4064</v>
      </c>
      <c r="AM111" t="s">
        <v>996</v>
      </c>
      <c r="AN111" t="s">
        <v>2313</v>
      </c>
    </row>
    <row r="112" spans="1:41">
      <c r="A112" s="50" t="b">
        <f>NOT(ISERROR(MATCH(Table43[[#This Row],[Alias]],VN_Emails!#REF!,0)))</f>
        <v>0</v>
      </c>
      <c r="B112" t="s">
        <v>4065</v>
      </c>
      <c r="C112" t="s">
        <v>4066</v>
      </c>
      <c r="D112" t="s">
        <v>4067</v>
      </c>
      <c r="E112" t="s">
        <v>3115</v>
      </c>
      <c r="F112" t="s">
        <v>4068</v>
      </c>
      <c r="G112" t="b">
        <v>1</v>
      </c>
      <c r="K112" t="b">
        <v>1</v>
      </c>
      <c r="L112" t="s">
        <v>4069</v>
      </c>
      <c r="O112" t="s">
        <v>4070</v>
      </c>
      <c r="Q112" t="s">
        <v>4071</v>
      </c>
      <c r="V112" t="s">
        <v>4072</v>
      </c>
      <c r="X112" t="b">
        <v>1</v>
      </c>
      <c r="AC112" t="s">
        <v>4073</v>
      </c>
      <c r="AH112" t="b">
        <v>1</v>
      </c>
      <c r="AI112" t="s">
        <v>4074</v>
      </c>
      <c r="AK112" t="s">
        <v>4066</v>
      </c>
      <c r="AL112" t="s">
        <v>4075</v>
      </c>
      <c r="AM112" t="s">
        <v>996</v>
      </c>
      <c r="AN112" t="s">
        <v>3237</v>
      </c>
    </row>
    <row r="113" spans="1:41" s="50" customFormat="1" hidden="1">
      <c r="A113" s="50" t="b">
        <f>NOT(ISERROR(MATCH(Table43[[#This Row],[Alias]],VN_Emails!#REF!,0)))</f>
        <v>0</v>
      </c>
      <c r="B113" s="157" t="s">
        <v>4076</v>
      </c>
      <c r="C113" s="157"/>
      <c r="D113" s="158" t="s">
        <v>1859</v>
      </c>
      <c r="E113" s="157" t="s">
        <v>3115</v>
      </c>
      <c r="F113" s="157"/>
      <c r="G113" s="157"/>
      <c r="H113" s="157"/>
      <c r="I113" s="157"/>
      <c r="J113" s="157"/>
      <c r="K113" s="157"/>
      <c r="L113" s="157" t="s">
        <v>1860</v>
      </c>
      <c r="M113" s="157"/>
      <c r="N113" s="157"/>
      <c r="O113" s="157"/>
      <c r="P113" s="157"/>
      <c r="Q113" s="157"/>
      <c r="R113" s="157"/>
      <c r="S113" s="157" t="s">
        <v>1856</v>
      </c>
      <c r="T113" s="157"/>
      <c r="U113" s="157"/>
      <c r="V113" s="157"/>
      <c r="W113" s="157"/>
      <c r="X113" s="157"/>
      <c r="Y113" s="157"/>
      <c r="Z113" s="157"/>
      <c r="AA113" s="157"/>
      <c r="AB113" s="157"/>
      <c r="AC113" s="157"/>
      <c r="AD113" s="157"/>
      <c r="AE113" s="157"/>
      <c r="AF113" s="157"/>
      <c r="AG113" s="157"/>
      <c r="AH113" s="157"/>
      <c r="AI113" s="157"/>
      <c r="AJ113" s="157"/>
      <c r="AK113" s="157"/>
      <c r="AL113" s="157"/>
      <c r="AM113" s="157" t="s">
        <v>996</v>
      </c>
      <c r="AN113" s="157" t="s">
        <v>2313</v>
      </c>
      <c r="AO113" s="131" t="s">
        <v>1861</v>
      </c>
    </row>
  </sheetData>
  <autoFilter ref="A1:A113" xr:uid="{97D56FBE-1BDA-4310-B824-298B7E09BFD7}">
    <filterColumn colId="0">
      <filters>
        <filter val="FALSE"/>
      </filters>
    </filterColumn>
  </autoFilter>
  <hyperlinks>
    <hyperlink ref="D2" r:id="rId1" xr:uid="{BE37D7AA-3336-4F79-BDF5-C3637F1C18CB}"/>
    <hyperlink ref="D113" r:id="rId2" xr:uid="{9688725C-672B-4C0C-9F98-19BB0198BD92}"/>
  </hyperlinks>
  <pageMargins left="0.7" right="0.7" top="0.75" bottom="0.75" header="0.3" footer="0.3"/>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DA4-DD97-48DD-8EF0-23B55DCDE412}">
  <dimension ref="A1:P90"/>
  <sheetViews>
    <sheetView workbookViewId="0">
      <pane xSplit="2" ySplit="1" topLeftCell="D37" activePane="bottomRight" state="frozen"/>
      <selection pane="bottomRight"/>
      <selection pane="bottomLeft"/>
      <selection pane="topRight"/>
    </sheetView>
  </sheetViews>
  <sheetFormatPr defaultColWidth="9.25" defaultRowHeight="13.5"/>
  <cols>
    <col min="1" max="1" width="9.625" style="50" bestFit="1" customWidth="1"/>
    <col min="2" max="2" width="39" style="50" bestFit="1" customWidth="1"/>
    <col min="3" max="3" width="28.625" style="50" bestFit="1" customWidth="1"/>
    <col min="4" max="4" width="18.75" style="50" bestFit="1" customWidth="1"/>
    <col min="5" max="5" width="61.125" style="50" customWidth="1"/>
    <col min="6" max="13" width="18.75" style="50" customWidth="1"/>
    <col min="14" max="14" width="9.5" style="50" bestFit="1" customWidth="1"/>
    <col min="15" max="15" width="9.25" style="50"/>
    <col min="16" max="16" width="36" style="50" customWidth="1"/>
    <col min="17" max="16384" width="9.25" style="50"/>
  </cols>
  <sheetData>
    <row r="1" spans="1:16" ht="15">
      <c r="A1" s="358" t="s">
        <v>4077</v>
      </c>
      <c r="B1" s="358" t="s">
        <v>4078</v>
      </c>
      <c r="C1" s="358" t="s">
        <v>4079</v>
      </c>
      <c r="D1" s="358" t="s">
        <v>4080</v>
      </c>
      <c r="E1" s="358" t="s">
        <v>2252</v>
      </c>
      <c r="F1" s="358" t="s">
        <v>4081</v>
      </c>
      <c r="G1" s="358" t="s">
        <v>4082</v>
      </c>
      <c r="H1" s="358" t="s">
        <v>4083</v>
      </c>
      <c r="I1" s="358" t="s">
        <v>4084</v>
      </c>
      <c r="J1" s="358" t="s">
        <v>4085</v>
      </c>
      <c r="K1" s="358" t="s">
        <v>4086</v>
      </c>
      <c r="L1" s="358" t="s">
        <v>4087</v>
      </c>
      <c r="M1" s="358" t="s">
        <v>2261</v>
      </c>
      <c r="N1" s="358" t="s">
        <v>1541</v>
      </c>
      <c r="O1" s="392" t="s">
        <v>2249</v>
      </c>
      <c r="P1" s="393" t="s">
        <v>2767</v>
      </c>
    </row>
    <row r="2" spans="1:16" ht="15">
      <c r="A2" s="475" t="s">
        <v>541</v>
      </c>
      <c r="B2" s="475" t="s">
        <v>2845</v>
      </c>
      <c r="C2" s="475" t="s">
        <v>4088</v>
      </c>
      <c r="D2" s="475" t="s">
        <v>4089</v>
      </c>
      <c r="E2" s="475" t="str">
        <f>VLOOKUP(Report_MasterDataStore_VN!A2,Store_Info_VN!B:W,8,FALSE)</f>
        <v>11-13 Quang Trung, Quận Gò Vấp, Thành Phố Hồ Chí Minh</v>
      </c>
      <c r="F2" s="476" t="s">
        <v>2512</v>
      </c>
      <c r="G2" s="476">
        <v>0</v>
      </c>
      <c r="H2" s="476"/>
      <c r="I2" s="476"/>
      <c r="J2" s="476"/>
      <c r="K2" s="476"/>
      <c r="L2" s="476"/>
      <c r="M2" s="476" t="s">
        <v>2278</v>
      </c>
      <c r="N2" s="475" t="s">
        <v>4090</v>
      </c>
      <c r="O2" s="357" t="s">
        <v>2313</v>
      </c>
      <c r="P2" s="66"/>
    </row>
    <row r="3" spans="1:16" ht="15">
      <c r="A3" s="475" t="s">
        <v>373</v>
      </c>
      <c r="B3" s="475" t="s">
        <v>2363</v>
      </c>
      <c r="C3" s="475" t="s">
        <v>4091</v>
      </c>
      <c r="D3" s="475" t="s">
        <v>4092</v>
      </c>
      <c r="E3" s="475" t="str">
        <f>VLOOKUP(Report_MasterDataStore_VN!A3,Store_Info_VN!B:W,8,FALSE)</f>
        <v>Aeon Canary 01 Binh Duong Boulevard, Thuan An Town, Binh Duong</v>
      </c>
      <c r="F3" s="476" t="s">
        <v>2276</v>
      </c>
      <c r="G3" s="476">
        <v>95.5</v>
      </c>
      <c r="H3" s="476"/>
      <c r="I3" s="476"/>
      <c r="J3" s="476"/>
      <c r="K3" s="476"/>
      <c r="L3" s="476"/>
      <c r="M3" s="476" t="s">
        <v>2278</v>
      </c>
      <c r="N3" s="475" t="s">
        <v>4090</v>
      </c>
      <c r="O3" s="357" t="s">
        <v>2313</v>
      </c>
      <c r="P3" s="66"/>
    </row>
    <row r="4" spans="1:16" ht="63.75">
      <c r="A4" s="475" t="s">
        <v>2427</v>
      </c>
      <c r="B4" s="475" t="s">
        <v>4093</v>
      </c>
      <c r="C4" s="475" t="s">
        <v>4094</v>
      </c>
      <c r="D4" s="475" t="s">
        <v>4095</v>
      </c>
      <c r="E4" s="477" t="s">
        <v>2432</v>
      </c>
      <c r="F4" s="476" t="s">
        <v>2276</v>
      </c>
      <c r="G4" s="476">
        <v>95</v>
      </c>
      <c r="H4" s="476"/>
      <c r="I4" s="476"/>
      <c r="J4" s="476"/>
      <c r="K4" s="476"/>
      <c r="L4" s="476"/>
      <c r="M4" s="476" t="s">
        <v>2278</v>
      </c>
      <c r="N4" s="475" t="s">
        <v>4090</v>
      </c>
      <c r="O4" s="357" t="s">
        <v>2313</v>
      </c>
      <c r="P4" s="66" t="s">
        <v>4096</v>
      </c>
    </row>
    <row r="5" spans="1:16" ht="63.75">
      <c r="A5" s="475" t="s">
        <v>719</v>
      </c>
      <c r="B5" s="475" t="s">
        <v>4097</v>
      </c>
      <c r="C5" s="475" t="s">
        <v>4098</v>
      </c>
      <c r="D5" s="475" t="s">
        <v>4095</v>
      </c>
      <c r="E5" s="477" t="s">
        <v>2437</v>
      </c>
      <c r="F5" s="476" t="s">
        <v>2276</v>
      </c>
      <c r="G5" s="476">
        <v>63.4</v>
      </c>
      <c r="H5" s="476"/>
      <c r="I5" s="476"/>
      <c r="J5" s="476"/>
      <c r="K5" s="476"/>
      <c r="L5" s="476"/>
      <c r="M5" s="476" t="s">
        <v>2278</v>
      </c>
      <c r="N5" s="475" t="s">
        <v>4090</v>
      </c>
      <c r="O5" s="357" t="s">
        <v>2313</v>
      </c>
      <c r="P5" s="66" t="s">
        <v>4099</v>
      </c>
    </row>
    <row r="6" spans="1:16" ht="15">
      <c r="A6" s="475" t="s">
        <v>551</v>
      </c>
      <c r="B6" s="475" t="s">
        <v>4100</v>
      </c>
      <c r="C6" s="475" t="s">
        <v>4101</v>
      </c>
      <c r="D6" s="475" t="s">
        <v>4102</v>
      </c>
      <c r="E6" s="475" t="str">
        <f>VLOOKUP(Report_MasterDataStore_VN!A6,Store_Info_VN!B:W,8,FALSE)</f>
        <v>2F-229 lot - Lotte Mall (No. 683 Lac Long Quan street, Phu Thuong ward, Tay Ho district)</v>
      </c>
      <c r="F6" s="476" t="s">
        <v>2276</v>
      </c>
      <c r="G6" s="476">
        <v>96</v>
      </c>
      <c r="H6" s="476"/>
      <c r="I6" s="476"/>
      <c r="J6" s="476"/>
      <c r="K6" s="476"/>
      <c r="L6" s="476"/>
      <c r="M6" s="476" t="s">
        <v>2196</v>
      </c>
      <c r="N6" s="475" t="s">
        <v>4090</v>
      </c>
      <c r="O6" s="357" t="s">
        <v>2313</v>
      </c>
      <c r="P6" s="66"/>
    </row>
    <row r="7" spans="1:16" ht="15">
      <c r="A7" s="475" t="s">
        <v>599</v>
      </c>
      <c r="B7" s="475" t="s">
        <v>4103</v>
      </c>
      <c r="C7" s="475" t="s">
        <v>4104</v>
      </c>
      <c r="D7" s="475" t="s">
        <v>4102</v>
      </c>
      <c r="E7" s="475" t="str">
        <f>VLOOKUP(Report_MasterDataStore_VN!A7,Store_Info_VN!B:W,8,FALSE)</f>
        <v>Toà nhà IPH số 241 Xuân Thuỷ, phường Dịch Vọng Hậu, quận Cầu Giấy, Hà Nội</v>
      </c>
      <c r="F7" s="476" t="s">
        <v>2276</v>
      </c>
      <c r="G7" s="476">
        <v>121</v>
      </c>
      <c r="H7" s="476"/>
      <c r="I7" s="476"/>
      <c r="J7" s="476"/>
      <c r="K7" s="476"/>
      <c r="L7" s="476"/>
      <c r="M7" s="476" t="s">
        <v>2196</v>
      </c>
      <c r="N7" s="475" t="s">
        <v>4090</v>
      </c>
      <c r="O7" s="357" t="s">
        <v>2313</v>
      </c>
      <c r="P7" s="66"/>
    </row>
    <row r="8" spans="1:16" ht="15">
      <c r="A8" s="475" t="s">
        <v>660</v>
      </c>
      <c r="B8" s="475" t="s">
        <v>4105</v>
      </c>
      <c r="C8" s="475" t="s">
        <v>4106</v>
      </c>
      <c r="D8" s="475" t="s">
        <v>4102</v>
      </c>
      <c r="E8" s="475" t="str">
        <f>VLOOKUP(Report_MasterDataStore_VN!A8,Store_Info_VN!B:W,8,FALSE)</f>
        <v>L1-24 Vincom Mega Mall Smart City, Tay Mo Ward,Nam Từ Liêm District, Ha Noi</v>
      </c>
      <c r="F8" s="476" t="s">
        <v>2276</v>
      </c>
      <c r="G8" s="476">
        <v>104.9</v>
      </c>
      <c r="H8" s="476"/>
      <c r="I8" s="476"/>
      <c r="J8" s="476"/>
      <c r="K8" s="476"/>
      <c r="L8" s="476"/>
      <c r="M8" s="476" t="s">
        <v>2196</v>
      </c>
      <c r="N8" s="475" t="s">
        <v>4090</v>
      </c>
      <c r="O8" s="357" t="s">
        <v>2313</v>
      </c>
      <c r="P8" s="66"/>
    </row>
    <row r="9" spans="1:16" ht="15">
      <c r="A9" s="475" t="s">
        <v>226</v>
      </c>
      <c r="B9" s="475" t="s">
        <v>2411</v>
      </c>
      <c r="C9" s="475" t="s">
        <v>4107</v>
      </c>
      <c r="D9" s="475" t="s">
        <v>4102</v>
      </c>
      <c r="E9" s="475" t="str">
        <f>VLOOKUP(Report_MasterDataStore_VN!A9,Store_Info_VN!B:W,8,FALSE)</f>
        <v>T228 Aeon Ha Dong, Hoang Van Thu Residential Area, Duong Noi Ward, Ha Dong District, Ha Noi</v>
      </c>
      <c r="F9" s="476" t="s">
        <v>2290</v>
      </c>
      <c r="G9" s="476">
        <v>40.770000000000003</v>
      </c>
      <c r="H9" s="476"/>
      <c r="I9" s="476"/>
      <c r="J9" s="476"/>
      <c r="K9" s="476"/>
      <c r="L9" s="476"/>
      <c r="M9" s="476" t="s">
        <v>2196</v>
      </c>
      <c r="N9" s="475" t="s">
        <v>4090</v>
      </c>
      <c r="O9" s="357" t="s">
        <v>2313</v>
      </c>
      <c r="P9" s="66"/>
    </row>
    <row r="10" spans="1:16" ht="15">
      <c r="A10" s="475" t="s">
        <v>240</v>
      </c>
      <c r="B10" s="475" t="s">
        <v>2405</v>
      </c>
      <c r="C10" s="475" t="s">
        <v>4108</v>
      </c>
      <c r="D10" s="475" t="s">
        <v>4102</v>
      </c>
      <c r="E10" s="475" t="str">
        <f>VLOOKUP(Report_MasterDataStore_VN!A10,Store_Info_VN!B:W,8,FALSE)</f>
        <v>T218 Aeon Mall Long Bien, No. 27 Co Linh Street, Long Bien Ward, Long Bien District, Ha Noi</v>
      </c>
      <c r="F10" s="476" t="s">
        <v>2290</v>
      </c>
      <c r="G10" s="476">
        <v>50</v>
      </c>
      <c r="H10" s="476"/>
      <c r="I10" s="476"/>
      <c r="J10" s="476"/>
      <c r="K10" s="476"/>
      <c r="L10" s="476"/>
      <c r="M10" s="476" t="s">
        <v>2196</v>
      </c>
      <c r="N10" s="475" t="s">
        <v>4090</v>
      </c>
      <c r="O10" s="357" t="s">
        <v>2313</v>
      </c>
      <c r="P10" s="66"/>
    </row>
    <row r="11" spans="1:16" ht="15">
      <c r="A11" s="475" t="s">
        <v>309</v>
      </c>
      <c r="B11" s="475" t="s">
        <v>2408</v>
      </c>
      <c r="C11" s="475" t="s">
        <v>4109</v>
      </c>
      <c r="D11" s="475" t="s">
        <v>4102</v>
      </c>
      <c r="E11" s="475" t="str">
        <f>VLOOKUP(Report_MasterDataStore_VN!A11,Store_Info_VN!B:W,8,FALSE)</f>
        <v>T217 Aeon Mall Long Bien, No. 27 Co Linh Street, Long Bien Ward, Long Bien District, Ha Noi</v>
      </c>
      <c r="F11" s="476" t="s">
        <v>2290</v>
      </c>
      <c r="G11" s="476">
        <v>128.13999999999999</v>
      </c>
      <c r="H11" s="476"/>
      <c r="I11" s="476"/>
      <c r="J11" s="476"/>
      <c r="K11" s="476"/>
      <c r="L11" s="476"/>
      <c r="M11" s="476" t="s">
        <v>2278</v>
      </c>
      <c r="N11" s="475" t="s">
        <v>4090</v>
      </c>
      <c r="O11" s="357" t="s">
        <v>2313</v>
      </c>
      <c r="P11" s="66"/>
    </row>
    <row r="12" spans="1:16" ht="15">
      <c r="A12" s="475" t="s">
        <v>347</v>
      </c>
      <c r="B12" s="475" t="s">
        <v>4110</v>
      </c>
      <c r="C12" s="475" t="s">
        <v>4111</v>
      </c>
      <c r="D12" s="475" t="s">
        <v>4102</v>
      </c>
      <c r="E12" s="475" t="str">
        <f>VLOOKUP(Report_MasterDataStore_VN!A12,Store_Info_VN!B:W,8,FALSE)</f>
        <v>Floor 3 54 Lieu Giai Street, Ngoc Khanh Ward, Ba Dinh District, Ha Noi</v>
      </c>
      <c r="F12" s="476" t="s">
        <v>2290</v>
      </c>
      <c r="G12" s="476">
        <v>57.1</v>
      </c>
      <c r="H12" s="476"/>
      <c r="I12" s="476"/>
      <c r="J12" s="476"/>
      <c r="K12" s="476"/>
      <c r="L12" s="476"/>
      <c r="M12" s="476" t="s">
        <v>2196</v>
      </c>
      <c r="N12" s="475" t="s">
        <v>4090</v>
      </c>
      <c r="O12" s="357" t="s">
        <v>2313</v>
      </c>
      <c r="P12" s="66"/>
    </row>
    <row r="13" spans="1:16" ht="15">
      <c r="A13" s="475" t="s">
        <v>573</v>
      </c>
      <c r="B13" s="475" t="s">
        <v>4112</v>
      </c>
      <c r="C13" s="475" t="s">
        <v>4113</v>
      </c>
      <c r="D13" s="475" t="s">
        <v>4102</v>
      </c>
      <c r="E13" s="475" t="str">
        <f>VLOOKUP(Report_MasterDataStore_VN!A13,Store_Info_VN!B:W,8,FALSE)</f>
        <v>3F-333 lot - Lotte Mall (No. 683 Lac Long Quan street, Phu Thuong ward, Tay Ho district)</v>
      </c>
      <c r="F13" s="476" t="s">
        <v>2276</v>
      </c>
      <c r="G13" s="476">
        <v>65</v>
      </c>
      <c r="H13" s="476"/>
      <c r="I13" s="476"/>
      <c r="J13" s="476"/>
      <c r="K13" s="476"/>
      <c r="L13" s="476"/>
      <c r="M13" s="476" t="s">
        <v>2196</v>
      </c>
      <c r="N13" s="475" t="s">
        <v>4090</v>
      </c>
      <c r="O13" s="357" t="s">
        <v>2313</v>
      </c>
      <c r="P13" s="66"/>
    </row>
    <row r="14" spans="1:16" ht="15">
      <c r="A14" s="475" t="s">
        <v>611</v>
      </c>
      <c r="B14" s="475" t="s">
        <v>4114</v>
      </c>
      <c r="C14" s="475" t="s">
        <v>4115</v>
      </c>
      <c r="D14" s="475" t="s">
        <v>4102</v>
      </c>
      <c r="E14" s="475" t="str">
        <f>VLOOKUP(Report_MasterDataStore_VN!A14,Store_Info_VN!B:W,8,FALSE)</f>
        <v>2F-227 lot - Lotte Mall (No. 683 Lac Long Quan street, Phu Thuong ward, Tay Ho district)</v>
      </c>
      <c r="F14" s="476" t="s">
        <v>2512</v>
      </c>
      <c r="G14" s="476">
        <v>654</v>
      </c>
      <c r="H14" s="476"/>
      <c r="I14" s="476"/>
      <c r="J14" s="476"/>
      <c r="K14" s="476"/>
      <c r="L14" s="476"/>
      <c r="M14" s="476" t="s">
        <v>2196</v>
      </c>
      <c r="N14" s="475" t="s">
        <v>4090</v>
      </c>
      <c r="O14" s="357" t="s">
        <v>2313</v>
      </c>
      <c r="P14" s="66"/>
    </row>
    <row r="15" spans="1:16" ht="15">
      <c r="A15" s="475" t="s">
        <v>194</v>
      </c>
      <c r="B15" s="475" t="s">
        <v>2401</v>
      </c>
      <c r="C15" s="475" t="s">
        <v>4116</v>
      </c>
      <c r="D15" s="475" t="s">
        <v>4102</v>
      </c>
      <c r="E15" s="475" t="str">
        <f>VLOOKUP(Report_MasterDataStore_VN!A15,Store_Info_VN!B:W,8,FALSE)</f>
        <v>T218 Aeon Mall Long Bien, No. 27 Co Linh Street, Long Bien Ward, Long Bien District, Ha Noi</v>
      </c>
      <c r="F15" s="476" t="s">
        <v>2290</v>
      </c>
      <c r="G15" s="476">
        <v>82.12</v>
      </c>
      <c r="H15" s="476"/>
      <c r="I15" s="476"/>
      <c r="J15" s="476"/>
      <c r="K15" s="476"/>
      <c r="L15" s="476"/>
      <c r="M15" s="476" t="s">
        <v>2196</v>
      </c>
      <c r="N15" s="475" t="s">
        <v>4090</v>
      </c>
      <c r="O15" s="357" t="s">
        <v>2313</v>
      </c>
      <c r="P15" s="66"/>
    </row>
    <row r="16" spans="1:16" ht="15">
      <c r="A16" s="475" t="s">
        <v>2392</v>
      </c>
      <c r="B16" s="475" t="s">
        <v>4117</v>
      </c>
      <c r="C16" s="475" t="s">
        <v>4088</v>
      </c>
      <c r="D16" s="475" t="s">
        <v>4102</v>
      </c>
      <c r="E16" s="475" t="str">
        <f>VLOOKUP(Report_MasterDataStore_VN!A16,Store_Info_VN!B:W,8,FALSE)</f>
        <v>Floor 3 54 Lieu Giai Street, Ngoc Khanh Ward, Ba Dinh District, Ha Noi</v>
      </c>
      <c r="F16" s="476" t="s">
        <v>2290</v>
      </c>
      <c r="G16" s="476">
        <v>127</v>
      </c>
      <c r="H16" s="476"/>
      <c r="I16" s="476"/>
      <c r="J16" s="476"/>
      <c r="K16" s="476"/>
      <c r="L16" s="476"/>
      <c r="M16" s="476" t="s">
        <v>2196</v>
      </c>
      <c r="N16" s="475" t="s">
        <v>4090</v>
      </c>
      <c r="O16" s="357" t="s">
        <v>2313</v>
      </c>
      <c r="P16" s="66"/>
    </row>
    <row r="17" spans="1:16" ht="15">
      <c r="A17" s="475" t="s">
        <v>2388</v>
      </c>
      <c r="B17" s="475" t="s">
        <v>4118</v>
      </c>
      <c r="C17" s="475" t="s">
        <v>4119</v>
      </c>
      <c r="D17" s="475" t="s">
        <v>4120</v>
      </c>
      <c r="E17" s="475" t="str">
        <f>VLOOKUP(Report_MasterDataStore_VN!A17,Store_Info_VN!B:W,8,FALSE)</f>
        <v>Floor 2 Aeon Mall Le Chan, 10 Vo Nguyen Giap, Du Hang Kenh, Le Chan, Hai Phong</v>
      </c>
      <c r="F17" s="476" t="s">
        <v>2290</v>
      </c>
      <c r="G17" s="476">
        <v>37</v>
      </c>
      <c r="H17" s="476"/>
      <c r="I17" s="476"/>
      <c r="J17" s="476"/>
      <c r="K17" s="476"/>
      <c r="L17" s="476"/>
      <c r="M17" s="476" t="s">
        <v>2196</v>
      </c>
      <c r="N17" s="475" t="s">
        <v>4090</v>
      </c>
      <c r="O17" s="357" t="s">
        <v>2313</v>
      </c>
      <c r="P17" s="66"/>
    </row>
    <row r="18" spans="1:16" ht="15">
      <c r="A18" s="475" t="s">
        <v>206</v>
      </c>
      <c r="B18" s="475" t="s">
        <v>4121</v>
      </c>
      <c r="C18" s="475" t="s">
        <v>4122</v>
      </c>
      <c r="D18" s="475" t="s">
        <v>4120</v>
      </c>
      <c r="E18" s="475" t="str">
        <f>VLOOKUP(Report_MasterDataStore_VN!A18,Store_Info_VN!B:W,8,FALSE)</f>
        <v>Floor 2 Aeon Mall Le Chan, 10 Vo Nguyen Giap, Du Hang Kenh, Le Chan, Hai Phong</v>
      </c>
      <c r="F18" s="476" t="s">
        <v>2290</v>
      </c>
      <c r="G18" s="476">
        <v>100</v>
      </c>
      <c r="H18" s="476"/>
      <c r="I18" s="476"/>
      <c r="J18" s="476"/>
      <c r="K18" s="476"/>
      <c r="L18" s="476"/>
      <c r="M18" s="476" t="s">
        <v>2196</v>
      </c>
      <c r="N18" s="475" t="s">
        <v>4090</v>
      </c>
      <c r="O18" s="357" t="s">
        <v>2313</v>
      </c>
      <c r="P18" s="66"/>
    </row>
    <row r="19" spans="1:16" ht="15">
      <c r="A19" s="475" t="s">
        <v>334</v>
      </c>
      <c r="B19" s="475" t="s">
        <v>2415</v>
      </c>
      <c r="C19" s="475" t="s">
        <v>4088</v>
      </c>
      <c r="D19" s="475" t="s">
        <v>4123</v>
      </c>
      <c r="E19" s="475" t="str">
        <f>VLOOKUP(Report_MasterDataStore_VN!A19,Store_Info_VN!B:W,8,FALSE)</f>
        <v>T228 Aeon Ha Dong, Hoang Van Thu Residential Area, Duong Noi Ward, Ha Dong District, Ha Noi</v>
      </c>
      <c r="F19" s="476" t="s">
        <v>2290</v>
      </c>
      <c r="G19" s="476">
        <v>70</v>
      </c>
      <c r="H19" s="476"/>
      <c r="I19" s="476"/>
      <c r="J19" s="476"/>
      <c r="K19" s="476"/>
      <c r="L19" s="476"/>
      <c r="M19" s="476" t="s">
        <v>2278</v>
      </c>
      <c r="N19" s="475" t="s">
        <v>4090</v>
      </c>
      <c r="O19" s="357" t="s">
        <v>2313</v>
      </c>
      <c r="P19" s="66"/>
    </row>
    <row r="20" spans="1:16" ht="15">
      <c r="A20" s="475" t="s">
        <v>107</v>
      </c>
      <c r="B20" s="475" t="s">
        <v>4124</v>
      </c>
      <c r="C20" s="475" t="s">
        <v>4088</v>
      </c>
      <c r="D20" s="475" t="s">
        <v>4123</v>
      </c>
      <c r="E20" s="475" t="str">
        <f>VLOOKUP(Report_MasterDataStore_VN!A20,Store_Info_VN!B:W,8,FALSE)</f>
        <v>B14.4F - LOTTE DEPARTMENT STORE (No. 54 Lieu Giai, Cong Vi Ward, Ba Dinh district, Ha Noi city)</v>
      </c>
      <c r="F20" s="476" t="s">
        <v>2290</v>
      </c>
      <c r="G20" s="476">
        <v>56.6</v>
      </c>
      <c r="H20" s="476"/>
      <c r="I20" s="476"/>
      <c r="J20" s="476"/>
      <c r="K20" s="476"/>
      <c r="L20" s="476"/>
      <c r="M20" s="476" t="s">
        <v>2196</v>
      </c>
      <c r="N20" s="475" t="s">
        <v>4090</v>
      </c>
      <c r="O20" s="357" t="s">
        <v>2313</v>
      </c>
      <c r="P20" s="66"/>
    </row>
    <row r="21" spans="1:16" ht="15">
      <c r="A21" s="475" t="s">
        <v>399</v>
      </c>
      <c r="B21" s="475" t="s">
        <v>4125</v>
      </c>
      <c r="C21" s="475" t="s">
        <v>4126</v>
      </c>
      <c r="D21" s="475" t="s">
        <v>4123</v>
      </c>
      <c r="E21" s="475" t="str">
        <f>VLOOKUP(Report_MasterDataStore_VN!A21,Store_Info_VN!B:W,8,FALSE)</f>
        <v>B1-R6-40 72A Nguyen Trai, Thanh Xuan, Hanoi</v>
      </c>
      <c r="F21" s="476" t="s">
        <v>2276</v>
      </c>
      <c r="G21" s="476">
        <v>86.4</v>
      </c>
      <c r="H21" s="476"/>
      <c r="I21" s="476"/>
      <c r="J21" s="476"/>
      <c r="K21" s="476"/>
      <c r="L21" s="476"/>
      <c r="M21" s="476" t="s">
        <v>2278</v>
      </c>
      <c r="N21" s="475" t="s">
        <v>4090</v>
      </c>
      <c r="O21" s="357" t="s">
        <v>2313</v>
      </c>
      <c r="P21" s="66"/>
    </row>
    <row r="22" spans="1:16" ht="15">
      <c r="A22" s="475" t="s">
        <v>55</v>
      </c>
      <c r="B22" s="475" t="s">
        <v>4127</v>
      </c>
      <c r="C22" s="475" t="s">
        <v>4088</v>
      </c>
      <c r="D22" s="475" t="s">
        <v>4089</v>
      </c>
      <c r="E22" s="475" t="str">
        <f>VLOOKUP(Report_MasterDataStore_VN!A22,Store_Info_VN!B:W,8,FALSE)</f>
        <v>Floor 2-13B , 88 Song Hanh,An Phu Ward, Estella Place, District 2, Ho Chi Minh City</v>
      </c>
      <c r="F22" s="476" t="s">
        <v>2276</v>
      </c>
      <c r="G22" s="476">
        <v>68.73</v>
      </c>
      <c r="H22" s="476"/>
      <c r="I22" s="476"/>
      <c r="J22" s="476"/>
      <c r="K22" s="476"/>
      <c r="L22" s="476"/>
      <c r="M22" s="476" t="s">
        <v>2196</v>
      </c>
      <c r="N22" s="475" t="s">
        <v>4090</v>
      </c>
      <c r="O22" s="357" t="s">
        <v>2313</v>
      </c>
      <c r="P22" s="66"/>
    </row>
    <row r="23" spans="1:16" ht="15">
      <c r="A23" s="475" t="s">
        <v>2449</v>
      </c>
      <c r="B23" s="475" t="s">
        <v>4128</v>
      </c>
      <c r="C23" s="475" t="s">
        <v>4088</v>
      </c>
      <c r="D23" s="475" t="s">
        <v>4129</v>
      </c>
      <c r="E23" s="475" t="str">
        <f>VLOOKUP(Report_MasterDataStore_VN!A23,Store_Info_VN!B:W,8,FALSE)</f>
        <v>VN Head Office - 14th Floor, Lottery Tower, 77 Tran Nhan Ton, Ward 9, District 5, Ho Chi Minh City</v>
      </c>
      <c r="F23" s="476" t="s">
        <v>2276</v>
      </c>
      <c r="G23" s="476" t="e">
        <v>#N/A</v>
      </c>
      <c r="H23" s="476"/>
      <c r="I23" s="476"/>
      <c r="J23" s="476"/>
      <c r="K23" s="476"/>
      <c r="L23" s="476"/>
      <c r="M23" s="476" t="s">
        <v>2196</v>
      </c>
      <c r="N23" s="475" t="s">
        <v>4090</v>
      </c>
      <c r="O23" s="357" t="s">
        <v>2313</v>
      </c>
      <c r="P23" s="66"/>
    </row>
    <row r="24" spans="1:16" ht="15">
      <c r="A24" s="475" t="s">
        <v>2468</v>
      </c>
      <c r="B24" s="475" t="s">
        <v>4130</v>
      </c>
      <c r="C24" s="475" t="s">
        <v>4088</v>
      </c>
      <c r="D24" s="475" t="s">
        <v>4129</v>
      </c>
      <c r="E24" s="475" t="str">
        <f>VLOOKUP(Report_MasterDataStore_VN!A24,Store_Info_VN!B:W,8,FALSE)</f>
        <v>VN Head Office - 14th Floor, Lottery Tower, 77 Tran Nhan Ton, Ward 9, District 5, Ho Chi Minh City</v>
      </c>
      <c r="F24" s="476" t="s">
        <v>2276</v>
      </c>
      <c r="G24" s="476" t="e">
        <v>#N/A</v>
      </c>
      <c r="H24" s="476"/>
      <c r="I24" s="476"/>
      <c r="J24" s="476"/>
      <c r="K24" s="476"/>
      <c r="L24" s="476"/>
      <c r="M24" s="476" t="s">
        <v>2196</v>
      </c>
      <c r="N24" s="475" t="s">
        <v>4090</v>
      </c>
      <c r="O24" s="357" t="s">
        <v>2313</v>
      </c>
      <c r="P24" s="66" t="s">
        <v>4131</v>
      </c>
    </row>
    <row r="25" spans="1:16" ht="15">
      <c r="A25" s="475" t="s">
        <v>2466</v>
      </c>
      <c r="B25" s="475" t="s">
        <v>4132</v>
      </c>
      <c r="C25" s="475" t="s">
        <v>4088</v>
      </c>
      <c r="D25" s="475" t="s">
        <v>4129</v>
      </c>
      <c r="E25" s="475" t="str">
        <f>VLOOKUP(Report_MasterDataStore_VN!A25,Store_Info_VN!B:W,8,FALSE)</f>
        <v>VN Head Office - 14th Floor, Lottery Tower, 77 Tran Nhan Ton, Ward 9, District 5, Ho Chi Minh City</v>
      </c>
      <c r="F25" s="476" t="s">
        <v>2276</v>
      </c>
      <c r="G25" s="476" t="e">
        <v>#N/A</v>
      </c>
      <c r="H25" s="476"/>
      <c r="I25" s="476"/>
      <c r="J25" s="476"/>
      <c r="K25" s="476"/>
      <c r="L25" s="476"/>
      <c r="M25" s="476" t="s">
        <v>2196</v>
      </c>
      <c r="N25" s="475" t="s">
        <v>4090</v>
      </c>
      <c r="O25" s="357" t="s">
        <v>2313</v>
      </c>
      <c r="P25" s="66" t="s">
        <v>4131</v>
      </c>
    </row>
    <row r="26" spans="1:16" ht="15">
      <c r="A26" s="475" t="s">
        <v>2459</v>
      </c>
      <c r="B26" s="475" t="s">
        <v>4133</v>
      </c>
      <c r="C26" s="475" t="s">
        <v>4088</v>
      </c>
      <c r="D26" s="475" t="s">
        <v>4129</v>
      </c>
      <c r="E26" s="475" t="str">
        <f>VLOOKUP(Report_MasterDataStore_VN!A26,Store_Info_VN!B:W,8,FALSE)</f>
        <v>VN Head Office - 14th Floor, Lottery Tower, 77 Tran Nhan Ton, Ward 9, District 5, Ho Chi Minh City</v>
      </c>
      <c r="F26" s="476" t="s">
        <v>2276</v>
      </c>
      <c r="G26" s="476" t="e">
        <v>#N/A</v>
      </c>
      <c r="H26" s="476"/>
      <c r="I26" s="476"/>
      <c r="J26" s="476"/>
      <c r="K26" s="476"/>
      <c r="L26" s="476"/>
      <c r="M26" s="476" t="s">
        <v>2196</v>
      </c>
      <c r="N26" s="475" t="s">
        <v>4090</v>
      </c>
      <c r="O26" s="357" t="s">
        <v>2313</v>
      </c>
      <c r="P26" s="66" t="s">
        <v>4131</v>
      </c>
    </row>
    <row r="27" spans="1:16" ht="15">
      <c r="A27" s="475" t="s">
        <v>603</v>
      </c>
      <c r="B27" s="475" t="s">
        <v>2561</v>
      </c>
      <c r="C27" s="475" t="s">
        <v>4134</v>
      </c>
      <c r="D27" s="475" t="s">
        <v>3814</v>
      </c>
      <c r="E27" s="475" t="str">
        <f>VLOOKUP(Report_MasterDataStore_VN!A27,Store_Info_VN!B:W,8,FALSE)</f>
        <v>89 Nguyen Trai Street, Ben Thanh Ward, District 1</v>
      </c>
      <c r="F27" s="476" t="s">
        <v>2276</v>
      </c>
      <c r="G27" s="476">
        <v>102</v>
      </c>
      <c r="H27" s="476"/>
      <c r="I27" s="476"/>
      <c r="J27" s="476"/>
      <c r="K27" s="476"/>
      <c r="L27" s="476"/>
      <c r="M27" s="476" t="s">
        <v>2196</v>
      </c>
      <c r="N27" s="475" t="s">
        <v>4090</v>
      </c>
      <c r="O27" s="357" t="s">
        <v>2313</v>
      </c>
      <c r="P27" s="66"/>
    </row>
    <row r="28" spans="1:16" ht="15">
      <c r="A28" s="475" t="s">
        <v>259</v>
      </c>
      <c r="B28" s="475" t="s">
        <v>2283</v>
      </c>
      <c r="C28" s="475" t="s">
        <v>4088</v>
      </c>
      <c r="D28" s="475" t="s">
        <v>4135</v>
      </c>
      <c r="E28" s="475" t="str">
        <f>VLOOKUP(Report_MasterDataStore_VN!A28,Store_Info_VN!B:W,8,FALSE)</f>
        <v>B1 Vincom Dong Khoi , 72 Le Thanh Ton, Ben Nghe Ward , District 1 , Ho Chi Minh City</v>
      </c>
      <c r="F28" s="476" t="s">
        <v>2276</v>
      </c>
      <c r="G28" s="476">
        <v>90</v>
      </c>
      <c r="H28" s="476"/>
      <c r="I28" s="476"/>
      <c r="J28" s="476"/>
      <c r="K28" s="476"/>
      <c r="L28" s="476"/>
      <c r="M28" s="476" t="s">
        <v>2196</v>
      </c>
      <c r="N28" s="475" t="s">
        <v>4090</v>
      </c>
      <c r="O28" s="357" t="s">
        <v>2313</v>
      </c>
      <c r="P28" s="66"/>
    </row>
    <row r="29" spans="1:16" ht="15">
      <c r="A29" s="475" t="s">
        <v>4136</v>
      </c>
      <c r="B29" s="475" t="s">
        <v>4137</v>
      </c>
      <c r="C29" s="475" t="s">
        <v>4138</v>
      </c>
      <c r="D29" s="475" t="s">
        <v>4139</v>
      </c>
      <c r="E29" s="475" t="e">
        <f>VLOOKUP(Report_MasterDataStore_VN!A29,Store_Info_VN!B:W,8,FALSE)</f>
        <v>#N/A</v>
      </c>
      <c r="F29" s="476" t="s">
        <v>2276</v>
      </c>
      <c r="G29" s="476" t="e">
        <v>#N/A</v>
      </c>
      <c r="H29" s="476"/>
      <c r="I29" s="476"/>
      <c r="J29" s="476"/>
      <c r="K29" s="476"/>
      <c r="L29" s="476"/>
      <c r="M29" s="476" t="s">
        <v>2196</v>
      </c>
      <c r="N29" s="475" t="s">
        <v>4090</v>
      </c>
      <c r="O29" s="357" t="s">
        <v>2313</v>
      </c>
      <c r="P29" s="66"/>
    </row>
    <row r="30" spans="1:16" ht="15">
      <c r="A30" s="475" t="s">
        <v>506</v>
      </c>
      <c r="B30" s="475" t="s">
        <v>2320</v>
      </c>
      <c r="C30" s="475" t="s">
        <v>4088</v>
      </c>
      <c r="D30" s="475" t="s">
        <v>4129</v>
      </c>
      <c r="E30" s="475" t="str">
        <f>VLOOKUP(Report_MasterDataStore_VN!A30,Store_Info_VN!B:W,8,FALSE)</f>
        <v>L3 101 Ton Dat Tien, Tan Phu Ward, District 7, Ho Chi Minh City</v>
      </c>
      <c r="F30" s="476" t="s">
        <v>2276</v>
      </c>
      <c r="G30" s="476">
        <v>25.06</v>
      </c>
      <c r="H30" s="476"/>
      <c r="I30" s="476"/>
      <c r="J30" s="476"/>
      <c r="K30" s="476"/>
      <c r="L30" s="476"/>
      <c r="M30" s="476" t="s">
        <v>2196</v>
      </c>
      <c r="N30" s="475" t="s">
        <v>4090</v>
      </c>
      <c r="O30" s="357" t="s">
        <v>2313</v>
      </c>
      <c r="P30" s="66"/>
    </row>
    <row r="31" spans="1:16" ht="15">
      <c r="A31" s="475" t="s">
        <v>415</v>
      </c>
      <c r="B31" s="475" t="s">
        <v>2368</v>
      </c>
      <c r="C31" s="475" t="s">
        <v>4140</v>
      </c>
      <c r="D31" s="475" t="s">
        <v>4135</v>
      </c>
      <c r="E31" s="475" t="str">
        <f>VLOOKUP(Report_MasterDataStore_VN!A31,Store_Info_VN!B:W,8,FALSE)</f>
        <v>F26 , 1 Floor , Aeon Mall Binh Tan (01, 17A Street, Binh Tri Dong B Ward, Binh Tan District, Ho Chi Minh City)</v>
      </c>
      <c r="F31" s="476" t="s">
        <v>2276</v>
      </c>
      <c r="G31" s="476">
        <v>60.27</v>
      </c>
      <c r="H31" s="476"/>
      <c r="I31" s="476"/>
      <c r="J31" s="476"/>
      <c r="K31" s="476"/>
      <c r="L31" s="476"/>
      <c r="M31" s="476" t="s">
        <v>2278</v>
      </c>
      <c r="N31" s="475" t="s">
        <v>4090</v>
      </c>
      <c r="O31" s="357" t="s">
        <v>2313</v>
      </c>
      <c r="P31" s="66"/>
    </row>
    <row r="32" spans="1:16" ht="15">
      <c r="A32" s="475" t="s">
        <v>4141</v>
      </c>
      <c r="B32" s="475" t="s">
        <v>4142</v>
      </c>
      <c r="C32" s="478" t="s">
        <v>4143</v>
      </c>
      <c r="D32" s="475" t="s">
        <v>4135</v>
      </c>
      <c r="E32" s="475" t="e">
        <f>VLOOKUP(Report_MasterDataStore_VN!A32,Store_Info_VN!B:W,8,FALSE)</f>
        <v>#N/A</v>
      </c>
      <c r="F32" s="476" t="s">
        <v>2276</v>
      </c>
      <c r="G32" s="476" t="e">
        <v>#N/A</v>
      </c>
      <c r="H32" s="476"/>
      <c r="I32" s="476"/>
      <c r="J32" s="476"/>
      <c r="K32" s="476"/>
      <c r="L32" s="476"/>
      <c r="M32" s="476" t="s">
        <v>2196</v>
      </c>
      <c r="N32" s="475" t="s">
        <v>4090</v>
      </c>
      <c r="O32" s="357" t="s">
        <v>2313</v>
      </c>
      <c r="P32" s="66"/>
    </row>
    <row r="33" spans="1:16" ht="15">
      <c r="A33" s="475" t="s">
        <v>454</v>
      </c>
      <c r="B33" s="475" t="s">
        <v>2358</v>
      </c>
      <c r="C33" s="475" t="s">
        <v>4144</v>
      </c>
      <c r="D33" s="475" t="s">
        <v>4135</v>
      </c>
      <c r="E33" s="475" t="str">
        <f>VLOOKUP(Report_MasterDataStore_VN!A33,Store_Info_VN!B:W,8,FALSE)</f>
        <v>152 Ba Thang Hai ,Ward 12, District 10, Ho Chi Minh City</v>
      </c>
      <c r="F33" s="476" t="s">
        <v>2276</v>
      </c>
      <c r="G33" s="476">
        <v>88</v>
      </c>
      <c r="H33" s="476"/>
      <c r="I33" s="476"/>
      <c r="J33" s="476"/>
      <c r="K33" s="476"/>
      <c r="L33" s="476"/>
      <c r="M33" s="476" t="s">
        <v>2278</v>
      </c>
      <c r="N33" s="475" t="s">
        <v>4090</v>
      </c>
      <c r="O33" s="357" t="s">
        <v>2313</v>
      </c>
      <c r="P33" s="66"/>
    </row>
    <row r="34" spans="1:16" ht="15">
      <c r="A34" s="475" t="s">
        <v>370</v>
      </c>
      <c r="B34" s="475" t="s">
        <v>2311</v>
      </c>
      <c r="C34" s="475" t="s">
        <v>4145</v>
      </c>
      <c r="D34" s="475" t="s">
        <v>4135</v>
      </c>
      <c r="E34" s="475" t="str">
        <f>VLOOKUP(Report_MasterDataStore_VN!A34,Store_Info_VN!B:W,8,FALSE)</f>
        <v>L3 101 Ton Dat Tien, Tan Phu Ward, District 7, Ho Chi Minh City</v>
      </c>
      <c r="F34" s="476" t="s">
        <v>2276</v>
      </c>
      <c r="G34" s="476">
        <v>90.4</v>
      </c>
      <c r="H34" s="476"/>
      <c r="I34" s="476"/>
      <c r="J34" s="476"/>
      <c r="K34" s="476"/>
      <c r="L34" s="476"/>
      <c r="M34" s="476" t="s">
        <v>2278</v>
      </c>
      <c r="N34" s="475" t="s">
        <v>4090</v>
      </c>
      <c r="O34" s="357" t="s">
        <v>2313</v>
      </c>
      <c r="P34" s="66"/>
    </row>
    <row r="35" spans="1:16" ht="15">
      <c r="A35" s="475" t="s">
        <v>385</v>
      </c>
      <c r="B35" s="475" t="s">
        <v>2378</v>
      </c>
      <c r="C35" s="475" t="s">
        <v>4146</v>
      </c>
      <c r="D35" s="475" t="s">
        <v>4135</v>
      </c>
      <c r="E35" s="475" t="str">
        <f>VLOOKUP(Report_MasterDataStore_VN!A35,Store_Info_VN!B:W,8,FALSE)</f>
        <v>243 Hai Ba Trung, Vo Thi Sau Ward, District 3, Ho Chi Minh City</v>
      </c>
      <c r="F35" s="476" t="s">
        <v>2276</v>
      </c>
      <c r="G35" s="476" t="e">
        <v>#N/A</v>
      </c>
      <c r="H35" s="476"/>
      <c r="I35" s="476"/>
      <c r="J35" s="476"/>
      <c r="K35" s="476"/>
      <c r="L35" s="476"/>
      <c r="M35" s="476" t="s">
        <v>2278</v>
      </c>
      <c r="N35" s="475" t="s">
        <v>4090</v>
      </c>
      <c r="O35" s="357" t="s">
        <v>2313</v>
      </c>
      <c r="P35" s="66"/>
    </row>
    <row r="36" spans="1:16" ht="15">
      <c r="A36" s="475" t="s">
        <v>360</v>
      </c>
      <c r="B36" s="475" t="s">
        <v>2354</v>
      </c>
      <c r="C36" s="475" t="s">
        <v>4147</v>
      </c>
      <c r="D36" s="475" t="s">
        <v>4135</v>
      </c>
      <c r="E36" s="475" t="str">
        <f>VLOOKUP(Report_MasterDataStore_VN!A36,Store_Info_VN!B:W,8,FALSE)</f>
        <v>485 Le Van Sy ,Ward 12 , District 3, Ho Chi Minh City</v>
      </c>
      <c r="F36" s="476" t="s">
        <v>2276</v>
      </c>
      <c r="G36" s="476">
        <v>32</v>
      </c>
      <c r="H36" s="476"/>
      <c r="I36" s="476"/>
      <c r="J36" s="476"/>
      <c r="K36" s="476"/>
      <c r="L36" s="476"/>
      <c r="M36" s="476" t="s">
        <v>2278</v>
      </c>
      <c r="N36" s="475" t="s">
        <v>4090</v>
      </c>
      <c r="O36" s="357" t="s">
        <v>2313</v>
      </c>
      <c r="P36" s="66"/>
    </row>
    <row r="37" spans="1:16" ht="15">
      <c r="A37" s="475" t="s">
        <v>381</v>
      </c>
      <c r="B37" s="475" t="s">
        <v>2350</v>
      </c>
      <c r="C37" s="475" t="s">
        <v>4148</v>
      </c>
      <c r="D37" s="475" t="s">
        <v>4135</v>
      </c>
      <c r="E37" s="475" t="str">
        <f>VLOOKUP(Report_MasterDataStore_VN!A37,Store_Info_VN!B:W,8,FALSE)</f>
        <v>124 Nguyen Trai, Ben Thanh Ward, District 1, Ho Chi Minh City</v>
      </c>
      <c r="F37" s="476" t="s">
        <v>2276</v>
      </c>
      <c r="G37" s="476">
        <v>98</v>
      </c>
      <c r="H37" s="476"/>
      <c r="I37" s="476"/>
      <c r="J37" s="476"/>
      <c r="K37" s="476"/>
      <c r="L37" s="476"/>
      <c r="M37" s="476" t="s">
        <v>2278</v>
      </c>
      <c r="N37" s="475" t="s">
        <v>4090</v>
      </c>
      <c r="O37" s="357" t="s">
        <v>2313</v>
      </c>
      <c r="P37" s="66"/>
    </row>
    <row r="38" spans="1:16" ht="15">
      <c r="A38" s="475" t="s">
        <v>2453</v>
      </c>
      <c r="B38" s="475" t="s">
        <v>4149</v>
      </c>
      <c r="C38" s="475" t="s">
        <v>4150</v>
      </c>
      <c r="D38" s="475" t="s">
        <v>4135</v>
      </c>
      <c r="E38" s="475" t="str">
        <f>VLOOKUP(Report_MasterDataStore_VN!A38,Store_Info_VN!B:W,8,FALSE)</f>
        <v>VN Head Office - 14th Floor, Lottery Tower, 77 Tran Nhan Ton, Ward 9, District 5, Ho Chi Minh City</v>
      </c>
      <c r="F38" s="476" t="s">
        <v>2276</v>
      </c>
      <c r="G38" s="476" t="e">
        <v>#N/A</v>
      </c>
      <c r="H38" s="476"/>
      <c r="I38" s="476"/>
      <c r="J38" s="476"/>
      <c r="K38" s="476"/>
      <c r="L38" s="476"/>
      <c r="M38" s="476" t="s">
        <v>2196</v>
      </c>
      <c r="N38" s="475" t="s">
        <v>4090</v>
      </c>
      <c r="O38" s="357" t="s">
        <v>2313</v>
      </c>
      <c r="P38" s="66" t="s">
        <v>4131</v>
      </c>
    </row>
    <row r="39" spans="1:16" ht="15">
      <c r="A39" s="475" t="s">
        <v>2458</v>
      </c>
      <c r="B39" s="475" t="s">
        <v>4151</v>
      </c>
      <c r="C39" s="475" t="s">
        <v>4150</v>
      </c>
      <c r="D39" s="475" t="s">
        <v>4135</v>
      </c>
      <c r="E39" s="475" t="str">
        <f>VLOOKUP(Report_MasterDataStore_VN!A39,Store_Info_VN!B:W,8,FALSE)</f>
        <v>VN Head Office - 14th Floor, Lottery Tower, 77 Tran Nhan Ton, Ward 9, District 5, Ho Chi Minh City</v>
      </c>
      <c r="F39" s="476" t="s">
        <v>2276</v>
      </c>
      <c r="G39" s="476" t="e">
        <v>#N/A</v>
      </c>
      <c r="H39" s="476"/>
      <c r="I39" s="476"/>
      <c r="J39" s="476"/>
      <c r="K39" s="476"/>
      <c r="L39" s="476"/>
      <c r="M39" s="476" t="s">
        <v>2196</v>
      </c>
      <c r="N39" s="475" t="s">
        <v>4090</v>
      </c>
      <c r="O39" s="357" t="s">
        <v>2313</v>
      </c>
      <c r="P39" s="66" t="s">
        <v>4131</v>
      </c>
    </row>
    <row r="40" spans="1:16" ht="15">
      <c r="A40" s="475" t="s">
        <v>535</v>
      </c>
      <c r="B40" s="475" t="s">
        <v>4152</v>
      </c>
      <c r="C40" s="475" t="s">
        <v>4153</v>
      </c>
      <c r="D40" s="475" t="s">
        <v>4135</v>
      </c>
      <c r="E40" s="475" t="str">
        <f>VLOOKUP(Report_MasterDataStore_VN!A40,Store_Info_VN!B:W,8,FALSE)</f>
        <v>11-13 Quang Trung, Quận Gò Vấp, Thành Phố Hồ Chí Minh</v>
      </c>
      <c r="F40" s="476" t="s">
        <v>2276</v>
      </c>
      <c r="G40" s="476" t="e">
        <v>#N/A</v>
      </c>
      <c r="H40" s="476"/>
      <c r="I40" s="476"/>
      <c r="J40" s="476"/>
      <c r="K40" s="476"/>
      <c r="L40" s="476"/>
      <c r="M40" s="476" t="s">
        <v>2196</v>
      </c>
      <c r="N40" s="475" t="s">
        <v>4090</v>
      </c>
      <c r="O40" s="357" t="s">
        <v>2313</v>
      </c>
      <c r="P40" s="66"/>
    </row>
    <row r="41" spans="1:16" ht="15">
      <c r="A41" s="475" t="s">
        <v>2470</v>
      </c>
      <c r="B41" s="475" t="s">
        <v>2471</v>
      </c>
      <c r="C41" s="475" t="s">
        <v>4088</v>
      </c>
      <c r="D41" s="475" t="s">
        <v>4135</v>
      </c>
      <c r="E41" s="475" t="str">
        <f>VLOOKUP(Report_MasterDataStore_VN!A41,Store_Info_VN!B:W,8,FALSE)</f>
        <v>VN Head Office - 14th Floor, Lottery Tower, 77 Tran Nhan Ton, Ward 9, District 5, Ho Chi Minh City</v>
      </c>
      <c r="F41" s="476" t="s">
        <v>2276</v>
      </c>
      <c r="G41" s="476" t="e">
        <v>#N/A</v>
      </c>
      <c r="H41" s="476"/>
      <c r="I41" s="476"/>
      <c r="J41" s="476"/>
      <c r="K41" s="476"/>
      <c r="L41" s="476"/>
      <c r="M41" s="476" t="s">
        <v>2196</v>
      </c>
      <c r="N41" s="475" t="s">
        <v>4090</v>
      </c>
      <c r="O41" s="357" t="s">
        <v>2313</v>
      </c>
      <c r="P41" s="66" t="s">
        <v>4131</v>
      </c>
    </row>
    <row r="42" spans="1:16" ht="15">
      <c r="A42" s="475" t="s">
        <v>2472</v>
      </c>
      <c r="B42" s="475" t="s">
        <v>4154</v>
      </c>
      <c r="C42" s="475" t="s">
        <v>4155</v>
      </c>
      <c r="D42" s="475" t="s">
        <v>4135</v>
      </c>
      <c r="E42" s="475" t="str">
        <f>VLOOKUP(Report_MasterDataStore_VN!A42,Store_Info_VN!B:W,8,FALSE)</f>
        <v>VN Head Office - 14th Floor, Lottery Tower, 77 Tran Nhan Ton, Ward 9, District 5, Ho Chi Minh City</v>
      </c>
      <c r="F42" s="476" t="s">
        <v>2276</v>
      </c>
      <c r="G42" s="476" t="e">
        <v>#N/A</v>
      </c>
      <c r="H42" s="476"/>
      <c r="I42" s="476"/>
      <c r="J42" s="476"/>
      <c r="K42" s="476"/>
      <c r="L42" s="476"/>
      <c r="M42" s="476" t="s">
        <v>2196</v>
      </c>
      <c r="N42" s="475" t="s">
        <v>4090</v>
      </c>
      <c r="O42" s="357" t="s">
        <v>2313</v>
      </c>
      <c r="P42" s="66" t="s">
        <v>4131</v>
      </c>
    </row>
    <row r="43" spans="1:16" ht="15">
      <c r="A43" s="475" t="s">
        <v>2483</v>
      </c>
      <c r="B43" s="475" t="s">
        <v>4156</v>
      </c>
      <c r="C43" s="475" t="s">
        <v>4157</v>
      </c>
      <c r="D43" s="475" t="s">
        <v>4089</v>
      </c>
      <c r="E43" s="475" t="str">
        <f>VLOOKUP(Report_MasterDataStore_VN!A43,Store_Info_VN!B:W,8,FALSE)</f>
        <v>VN Head Office - 14th Floor, Lottery Tower, 77 Tran Nhan Ton, Ward 9, District 5, Ho Chi Minh City</v>
      </c>
      <c r="F43" s="476" t="s">
        <v>2276</v>
      </c>
      <c r="G43" s="476" t="e">
        <v>#N/A</v>
      </c>
      <c r="H43" s="476"/>
      <c r="I43" s="476"/>
      <c r="J43" s="476"/>
      <c r="K43" s="476"/>
      <c r="L43" s="476"/>
      <c r="M43" s="476" t="s">
        <v>2196</v>
      </c>
      <c r="N43" s="475" t="s">
        <v>4090</v>
      </c>
      <c r="O43" s="357" t="s">
        <v>2313</v>
      </c>
      <c r="P43" s="66" t="s">
        <v>4131</v>
      </c>
    </row>
    <row r="44" spans="1:16" ht="15">
      <c r="A44" s="475" t="s">
        <v>254</v>
      </c>
      <c r="B44" s="475" t="s">
        <v>4158</v>
      </c>
      <c r="C44" s="475" t="s">
        <v>4088</v>
      </c>
      <c r="D44" s="475" t="s">
        <v>4089</v>
      </c>
      <c r="E44" s="475" t="str">
        <f>VLOOKUP(Report_MasterDataStore_VN!A44,Store_Info_VN!B:W,8,FALSE)</f>
        <v>XA-32240 (34 Le Duan street, Ben Nghe ward, district 1, Ho Chi Minh city)</v>
      </c>
      <c r="F44" s="476" t="s">
        <v>2276</v>
      </c>
      <c r="G44" s="476">
        <v>40</v>
      </c>
      <c r="H44" s="476"/>
      <c r="I44" s="476"/>
      <c r="J44" s="476"/>
      <c r="K44" s="476"/>
      <c r="L44" s="476"/>
      <c r="M44" s="476" t="s">
        <v>2196</v>
      </c>
      <c r="N44" s="475" t="s">
        <v>4090</v>
      </c>
      <c r="O44" s="357" t="s">
        <v>2313</v>
      </c>
      <c r="P44" s="66"/>
    </row>
    <row r="45" spans="1:16" ht="15">
      <c r="A45" s="475" t="s">
        <v>4159</v>
      </c>
      <c r="B45" s="475" t="s">
        <v>4160</v>
      </c>
      <c r="C45" s="475" t="s">
        <v>4161</v>
      </c>
      <c r="D45" s="475" t="s">
        <v>4089</v>
      </c>
      <c r="E45" s="475" t="e">
        <f>VLOOKUP(Report_MasterDataStore_VN!A45,Store_Info_VN!B:W,8,FALSE)</f>
        <v>#N/A</v>
      </c>
      <c r="F45" s="476" t="s">
        <v>2276</v>
      </c>
      <c r="G45" s="476" t="e">
        <v>#N/A</v>
      </c>
      <c r="H45" s="476"/>
      <c r="I45" s="476"/>
      <c r="J45" s="476"/>
      <c r="K45" s="476"/>
      <c r="L45" s="476"/>
      <c r="M45" s="476" t="s">
        <v>2196</v>
      </c>
      <c r="N45" s="475" t="s">
        <v>4090</v>
      </c>
      <c r="O45" s="357" t="s">
        <v>2313</v>
      </c>
      <c r="P45" s="66"/>
    </row>
    <row r="46" spans="1:16" ht="15">
      <c r="A46" s="475" t="s">
        <v>115</v>
      </c>
      <c r="B46" s="475" t="s">
        <v>2280</v>
      </c>
      <c r="C46" s="475" t="s">
        <v>4088</v>
      </c>
      <c r="D46" s="475" t="s">
        <v>4162</v>
      </c>
      <c r="E46" s="475" t="str">
        <f>VLOOKUP(Report_MasterDataStore_VN!A46,Store_Info_VN!B:W,8,FALSE)</f>
        <v>B1 Vincom Dong Khoi , 72 Le Thanh Ton, Ben Nghe Ward , District 1 , Ho Chi Minh City</v>
      </c>
      <c r="F46" s="476" t="s">
        <v>2276</v>
      </c>
      <c r="G46" s="476">
        <v>100</v>
      </c>
      <c r="H46" s="476"/>
      <c r="I46" s="476"/>
      <c r="J46" s="476"/>
      <c r="K46" s="476"/>
      <c r="L46" s="476"/>
      <c r="M46" s="476" t="s">
        <v>2196</v>
      </c>
      <c r="N46" s="475" t="s">
        <v>4090</v>
      </c>
      <c r="O46" s="357" t="s">
        <v>2313</v>
      </c>
      <c r="P46" s="66"/>
    </row>
    <row r="47" spans="1:16" ht="15">
      <c r="A47" s="475" t="s">
        <v>342</v>
      </c>
      <c r="B47" s="475" t="s">
        <v>4163</v>
      </c>
      <c r="C47" s="475" t="s">
        <v>4164</v>
      </c>
      <c r="D47" s="475" t="s">
        <v>4089</v>
      </c>
      <c r="E47" s="475" t="str">
        <f>VLOOKUP(Report_MasterDataStore_VN!A47,Store_Info_VN!B:W,8,FALSE)</f>
        <v>Floor 1 , 88 Song Hanh,An Phu Ward, Estella Place, District 2, Ho Chi Minh City</v>
      </c>
      <c r="F47" s="476" t="s">
        <v>2276</v>
      </c>
      <c r="G47" s="476">
        <v>25</v>
      </c>
      <c r="H47" s="476"/>
      <c r="I47" s="476"/>
      <c r="J47" s="476"/>
      <c r="K47" s="476"/>
      <c r="L47" s="476"/>
      <c r="M47" s="476" t="s">
        <v>2196</v>
      </c>
      <c r="N47" s="475" t="s">
        <v>4090</v>
      </c>
      <c r="O47" s="357" t="s">
        <v>2313</v>
      </c>
      <c r="P47" s="66"/>
    </row>
    <row r="48" spans="1:16" ht="15">
      <c r="A48" s="475" t="s">
        <v>2479</v>
      </c>
      <c r="B48" s="475" t="s">
        <v>4165</v>
      </c>
      <c r="C48" s="475" t="s">
        <v>4166</v>
      </c>
      <c r="D48" s="475" t="s">
        <v>4089</v>
      </c>
      <c r="E48" s="475" t="str">
        <f>VLOOKUP(Report_MasterDataStore_VN!A48,Store_Info_VN!B:W,8,FALSE)</f>
        <v>VN Head Office - 14th Floor, Lottery Tower, 77 Tran Nhan Ton, Ward 9, District 5, Ho Chi Minh City</v>
      </c>
      <c r="F48" s="476" t="s">
        <v>2276</v>
      </c>
      <c r="G48" s="476" t="e">
        <v>#N/A</v>
      </c>
      <c r="H48" s="476"/>
      <c r="I48" s="476"/>
      <c r="J48" s="476"/>
      <c r="K48" s="476"/>
      <c r="L48" s="476"/>
      <c r="M48" s="476" t="s">
        <v>2196</v>
      </c>
      <c r="N48" s="475" t="s">
        <v>4090</v>
      </c>
      <c r="O48" s="357" t="s">
        <v>2313</v>
      </c>
      <c r="P48" s="66" t="s">
        <v>4131</v>
      </c>
    </row>
    <row r="49" spans="1:16" ht="15">
      <c r="A49" s="475" t="s">
        <v>2476</v>
      </c>
      <c r="B49" s="475" t="s">
        <v>4167</v>
      </c>
      <c r="C49" s="475" t="s">
        <v>4168</v>
      </c>
      <c r="D49" s="475" t="s">
        <v>4089</v>
      </c>
      <c r="E49" s="475" t="str">
        <f>VLOOKUP(Report_MasterDataStore_VN!A49,Store_Info_VN!B:W,8,FALSE)</f>
        <v>VN Head Office - 14th Floor, Lottery Tower, 77 Tran Nhan Ton, Ward 9, District 5, Ho Chi Minh City</v>
      </c>
      <c r="F49" s="476" t="s">
        <v>2276</v>
      </c>
      <c r="G49" s="476" t="e">
        <v>#N/A</v>
      </c>
      <c r="H49" s="476"/>
      <c r="I49" s="476"/>
      <c r="J49" s="476"/>
      <c r="K49" s="476"/>
      <c r="L49" s="476"/>
      <c r="M49" s="476" t="s">
        <v>2196</v>
      </c>
      <c r="N49" s="475" t="s">
        <v>4090</v>
      </c>
      <c r="O49" s="357" t="s">
        <v>2313</v>
      </c>
      <c r="P49" s="66" t="s">
        <v>4131</v>
      </c>
    </row>
    <row r="50" spans="1:16" ht="15">
      <c r="A50" s="475" t="s">
        <v>2481</v>
      </c>
      <c r="B50" s="475" t="s">
        <v>4169</v>
      </c>
      <c r="C50" s="475" t="s">
        <v>4170</v>
      </c>
      <c r="D50" s="475" t="s">
        <v>4089</v>
      </c>
      <c r="E50" s="475" t="str">
        <f>VLOOKUP(Report_MasterDataStore_VN!A50,Store_Info_VN!B:W,8,FALSE)</f>
        <v>VN Head Office - 14th Floor, Lottery Tower, 77 Tran Nhan Ton, Ward 9, District 5, Ho Chi Minh City</v>
      </c>
      <c r="F50" s="476" t="s">
        <v>2276</v>
      </c>
      <c r="G50" s="476" t="e">
        <v>#N/A</v>
      </c>
      <c r="H50" s="476"/>
      <c r="I50" s="476"/>
      <c r="J50" s="476"/>
      <c r="K50" s="476"/>
      <c r="L50" s="476"/>
      <c r="M50" s="476" t="s">
        <v>2196</v>
      </c>
      <c r="N50" s="475" t="s">
        <v>4090</v>
      </c>
      <c r="O50" s="357" t="s">
        <v>2313</v>
      </c>
      <c r="P50" s="66" t="s">
        <v>4131</v>
      </c>
    </row>
    <row r="51" spans="1:16" ht="15">
      <c r="A51" s="475" t="s">
        <v>496</v>
      </c>
      <c r="B51" s="475" t="s">
        <v>4171</v>
      </c>
      <c r="C51" s="475" t="s">
        <v>4088</v>
      </c>
      <c r="D51" s="475" t="s">
        <v>4089</v>
      </c>
      <c r="E51" s="475" t="str">
        <f>VLOOKUP(Report_MasterDataStore_VN!A51,Store_Info_VN!B:W,8,FALSE)</f>
        <v>VN Head Office - 14th Floor, Lottery Tower, 77 Tran Nhan Ton, Ward 9, District 5, Ho Chi Minh City</v>
      </c>
      <c r="F51" s="476" t="s">
        <v>2276</v>
      </c>
      <c r="G51" s="476" t="e">
        <v>#N/A</v>
      </c>
      <c r="H51" s="476"/>
      <c r="I51" s="476"/>
      <c r="J51" s="476"/>
      <c r="K51" s="476"/>
      <c r="L51" s="476"/>
      <c r="M51" s="476" t="s">
        <v>2196</v>
      </c>
      <c r="N51" s="475" t="s">
        <v>4090</v>
      </c>
      <c r="O51" s="357" t="s">
        <v>2313</v>
      </c>
      <c r="P51" s="66" t="s">
        <v>4131</v>
      </c>
    </row>
    <row r="52" spans="1:16" ht="15">
      <c r="A52" s="475" t="s">
        <v>2440</v>
      </c>
      <c r="B52" s="475" t="s">
        <v>4172</v>
      </c>
      <c r="C52" s="475" t="s">
        <v>4173</v>
      </c>
      <c r="D52" s="475" t="s">
        <v>4089</v>
      </c>
      <c r="E52" s="475">
        <f>VLOOKUP(Report_MasterDataStore_VN!A52,Store_Info_VN!B:W,8,FALSE)</f>
        <v>0</v>
      </c>
      <c r="F52" s="476" t="s">
        <v>2276</v>
      </c>
      <c r="G52" s="476" t="e">
        <v>#N/A</v>
      </c>
      <c r="H52" s="476"/>
      <c r="I52" s="476"/>
      <c r="J52" s="476"/>
      <c r="K52" s="476"/>
      <c r="L52" s="476"/>
      <c r="M52" s="476" t="s">
        <v>2196</v>
      </c>
      <c r="N52" s="475" t="s">
        <v>4090</v>
      </c>
      <c r="O52" s="357" t="s">
        <v>2313</v>
      </c>
      <c r="P52" s="66"/>
    </row>
    <row r="53" spans="1:16" ht="15">
      <c r="A53" s="475" t="s">
        <v>2474</v>
      </c>
      <c r="B53" s="475" t="s">
        <v>2475</v>
      </c>
      <c r="C53" s="475" t="s">
        <v>4174</v>
      </c>
      <c r="D53" s="475" t="s">
        <v>4089</v>
      </c>
      <c r="E53" s="475" t="str">
        <f>VLOOKUP(Report_MasterDataStore_VN!A53,Store_Info_VN!B:W,8,FALSE)</f>
        <v>VN Head Office - 14th Floor, Lottery Tower, 77 Tran Nhan Ton, Ward 9, District 5, Ho Chi Minh City</v>
      </c>
      <c r="F53" s="476" t="s">
        <v>2276</v>
      </c>
      <c r="G53" s="476" t="e">
        <v>#N/A</v>
      </c>
      <c r="H53" s="476"/>
      <c r="I53" s="476"/>
      <c r="J53" s="476"/>
      <c r="K53" s="476"/>
      <c r="L53" s="476"/>
      <c r="M53" s="476" t="s">
        <v>2196</v>
      </c>
      <c r="N53" s="475" t="s">
        <v>4090</v>
      </c>
      <c r="O53" s="357" t="s">
        <v>2313</v>
      </c>
      <c r="P53" s="66" t="s">
        <v>4131</v>
      </c>
    </row>
    <row r="54" spans="1:16" ht="15">
      <c r="A54" s="475" t="s">
        <v>2464</v>
      </c>
      <c r="B54" s="475" t="s">
        <v>4175</v>
      </c>
      <c r="C54" s="475" t="s">
        <v>4176</v>
      </c>
      <c r="D54" s="475" t="s">
        <v>4089</v>
      </c>
      <c r="E54" s="475" t="str">
        <f>VLOOKUP(Report_MasterDataStore_VN!A54,Store_Info_VN!B:W,8,FALSE)</f>
        <v>VN Head Office - 14th Floor, Lottery Tower, 77 Tran Nhan Ton, Ward 9, District 5, Ho Chi Minh City</v>
      </c>
      <c r="F54" s="476" t="s">
        <v>2276</v>
      </c>
      <c r="G54" s="476" t="e">
        <v>#N/A</v>
      </c>
      <c r="H54" s="476"/>
      <c r="I54" s="476"/>
      <c r="J54" s="476"/>
      <c r="K54" s="476"/>
      <c r="L54" s="476"/>
      <c r="M54" s="476" t="s">
        <v>2196</v>
      </c>
      <c r="N54" s="475" t="s">
        <v>4090</v>
      </c>
      <c r="O54" s="357" t="s">
        <v>2313</v>
      </c>
      <c r="P54" s="66" t="s">
        <v>4131</v>
      </c>
    </row>
    <row r="55" spans="1:16" ht="15">
      <c r="A55" s="475" t="s">
        <v>223</v>
      </c>
      <c r="B55" s="475" t="s">
        <v>2316</v>
      </c>
      <c r="C55" s="475" t="s">
        <v>4177</v>
      </c>
      <c r="D55" s="475" t="s">
        <v>4135</v>
      </c>
      <c r="E55" s="475" t="str">
        <f>VLOOKUP(Report_MasterDataStore_VN!A55,Store_Info_VN!B:W,8,FALSE)</f>
        <v>L2 101 Ton Dat Tien, Tan Phu Ward, District 7, Ho Chi Minh City</v>
      </c>
      <c r="F55" s="476" t="s">
        <v>2276</v>
      </c>
      <c r="G55" s="476">
        <v>83.42</v>
      </c>
      <c r="H55" s="476"/>
      <c r="I55" s="476"/>
      <c r="J55" s="476"/>
      <c r="K55" s="476"/>
      <c r="L55" s="476"/>
      <c r="M55" s="476" t="s">
        <v>2196</v>
      </c>
      <c r="N55" s="475" t="s">
        <v>4090</v>
      </c>
      <c r="O55" s="357" t="s">
        <v>2313</v>
      </c>
      <c r="P55" s="66"/>
    </row>
    <row r="56" spans="1:16" ht="15">
      <c r="A56" s="475" t="s">
        <v>304</v>
      </c>
      <c r="B56" s="475" t="s">
        <v>2816</v>
      </c>
      <c r="C56" s="475" t="s">
        <v>4088</v>
      </c>
      <c r="D56" s="475" t="s">
        <v>4089</v>
      </c>
      <c r="E56" s="475" t="str">
        <f>VLOOKUP(Report_MasterDataStore_VN!A56,Store_Info_VN!B:W,8,FALSE)</f>
        <v>11 Su Van Hanh, Ward 12, District 10, Ho Chi Minh City</v>
      </c>
      <c r="F56" s="476" t="s">
        <v>2276</v>
      </c>
      <c r="G56" s="476">
        <v>0</v>
      </c>
      <c r="H56" s="476"/>
      <c r="I56" s="476"/>
      <c r="J56" s="476"/>
      <c r="K56" s="476"/>
      <c r="L56" s="476"/>
      <c r="M56" s="476" t="s">
        <v>2196</v>
      </c>
      <c r="N56" s="475" t="s">
        <v>4090</v>
      </c>
      <c r="O56" s="357" t="s">
        <v>2313</v>
      </c>
      <c r="P56" s="66"/>
    </row>
    <row r="57" spans="1:16" ht="15">
      <c r="A57" s="475" t="s">
        <v>569</v>
      </c>
      <c r="B57" s="475" t="s">
        <v>2852</v>
      </c>
      <c r="C57" s="475" t="s">
        <v>4178</v>
      </c>
      <c r="D57" s="476" t="s">
        <v>2272</v>
      </c>
      <c r="E57" s="475" t="str">
        <f>VLOOKUP(Report_MasterDataStore_VN!A57,Store_Info_VN!B:W,8,FALSE)</f>
        <v>2F-18B Crescent Mall (No. 101 Ton Dat Tien, Tan Phu Ward, District 7)</v>
      </c>
      <c r="F57" s="476" t="s">
        <v>2276</v>
      </c>
      <c r="G57" s="476">
        <v>0</v>
      </c>
      <c r="H57" s="476"/>
      <c r="I57" s="476"/>
      <c r="J57" s="476"/>
      <c r="K57" s="476"/>
      <c r="L57" s="476"/>
      <c r="M57" s="476" t="s">
        <v>2196</v>
      </c>
      <c r="N57" s="475" t="s">
        <v>4090</v>
      </c>
      <c r="O57" s="357" t="s">
        <v>2313</v>
      </c>
      <c r="P57" s="66"/>
    </row>
    <row r="58" spans="1:16" ht="15">
      <c r="A58" s="475" t="s">
        <v>2462</v>
      </c>
      <c r="B58" s="475" t="s">
        <v>4179</v>
      </c>
      <c r="C58" s="478" t="s">
        <v>4180</v>
      </c>
      <c r="D58" s="476" t="s">
        <v>2272</v>
      </c>
      <c r="E58" s="475" t="str">
        <f>VLOOKUP(Report_MasterDataStore_VN!A58,Store_Info_VN!B:W,8,FALSE)</f>
        <v>VN Head Office - 14th Floor, Lottery Tower, 77 Tran Nhan Ton, Ward 9, District 5, Ho Chi Minh City</v>
      </c>
      <c r="F58" s="476" t="s">
        <v>2276</v>
      </c>
      <c r="G58" s="476" t="e">
        <v>#N/A</v>
      </c>
      <c r="H58" s="476"/>
      <c r="I58" s="476"/>
      <c r="J58" s="476"/>
      <c r="K58" s="476"/>
      <c r="L58" s="476"/>
      <c r="M58" s="476" t="s">
        <v>2196</v>
      </c>
      <c r="N58" s="475" t="s">
        <v>4090</v>
      </c>
      <c r="O58" s="357" t="s">
        <v>2313</v>
      </c>
      <c r="P58" s="66" t="s">
        <v>4131</v>
      </c>
    </row>
    <row r="59" spans="1:16" ht="15">
      <c r="A59" s="475" t="s">
        <v>531</v>
      </c>
      <c r="B59" s="475" t="s">
        <v>2850</v>
      </c>
      <c r="C59" s="475" t="s">
        <v>4181</v>
      </c>
      <c r="D59" s="476" t="s">
        <v>2272</v>
      </c>
      <c r="E59" s="475" t="str">
        <f>VLOOKUP(Report_MasterDataStore_VN!A59,Store_Info_VN!B:W,8,FALSE)</f>
        <v>XA-32239 Diamond Plaza (No. 34 Le Duan street, Ben Nghe ward, district 1, Ho Chi Minh city)</v>
      </c>
      <c r="F59" s="476" t="s">
        <v>2276</v>
      </c>
      <c r="G59" s="476">
        <v>76.2</v>
      </c>
      <c r="H59" s="476"/>
      <c r="I59" s="476"/>
      <c r="J59" s="476"/>
      <c r="K59" s="476"/>
      <c r="L59" s="476"/>
      <c r="M59" s="476" t="s">
        <v>2196</v>
      </c>
      <c r="N59" s="475" t="s">
        <v>4090</v>
      </c>
      <c r="O59" s="357" t="s">
        <v>2313</v>
      </c>
      <c r="P59" s="66"/>
    </row>
    <row r="60" spans="1:16" ht="15">
      <c r="A60" s="475" t="s">
        <v>592</v>
      </c>
      <c r="B60" s="475" t="s">
        <v>2856</v>
      </c>
      <c r="C60" s="475" t="s">
        <v>4182</v>
      </c>
      <c r="D60" s="476" t="s">
        <v>2272</v>
      </c>
      <c r="E60" s="475" t="str">
        <f>VLOOKUP(Report_MasterDataStore_VN!A60,Store_Info_VN!B:W,8,FALSE)</f>
        <v>2-07B Van Hanh Mall</v>
      </c>
      <c r="F60" s="476" t="s">
        <v>2276</v>
      </c>
      <c r="G60" s="476">
        <v>80.7</v>
      </c>
      <c r="H60" s="476"/>
      <c r="I60" s="476"/>
      <c r="J60" s="476"/>
      <c r="K60" s="476"/>
      <c r="L60" s="476"/>
      <c r="M60" s="476" t="s">
        <v>2196</v>
      </c>
      <c r="N60" s="475" t="s">
        <v>4090</v>
      </c>
      <c r="O60" s="357" t="s">
        <v>2313</v>
      </c>
      <c r="P60" s="66"/>
    </row>
    <row r="61" spans="1:16" ht="15">
      <c r="A61" s="475" t="s">
        <v>2585</v>
      </c>
      <c r="B61" s="475" t="s">
        <v>4183</v>
      </c>
      <c r="C61" s="475" t="s">
        <v>4184</v>
      </c>
      <c r="D61" s="476" t="s">
        <v>2272</v>
      </c>
      <c r="E61" s="475" t="str">
        <f>VLOOKUP(Report_MasterDataStore_VN!A61,Store_Info_VN!B:W,8,FALSE)</f>
        <v>VN Head Office - 14th Floor, Lottery Tower, 77 Tran Nhan Ton, Ward 9, District 5, Ho Chi Minh City</v>
      </c>
      <c r="F61" s="476" t="s">
        <v>2276</v>
      </c>
      <c r="G61" s="476" t="e">
        <v>#N/A</v>
      </c>
      <c r="H61" s="476"/>
      <c r="I61" s="476"/>
      <c r="J61" s="476"/>
      <c r="K61" s="476"/>
      <c r="L61" s="476"/>
      <c r="M61" s="476" t="s">
        <v>2196</v>
      </c>
      <c r="N61" s="475" t="s">
        <v>4090</v>
      </c>
      <c r="O61" s="357" t="s">
        <v>2313</v>
      </c>
      <c r="P61" s="66"/>
    </row>
    <row r="62" spans="1:16" ht="15">
      <c r="A62" s="475" t="s">
        <v>144</v>
      </c>
      <c r="B62" s="475" t="s">
        <v>4185</v>
      </c>
      <c r="C62" s="475" t="s">
        <v>4186</v>
      </c>
      <c r="D62" s="476" t="s">
        <v>2272</v>
      </c>
      <c r="E62" s="475" t="str">
        <f>VLOOKUP(Report_MasterDataStore_VN!A62,Store_Info_VN!B:W,8,FALSE)</f>
        <v>Floor 2, No. 161 Hanoi road, Thao Dien ward, Thu Duc city</v>
      </c>
      <c r="F62" s="476" t="s">
        <v>2276</v>
      </c>
      <c r="G62" s="476">
        <v>115.7</v>
      </c>
      <c r="H62" s="476"/>
      <c r="I62" s="476"/>
      <c r="J62" s="476"/>
      <c r="K62" s="476"/>
      <c r="L62" s="476"/>
      <c r="M62" s="476" t="s">
        <v>2196</v>
      </c>
      <c r="N62" s="475" t="s">
        <v>4090</v>
      </c>
      <c r="O62" s="357" t="s">
        <v>2313</v>
      </c>
      <c r="P62" s="66"/>
    </row>
    <row r="63" spans="1:16" ht="15">
      <c r="A63" s="475" t="s">
        <v>129</v>
      </c>
      <c r="B63" s="475" t="s">
        <v>2294</v>
      </c>
      <c r="C63" s="475" t="s">
        <v>4187</v>
      </c>
      <c r="D63" s="475" t="s">
        <v>4135</v>
      </c>
      <c r="E63" s="475" t="str">
        <f>VLOOKUP(Report_MasterDataStore_VN!A63,Store_Info_VN!B:W,8,FALSE)</f>
        <v>L3 No 92-94 Nam Ky Khoi Nghia, Ben Nghe Ward, District 1, Ho Chi Minh City</v>
      </c>
      <c r="F63" s="476" t="s">
        <v>2290</v>
      </c>
      <c r="G63" s="476">
        <v>54</v>
      </c>
      <c r="H63" s="476"/>
      <c r="I63" s="476"/>
      <c r="J63" s="476"/>
      <c r="K63" s="476"/>
      <c r="L63" s="476"/>
      <c r="M63" s="476" t="s">
        <v>2196</v>
      </c>
      <c r="N63" s="475" t="s">
        <v>4090</v>
      </c>
      <c r="O63" s="357" t="s">
        <v>2313</v>
      </c>
      <c r="P63" s="66"/>
    </row>
    <row r="64" spans="1:16" ht="15">
      <c r="A64" s="475" t="s">
        <v>2298</v>
      </c>
      <c r="B64" s="475" t="s">
        <v>2299</v>
      </c>
      <c r="C64" s="475" t="s">
        <v>4188</v>
      </c>
      <c r="D64" s="475" t="s">
        <v>4135</v>
      </c>
      <c r="E64" s="475" t="str">
        <f>VLOOKUP(Report_MasterDataStore_VN!A64,Store_Info_VN!B:W,8,FALSE)</f>
        <v>L3 No 92-94 Nam Ky Khoi Nghia, Ben Nghe Ward, District 1, Ho Chi Minh City</v>
      </c>
      <c r="F64" s="476" t="s">
        <v>2290</v>
      </c>
      <c r="G64" s="476">
        <v>23</v>
      </c>
      <c r="H64" s="476"/>
      <c r="I64" s="476"/>
      <c r="J64" s="476"/>
      <c r="K64" s="476"/>
      <c r="L64" s="476"/>
      <c r="M64" s="476" t="s">
        <v>2196</v>
      </c>
      <c r="N64" s="475" t="s">
        <v>4090</v>
      </c>
      <c r="O64" s="357" t="s">
        <v>2313</v>
      </c>
      <c r="P64" s="66"/>
    </row>
    <row r="65" spans="1:16" ht="15">
      <c r="A65" s="475" t="s">
        <v>2341</v>
      </c>
      <c r="B65" s="475" t="s">
        <v>4189</v>
      </c>
      <c r="C65" s="475" t="s">
        <v>4190</v>
      </c>
      <c r="D65" s="475" t="s">
        <v>2338</v>
      </c>
      <c r="E65" s="475" t="str">
        <f>VLOOKUP(Report_MasterDataStore_VN!A65,Store_Info_VN!B:W,8,FALSE)</f>
        <v>Floor 2, GoldCoast Mall, 01 Tran Hung Dao, Loc Tho, Nha Trang, Khanh Hoa</v>
      </c>
      <c r="F65" s="476" t="s">
        <v>2290</v>
      </c>
      <c r="G65" s="476">
        <v>82.2</v>
      </c>
      <c r="H65" s="476"/>
      <c r="I65" s="476"/>
      <c r="J65" s="476"/>
      <c r="K65" s="476"/>
      <c r="L65" s="476"/>
      <c r="M65" s="476" t="s">
        <v>2196</v>
      </c>
      <c r="N65" s="475" t="s">
        <v>4090</v>
      </c>
      <c r="O65" s="357" t="s">
        <v>2313</v>
      </c>
      <c r="P65" s="66"/>
    </row>
    <row r="66" spans="1:16" ht="15">
      <c r="A66" s="475" t="s">
        <v>2346</v>
      </c>
      <c r="B66" s="475" t="s">
        <v>4191</v>
      </c>
      <c r="C66" s="475" t="s">
        <v>4192</v>
      </c>
      <c r="D66" s="475" t="s">
        <v>2338</v>
      </c>
      <c r="E66" s="475" t="str">
        <f>VLOOKUP(Report_MasterDataStore_VN!A66,Store_Info_VN!B:W,8,FALSE)</f>
        <v>Floor 2, GoldCoast Mall, 01 Tran Hung Dao, Loc Tho, Nha Trang, Khanh Hoa</v>
      </c>
      <c r="F66" s="476" t="s">
        <v>2290</v>
      </c>
      <c r="G66" s="476">
        <v>0</v>
      </c>
      <c r="H66" s="476"/>
      <c r="I66" s="476"/>
      <c r="J66" s="476"/>
      <c r="K66" s="476"/>
      <c r="L66" s="476"/>
      <c r="M66" s="476" t="s">
        <v>2196</v>
      </c>
      <c r="N66" s="475" t="s">
        <v>4090</v>
      </c>
      <c r="O66" s="357" t="s">
        <v>2313</v>
      </c>
      <c r="P66" s="66"/>
    </row>
    <row r="67" spans="1:16" ht="15">
      <c r="A67" s="475" t="s">
        <v>184</v>
      </c>
      <c r="B67" s="475" t="s">
        <v>4193</v>
      </c>
      <c r="C67" s="475" t="s">
        <v>4194</v>
      </c>
      <c r="D67" s="475" t="s">
        <v>4195</v>
      </c>
      <c r="E67" s="475" t="str">
        <f>VLOOKUP(Report_MasterDataStore_VN!A67,Store_Info_VN!B:W,8,FALSE)</f>
        <v>Floor G, GoldCoast Mall, 01 Tran Hung Dao, Loc Tho, Nha Trang, Khanh Hoa</v>
      </c>
      <c r="F67" s="476" t="s">
        <v>2290</v>
      </c>
      <c r="G67" s="476">
        <v>132.5</v>
      </c>
      <c r="H67" s="476"/>
      <c r="I67" s="476"/>
      <c r="J67" s="476"/>
      <c r="K67" s="476"/>
      <c r="L67" s="476"/>
      <c r="M67" s="476" t="s">
        <v>2196</v>
      </c>
      <c r="N67" s="475" t="s">
        <v>4090</v>
      </c>
      <c r="O67" s="357" t="s">
        <v>2313</v>
      </c>
      <c r="P67" s="66"/>
    </row>
    <row r="68" spans="1:16" ht="15">
      <c r="A68" s="475" t="s">
        <v>890</v>
      </c>
      <c r="B68" s="475" t="s">
        <v>4196</v>
      </c>
      <c r="C68" s="475"/>
      <c r="D68" s="476" t="s">
        <v>2338</v>
      </c>
      <c r="E68" s="475" t="str">
        <f>VLOOKUP(Report_MasterDataStore_VN!A68,Store_Info_VN!B:W,8,FALSE)</f>
        <v>Floor G, GoldCoast Mall, 01 Tran Hung Dao, Loc Tho, Nha Trang, Khanh Hoa</v>
      </c>
      <c r="F68" s="476" t="s">
        <v>2290</v>
      </c>
      <c r="G68" s="476">
        <v>0</v>
      </c>
      <c r="H68" s="476"/>
      <c r="I68" s="476"/>
      <c r="J68" s="476"/>
      <c r="K68" s="476"/>
      <c r="L68" s="476"/>
      <c r="M68" s="476" t="s">
        <v>2196</v>
      </c>
      <c r="N68" s="475" t="s">
        <v>4090</v>
      </c>
      <c r="O68" s="357" t="s">
        <v>2313</v>
      </c>
      <c r="P68" s="66"/>
    </row>
    <row r="69" spans="1:16" ht="15">
      <c r="A69" s="475" t="s">
        <v>4197</v>
      </c>
      <c r="B69" s="475" t="s">
        <v>4198</v>
      </c>
      <c r="C69" s="475" t="s">
        <v>4199</v>
      </c>
      <c r="D69" s="476" t="s">
        <v>4139</v>
      </c>
      <c r="E69" s="475" t="e">
        <f>VLOOKUP(Report_MasterDataStore_VN!A69,Store_Info_VN!B:W,8,FALSE)</f>
        <v>#N/A</v>
      </c>
      <c r="F69" s="476" t="s">
        <v>2276</v>
      </c>
      <c r="G69" s="476" t="e">
        <v>#N/A</v>
      </c>
      <c r="H69" s="476"/>
      <c r="I69" s="476"/>
      <c r="J69" s="476"/>
      <c r="K69" s="476"/>
      <c r="L69" s="476"/>
      <c r="M69" s="476" t="s">
        <v>2196</v>
      </c>
      <c r="N69" s="475" t="s">
        <v>4090</v>
      </c>
      <c r="O69" s="357" t="s">
        <v>2313</v>
      </c>
      <c r="P69" s="66"/>
    </row>
    <row r="70" spans="1:16" ht="15">
      <c r="A70" s="475" t="s">
        <v>2304</v>
      </c>
      <c r="B70" s="475" t="s">
        <v>2305</v>
      </c>
      <c r="C70" s="475" t="s">
        <v>4200</v>
      </c>
      <c r="D70" s="475" t="s">
        <v>4089</v>
      </c>
      <c r="E70" s="475" t="str">
        <f>VLOOKUP(Report_MasterDataStore_VN!A70,Store_Info_VN!B:W,8,FALSE)</f>
        <v>L3 No 92-94 Nam Ky Khoi Nghia, Ben Nghe Ward, District 1, Ho Chi Minh City</v>
      </c>
      <c r="F70" s="476" t="s">
        <v>2290</v>
      </c>
      <c r="G70" s="476">
        <v>68.73</v>
      </c>
      <c r="H70" s="476"/>
      <c r="I70" s="476"/>
      <c r="J70" s="476"/>
      <c r="K70" s="476"/>
      <c r="L70" s="476"/>
      <c r="M70" s="476" t="s">
        <v>2196</v>
      </c>
      <c r="N70" s="475" t="s">
        <v>4090</v>
      </c>
      <c r="O70" s="357" t="s">
        <v>2313</v>
      </c>
      <c r="P70" s="66"/>
    </row>
    <row r="71" spans="1:16" ht="15">
      <c r="A71" s="475" t="s">
        <v>4201</v>
      </c>
      <c r="B71" s="475" t="s">
        <v>4137</v>
      </c>
      <c r="C71" s="475" t="s">
        <v>4138</v>
      </c>
      <c r="D71" s="476" t="s">
        <v>4139</v>
      </c>
      <c r="E71" s="475" t="e">
        <f>VLOOKUP(Report_MasterDataStore_VN!A71,Store_Info_VN!B:W,8,FALSE)</f>
        <v>#N/A</v>
      </c>
      <c r="F71" s="476" t="s">
        <v>2276</v>
      </c>
      <c r="G71" s="476" t="e">
        <v>#N/A</v>
      </c>
      <c r="H71" s="476"/>
      <c r="I71" s="476"/>
      <c r="J71" s="476"/>
      <c r="K71" s="476"/>
      <c r="L71" s="476"/>
      <c r="M71" s="476" t="s">
        <v>2196</v>
      </c>
      <c r="N71" s="475" t="s">
        <v>4090</v>
      </c>
      <c r="O71" s="357" t="s">
        <v>2313</v>
      </c>
      <c r="P71" s="66"/>
    </row>
    <row r="72" spans="1:16" ht="15">
      <c r="A72" s="475" t="s">
        <v>4202</v>
      </c>
      <c r="B72" s="475" t="s">
        <v>4203</v>
      </c>
      <c r="C72" s="475" t="s">
        <v>4161</v>
      </c>
      <c r="D72" s="476" t="s">
        <v>4139</v>
      </c>
      <c r="E72" s="475" t="e">
        <f>VLOOKUP(Report_MasterDataStore_VN!A72,Store_Info_VN!B:W,8,FALSE)</f>
        <v>#N/A</v>
      </c>
      <c r="F72" s="476" t="s">
        <v>2276</v>
      </c>
      <c r="G72" s="476" t="e">
        <v>#N/A</v>
      </c>
      <c r="H72" s="476"/>
      <c r="I72" s="476"/>
      <c r="J72" s="476"/>
      <c r="K72" s="476"/>
      <c r="L72" s="476"/>
      <c r="M72" s="476" t="s">
        <v>2196</v>
      </c>
      <c r="N72" s="475" t="s">
        <v>4090</v>
      </c>
      <c r="O72" s="357" t="s">
        <v>2313</v>
      </c>
      <c r="P72" s="66"/>
    </row>
    <row r="73" spans="1:16" ht="15">
      <c r="A73" s="475" t="s">
        <v>248</v>
      </c>
      <c r="B73" s="475" t="s">
        <v>2812</v>
      </c>
      <c r="C73" s="475" t="s">
        <v>4204</v>
      </c>
      <c r="D73" s="475" t="s">
        <v>4089</v>
      </c>
      <c r="E73" s="475" t="str">
        <f>VLOOKUP(Report_MasterDataStore_VN!A73,Store_Info_VN!B:W,8,FALSE)</f>
        <v>XA-32238 Level 3 - Diamond Plaza (No. 34 Le Duan street, Ben Nghe ward, district 1, Ho Chi Minh city)</v>
      </c>
      <c r="F73" s="476" t="s">
        <v>2290</v>
      </c>
      <c r="G73" s="476">
        <v>17.2</v>
      </c>
      <c r="H73" s="476"/>
      <c r="I73" s="476"/>
      <c r="J73" s="476"/>
      <c r="K73" s="476"/>
      <c r="L73" s="476"/>
      <c r="M73" s="476" t="s">
        <v>2196</v>
      </c>
      <c r="N73" s="475" t="s">
        <v>4090</v>
      </c>
      <c r="O73" s="357" t="s">
        <v>2313</v>
      </c>
      <c r="P73" s="66"/>
    </row>
    <row r="74" spans="1:16" ht="15">
      <c r="A74" s="475" t="s">
        <v>607</v>
      </c>
      <c r="B74" s="475" t="s">
        <v>2859</v>
      </c>
      <c r="C74" s="475" t="s">
        <v>4205</v>
      </c>
      <c r="D74" s="476" t="s">
        <v>4102</v>
      </c>
      <c r="E74" s="475" t="str">
        <f>VLOOKUP(Report_MasterDataStore_VN!A74,Store_Info_VN!B:W,8,FALSE)</f>
        <v>2F-233 lot - Lotte Mall (No. 683 Lac Long Quan street, Phu Thuong ward, Tay Ho district)</v>
      </c>
      <c r="F74" s="476" t="s">
        <v>2276</v>
      </c>
      <c r="G74" s="476">
        <v>0</v>
      </c>
      <c r="H74" s="476"/>
      <c r="I74" s="476"/>
      <c r="J74" s="476"/>
      <c r="K74" s="476"/>
      <c r="L74" s="476"/>
      <c r="M74" s="476" t="s">
        <v>2196</v>
      </c>
      <c r="N74" s="475" t="s">
        <v>4090</v>
      </c>
      <c r="O74" s="357" t="s">
        <v>2313</v>
      </c>
      <c r="P74" s="66"/>
    </row>
    <row r="75" spans="1:16" ht="15">
      <c r="A75" s="475" t="s">
        <v>501</v>
      </c>
      <c r="B75" s="475" t="s">
        <v>4206</v>
      </c>
      <c r="C75" s="475" t="s">
        <v>4088</v>
      </c>
      <c r="D75" s="475" t="s">
        <v>4089</v>
      </c>
      <c r="E75" s="475" t="str">
        <f>VLOOKUP(Report_MasterDataStore_VN!A75,Store_Info_VN!B:W,8,FALSE)</f>
        <v>3F-33 - Crescent Mall, 101 Tôn Dật Tiên, Phường Tân Hưng, Quận 7, Thành Phố Hồ Chí Minh.</v>
      </c>
      <c r="F75" s="476" t="s">
        <v>2290</v>
      </c>
      <c r="G75" s="476">
        <v>0</v>
      </c>
      <c r="H75" s="476"/>
      <c r="I75" s="476"/>
      <c r="J75" s="476"/>
      <c r="K75" s="476"/>
      <c r="L75" s="476"/>
      <c r="M75" s="476" t="s">
        <v>2196</v>
      </c>
      <c r="N75" s="475" t="s">
        <v>4090</v>
      </c>
      <c r="O75" s="357" t="s">
        <v>2313</v>
      </c>
      <c r="P75" s="66"/>
    </row>
    <row r="76" spans="1:16" ht="15">
      <c r="A76" s="475" t="s">
        <v>2514</v>
      </c>
      <c r="B76" s="475" t="s">
        <v>4207</v>
      </c>
      <c r="C76" s="475" t="s">
        <v>4208</v>
      </c>
      <c r="D76" s="476" t="s">
        <v>2517</v>
      </c>
      <c r="E76" s="475" t="str">
        <f>VLOOKUP(Report_MasterDataStore_VN!A76,Store_Info_VN!B:W,8,FALSE)</f>
        <v>78 Nguyen Trai Can Tho</v>
      </c>
      <c r="F76" s="476" t="s">
        <v>2276</v>
      </c>
      <c r="G76" s="476">
        <v>100</v>
      </c>
      <c r="H76" s="476"/>
      <c r="I76" s="476"/>
      <c r="J76" s="476"/>
      <c r="K76" s="476"/>
      <c r="L76" s="476"/>
      <c r="M76" s="476" t="s">
        <v>2278</v>
      </c>
      <c r="N76" s="475" t="s">
        <v>4090</v>
      </c>
      <c r="O76" s="357" t="s">
        <v>2313</v>
      </c>
      <c r="P76" s="66"/>
    </row>
    <row r="77" spans="1:16" ht="15">
      <c r="A77" s="475" t="s">
        <v>149</v>
      </c>
      <c r="B77" s="475" t="s">
        <v>3062</v>
      </c>
      <c r="C77" s="475" t="s">
        <v>4209</v>
      </c>
      <c r="D77" s="476" t="s">
        <v>2384</v>
      </c>
      <c r="E77" s="475" t="str">
        <f>VLOOKUP(Report_MasterDataStore_VN!A77,Store_Info_VN!B:W,8,FALSE)</f>
        <v>Floor 2 Aeon Mall Le Chan, 10 Vo Nguyen Giap, Du Hang Kenh, Le Chan, Hai Phong</v>
      </c>
      <c r="F77" s="476" t="s">
        <v>2276</v>
      </c>
      <c r="G77" s="476">
        <v>123.91</v>
      </c>
      <c r="H77" s="476"/>
      <c r="I77" s="476"/>
      <c r="J77" s="476"/>
      <c r="K77" s="476"/>
      <c r="L77" s="476"/>
      <c r="M77" s="476" t="s">
        <v>2196</v>
      </c>
      <c r="N77" s="475" t="s">
        <v>4090</v>
      </c>
      <c r="O77" s="357" t="s">
        <v>2313</v>
      </c>
      <c r="P77" s="66"/>
    </row>
    <row r="78" spans="1:16" ht="15">
      <c r="A78" s="475" t="s">
        <v>85</v>
      </c>
      <c r="B78" s="475" t="s">
        <v>2796</v>
      </c>
      <c r="C78" s="475" t="s">
        <v>4088</v>
      </c>
      <c r="D78" s="475" t="s">
        <v>4089</v>
      </c>
      <c r="E78" s="475" t="str">
        <f>VLOOKUP(Report_MasterDataStore_VN!A78,Store_Info_VN!B:W,8,FALSE)</f>
        <v>Unit #329-2 Level 3 - TAKASHIMAYA (No. 92-94 Nam Ky Khoi Nghia, Ben Nghe ward, district 1, Ho Chi Minh city)</v>
      </c>
      <c r="F78" s="476" t="s">
        <v>2290</v>
      </c>
      <c r="G78" s="476">
        <v>0</v>
      </c>
      <c r="H78" s="476"/>
      <c r="I78" s="476"/>
      <c r="J78" s="476"/>
      <c r="K78" s="476"/>
      <c r="L78" s="476"/>
      <c r="M78" s="476" t="s">
        <v>2196</v>
      </c>
      <c r="N78" s="475" t="s">
        <v>4090</v>
      </c>
      <c r="O78" s="357" t="s">
        <v>2313</v>
      </c>
      <c r="P78" s="66"/>
    </row>
    <row r="79" spans="1:16" ht="15">
      <c r="A79" s="475" t="s">
        <v>278</v>
      </c>
      <c r="B79" s="475" t="s">
        <v>2307</v>
      </c>
      <c r="C79" s="475" t="s">
        <v>4088</v>
      </c>
      <c r="D79" s="475" t="s">
        <v>4089</v>
      </c>
      <c r="E79" s="475" t="str">
        <f>VLOOKUP(Report_MasterDataStore_VN!A79,Store_Info_VN!B:W,8,FALSE)</f>
        <v>L4 (4F-11) 101 Ton Dat Tien, Tan Phu Ward, District 7, Ho Chi Minh City</v>
      </c>
      <c r="F79" s="476" t="s">
        <v>2290</v>
      </c>
      <c r="G79" s="476">
        <v>32</v>
      </c>
      <c r="H79" s="476"/>
      <c r="I79" s="476"/>
      <c r="J79" s="476"/>
      <c r="K79" s="476"/>
      <c r="L79" s="476"/>
      <c r="M79" s="476" t="s">
        <v>2196</v>
      </c>
      <c r="N79" s="475" t="s">
        <v>4090</v>
      </c>
      <c r="O79" s="357" t="s">
        <v>2313</v>
      </c>
      <c r="P79" s="66"/>
    </row>
    <row r="80" spans="1:16" ht="15">
      <c r="A80" s="475" t="s">
        <v>4210</v>
      </c>
      <c r="B80" s="475" t="s">
        <v>4137</v>
      </c>
      <c r="C80" s="475" t="s">
        <v>4138</v>
      </c>
      <c r="D80" s="476" t="s">
        <v>4139</v>
      </c>
      <c r="E80" s="475" t="e">
        <f>VLOOKUP(Report_MasterDataStore_VN!A80,Store_Info_VN!B:W,8,FALSE)</f>
        <v>#N/A</v>
      </c>
      <c r="F80" s="476" t="s">
        <v>2276</v>
      </c>
      <c r="G80" s="476" t="e">
        <v>#N/A</v>
      </c>
      <c r="H80" s="476"/>
      <c r="I80" s="476"/>
      <c r="J80" s="476"/>
      <c r="K80" s="476"/>
      <c r="L80" s="476"/>
      <c r="M80" s="476" t="s">
        <v>2196</v>
      </c>
      <c r="N80" s="475" t="s">
        <v>4090</v>
      </c>
      <c r="O80" s="357" t="s">
        <v>2313</v>
      </c>
      <c r="P80" s="66"/>
    </row>
    <row r="81" spans="1:16" ht="15">
      <c r="A81" s="475" t="s">
        <v>4211</v>
      </c>
      <c r="B81" s="475" t="s">
        <v>4212</v>
      </c>
      <c r="C81" s="475" t="s">
        <v>4161</v>
      </c>
      <c r="D81" s="476" t="s">
        <v>4139</v>
      </c>
      <c r="E81" s="475" t="e">
        <f>VLOOKUP(Report_MasterDataStore_VN!A81,Store_Info_VN!B:W,8,FALSE)</f>
        <v>#N/A</v>
      </c>
      <c r="F81" s="476" t="s">
        <v>2276</v>
      </c>
      <c r="G81" s="476" t="e">
        <v>#N/A</v>
      </c>
      <c r="H81" s="476"/>
      <c r="I81" s="476"/>
      <c r="J81" s="476"/>
      <c r="K81" s="476"/>
      <c r="L81" s="476"/>
      <c r="M81" s="476" t="s">
        <v>2196</v>
      </c>
      <c r="N81" s="475" t="s">
        <v>4090</v>
      </c>
      <c r="O81" s="357" t="s">
        <v>2313</v>
      </c>
      <c r="P81" s="66"/>
    </row>
    <row r="82" spans="1:16" ht="15">
      <c r="A82" s="475" t="s">
        <v>585</v>
      </c>
      <c r="B82" s="475" t="s">
        <v>2854</v>
      </c>
      <c r="C82" s="475" t="s">
        <v>4213</v>
      </c>
      <c r="D82" s="476" t="s">
        <v>2395</v>
      </c>
      <c r="E82" s="475" t="str">
        <f>VLOOKUP(Report_MasterDataStore_VN!A82,Store_Info_VN!B:W,8,FALSE)</f>
        <v>2F-240,241 lot - Lotte Mall (No. 683 Lac Long Quan street, Phu Thuong ward, Tay Ho district)</v>
      </c>
      <c r="F82" s="476" t="s">
        <v>2276</v>
      </c>
      <c r="G82" s="476">
        <v>52</v>
      </c>
      <c r="H82" s="476"/>
      <c r="I82" s="476"/>
      <c r="J82" s="476"/>
      <c r="K82" s="476"/>
      <c r="L82" s="476"/>
      <c r="M82" s="476" t="s">
        <v>2196</v>
      </c>
      <c r="N82" s="475" t="s">
        <v>4090</v>
      </c>
      <c r="O82" s="357" t="s">
        <v>2313</v>
      </c>
      <c r="P82" s="66"/>
    </row>
    <row r="83" spans="1:16" ht="15">
      <c r="A83" s="475" t="s">
        <v>2521</v>
      </c>
      <c r="B83" s="475" t="s">
        <v>4214</v>
      </c>
      <c r="C83" s="475" t="s">
        <v>4215</v>
      </c>
      <c r="D83" s="476" t="s">
        <v>2517</v>
      </c>
      <c r="E83" s="475" t="str">
        <f>VLOOKUP(Report_MasterDataStore_VN!A83,Store_Info_VN!B:W,8,FALSE)</f>
        <v>78 Nguyen Trai Can Tho</v>
      </c>
      <c r="F83" s="476" t="s">
        <v>2276</v>
      </c>
      <c r="G83" s="476">
        <v>100</v>
      </c>
      <c r="H83" s="476"/>
      <c r="I83" s="476"/>
      <c r="J83" s="476"/>
      <c r="K83" s="476"/>
      <c r="L83" s="476"/>
      <c r="M83" s="476" t="s">
        <v>2278</v>
      </c>
      <c r="N83" s="475" t="s">
        <v>4090</v>
      </c>
      <c r="O83" s="357" t="s">
        <v>2313</v>
      </c>
      <c r="P83" s="66"/>
    </row>
    <row r="84" spans="1:16" ht="15">
      <c r="A84" s="475" t="s">
        <v>905</v>
      </c>
      <c r="B84" s="475" t="s">
        <v>4216</v>
      </c>
      <c r="C84" s="475" t="s">
        <v>4217</v>
      </c>
      <c r="D84" s="476" t="s">
        <v>2395</v>
      </c>
      <c r="E84" s="475" t="str">
        <f>VLOOKUP(Report_MasterDataStore_VN!A84,Store_Info_VN!B:W,8,FALSE)</f>
        <v>2-228 Indochina Plaza Hà Nội (IPH Mall)</v>
      </c>
      <c r="F84" s="476" t="s">
        <v>2276</v>
      </c>
      <c r="G84" s="476">
        <v>96.41</v>
      </c>
      <c r="H84" s="476"/>
      <c r="I84" s="476"/>
      <c r="J84" s="476"/>
      <c r="K84" s="476"/>
      <c r="L84" s="476"/>
      <c r="M84" s="476" t="s">
        <v>2278</v>
      </c>
      <c r="N84" s="475" t="s">
        <v>4090</v>
      </c>
      <c r="O84" s="357" t="s">
        <v>2313</v>
      </c>
      <c r="P84" s="66"/>
    </row>
    <row r="85" spans="1:16" ht="15">
      <c r="A85" s="475" t="s">
        <v>581</v>
      </c>
      <c r="B85" s="475" t="s">
        <v>2853</v>
      </c>
      <c r="C85" s="475" t="s">
        <v>4218</v>
      </c>
      <c r="D85" s="476" t="s">
        <v>2395</v>
      </c>
      <c r="E85" s="475" t="str">
        <f>VLOOKUP(Report_MasterDataStore_VN!A85,Store_Info_VN!B:W,8,FALSE)</f>
        <v>2F-228 lot - Lotte Mall (No. 683 Lac Long Quan street, Phu Thuong ward, Tay Ho district)</v>
      </c>
      <c r="F85" s="476" t="s">
        <v>2276</v>
      </c>
      <c r="G85" s="476">
        <v>135</v>
      </c>
      <c r="H85" s="476"/>
      <c r="I85" s="476"/>
      <c r="J85" s="476"/>
      <c r="K85" s="476"/>
      <c r="L85" s="476"/>
      <c r="M85" s="476" t="s">
        <v>2278</v>
      </c>
      <c r="N85" s="475" t="s">
        <v>4090</v>
      </c>
      <c r="O85" s="357" t="s">
        <v>2313</v>
      </c>
      <c r="P85" s="66"/>
    </row>
    <row r="86" spans="1:16" ht="15">
      <c r="A86" s="475" t="s">
        <v>458</v>
      </c>
      <c r="B86" s="475" t="s">
        <v>4219</v>
      </c>
      <c r="C86" s="475" t="s">
        <v>4220</v>
      </c>
      <c r="D86" s="476" t="s">
        <v>2487</v>
      </c>
      <c r="E86" s="475" t="str">
        <f>VLOOKUP(Report_MasterDataStore_VN!A86,Store_Info_VN!B:W,8,FALSE)</f>
        <v>179 Ba Cu, Ward 4, Vung Tau, Ba Ria - Vung Tau</v>
      </c>
      <c r="F86" s="476" t="s">
        <v>2276</v>
      </c>
      <c r="G86" s="476">
        <v>100</v>
      </c>
      <c r="H86" s="476"/>
      <c r="I86" s="476"/>
      <c r="J86" s="476"/>
      <c r="K86" s="476"/>
      <c r="L86" s="476"/>
      <c r="M86" s="476" t="s">
        <v>2278</v>
      </c>
      <c r="N86" s="475" t="s">
        <v>4090</v>
      </c>
      <c r="O86" s="357" t="s">
        <v>2313</v>
      </c>
      <c r="P86" s="66"/>
    </row>
    <row r="87" spans="1:16" ht="15">
      <c r="A87" s="475" t="s">
        <v>211</v>
      </c>
      <c r="B87" s="475" t="s">
        <v>4221</v>
      </c>
      <c r="C87" s="475" t="s">
        <v>4222</v>
      </c>
      <c r="D87" s="476" t="s">
        <v>2395</v>
      </c>
      <c r="E87" s="475" t="str">
        <f>VLOOKUP(Report_MasterDataStore_VN!A87,Store_Info_VN!B:W,8,FALSE)</f>
        <v>Floor 5, No 54 Lieu Giai Street, Ngoc Khanh Ward, Ba Dinh District, Ha Noi</v>
      </c>
      <c r="F87" s="476" t="s">
        <v>2290</v>
      </c>
      <c r="G87" s="476">
        <v>20</v>
      </c>
      <c r="H87" s="476"/>
      <c r="I87" s="476"/>
      <c r="J87" s="476"/>
      <c r="K87" s="476"/>
      <c r="L87" s="476"/>
      <c r="M87" s="476" t="s">
        <v>2196</v>
      </c>
      <c r="N87" s="475" t="s">
        <v>4090</v>
      </c>
      <c r="O87" s="357" t="s">
        <v>2313</v>
      </c>
      <c r="P87" s="66"/>
    </row>
    <row r="88" spans="1:16" ht="15">
      <c r="A88" s="475" t="s">
        <v>122</v>
      </c>
      <c r="B88" s="475" t="s">
        <v>4223</v>
      </c>
      <c r="C88" s="475" t="s">
        <v>4222</v>
      </c>
      <c r="D88" s="476" t="s">
        <v>2395</v>
      </c>
      <c r="E88" s="475" t="str">
        <f>VLOOKUP(Report_MasterDataStore_VN!A88,Store_Info_VN!B:W,8,FALSE)</f>
        <v>Floor 5, No 54 Lieu Giai Street, Ngoc Khanh Ward, Ba Dinh District, Ha Noi</v>
      </c>
      <c r="F88" s="476" t="s">
        <v>2290</v>
      </c>
      <c r="G88" s="476">
        <v>20</v>
      </c>
      <c r="H88" s="476"/>
      <c r="I88" s="476"/>
      <c r="J88" s="476"/>
      <c r="K88" s="476"/>
      <c r="L88" s="476"/>
      <c r="M88" s="476" t="s">
        <v>2196</v>
      </c>
      <c r="N88" s="475" t="s">
        <v>4090</v>
      </c>
      <c r="O88" s="357" t="s">
        <v>2313</v>
      </c>
      <c r="P88" s="66"/>
    </row>
    <row r="89" spans="1:16" ht="15">
      <c r="A89" s="475" t="s">
        <v>139</v>
      </c>
      <c r="B89" s="475" t="s">
        <v>2301</v>
      </c>
      <c r="C89" s="475" t="s">
        <v>4088</v>
      </c>
      <c r="D89" s="475" t="s">
        <v>4089</v>
      </c>
      <c r="E89" s="475" t="str">
        <f>VLOOKUP(Report_MasterDataStore_VN!A89,Store_Info_VN!B:W,8,FALSE)</f>
        <v>L3 No 92-94 Nam Ky Khoi Nghia, Ben Nghe Ward, District 1, Ho Chi Minh City</v>
      </c>
      <c r="F89" s="476" t="s">
        <v>2290</v>
      </c>
      <c r="G89" s="476">
        <v>12</v>
      </c>
      <c r="H89" s="476"/>
      <c r="I89" s="476"/>
      <c r="J89" s="476"/>
      <c r="K89" s="476"/>
      <c r="L89" s="476"/>
      <c r="M89" s="476" t="s">
        <v>2196</v>
      </c>
      <c r="N89" s="475" t="s">
        <v>4090</v>
      </c>
      <c r="O89" s="357" t="s">
        <v>2313</v>
      </c>
      <c r="P89" s="66"/>
    </row>
    <row r="90" spans="1:16" ht="15">
      <c r="A90" s="475" t="s">
        <v>2285</v>
      </c>
      <c r="B90" s="475" t="s">
        <v>2286</v>
      </c>
      <c r="C90" s="475" t="s">
        <v>4224</v>
      </c>
      <c r="D90" s="475" t="s">
        <v>4089</v>
      </c>
      <c r="E90" s="475" t="str">
        <f>VLOOKUP(Report_MasterDataStore_VN!A90,Store_Info_VN!B:W,8,FALSE)</f>
        <v>L3 No 92-94 Nam Ky Khoi Nghia, Ben Nghe Ward, District 1, Ho Chi Minh City</v>
      </c>
      <c r="F90" s="476" t="s">
        <v>2290</v>
      </c>
      <c r="G90" s="476">
        <v>45.9</v>
      </c>
      <c r="H90" s="476"/>
      <c r="I90" s="476"/>
      <c r="J90" s="476"/>
      <c r="K90" s="476"/>
      <c r="L90" s="476"/>
      <c r="M90" s="476" t="s">
        <v>2196</v>
      </c>
      <c r="N90" s="475" t="s">
        <v>4090</v>
      </c>
      <c r="O90" s="357" t="s">
        <v>2313</v>
      </c>
      <c r="P90" s="66"/>
    </row>
  </sheetData>
  <dataValidations count="1">
    <dataValidation type="list" allowBlank="1" showInputMessage="1" showErrorMessage="1" sqref="F2:F90 M2:M90" xr:uid="{C1D2CB1B-0954-4189-87EC-2A1AA6625E2B}">
      <formula1>#REF!</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244633-fe53-457c-bf4a-663379417716">
      <Terms xmlns="http://schemas.microsoft.com/office/infopath/2007/PartnerControls"/>
    </lcf76f155ced4ddcb4097134ff3c332f>
    <TaxCatchAll xmlns="3398f5b3-d997-4a50-a652-14898b611e2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47EBF53701AE4DB4131FC12CF7C60B" ma:contentTypeVersion="15" ma:contentTypeDescription="Create a new document." ma:contentTypeScope="" ma:versionID="07e5e9f463471b202abd9e34724528eb">
  <xsd:schema xmlns:xsd="http://www.w3.org/2001/XMLSchema" xmlns:xs="http://www.w3.org/2001/XMLSchema" xmlns:p="http://schemas.microsoft.com/office/2006/metadata/properties" xmlns:ns2="30244633-fe53-457c-bf4a-663379417716" xmlns:ns3="3398f5b3-d997-4a50-a652-14898b611e26" targetNamespace="http://schemas.microsoft.com/office/2006/metadata/properties" ma:root="true" ma:fieldsID="45458df43ab81ec95c69fc9f41d0a973" ns2:_="" ns3:_="">
    <xsd:import namespace="30244633-fe53-457c-bf4a-663379417716"/>
    <xsd:import namespace="3398f5b3-d997-4a50-a652-14898b611e2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244633-fe53-457c-bf4a-6633794177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72ef673-cf9d-48ea-8c65-e3e907dd28d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98f5b3-d997-4a50-a652-14898b611e2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c6c3e78-916c-499e-bf1e-b4f14d2382af}" ma:internalName="TaxCatchAll" ma:showField="CatchAllData" ma:web="3398f5b3-d997-4a50-a652-14898b611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9D05CF-7AB0-4253-9677-9FD8A0B32782}"/>
</file>

<file path=customXml/itemProps2.xml><?xml version="1.0" encoding="utf-8"?>
<ds:datastoreItem xmlns:ds="http://schemas.openxmlformats.org/officeDocument/2006/customXml" ds:itemID="{9955E091-44EC-422D-963A-3AC49E9E35C6}"/>
</file>

<file path=customXml/itemProps3.xml><?xml version="1.0" encoding="utf-8"?>
<ds:datastoreItem xmlns:ds="http://schemas.openxmlformats.org/officeDocument/2006/customXml" ds:itemID="{81151B59-092B-44B0-B235-EC42A4B5B8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Luong Huu Quan</dc:creator>
  <cp:keywords/>
  <dc:description/>
  <cp:lastModifiedBy/>
  <cp:revision/>
  <dcterms:created xsi:type="dcterms:W3CDTF">2023-05-22T09:17:23Z</dcterms:created>
  <dcterms:modified xsi:type="dcterms:W3CDTF">2026-06-30T04:19:20Z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0x0101000647EBF53701AE4DB4131FC12CF7C60B</vt:lpwstr>
  </property>
  <property fmtid="{D5CDD505-2E9C-101B-9397-08002B2CF9AE}" pid="3" name="MediaServiceImageTags">
    <vt:lpwstr/>
  </property>
</Properties>
</file>