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mapcoid-my.sharepoint.com/personal/hieu_phamtrung_map_co_id/Documents/IT/Procurement/_PUR_Docs/2023_Cambodia/Internet/"/>
    </mc:Choice>
  </mc:AlternateContent>
  <xr:revisionPtr revIDLastSave="456" documentId="11_9C7417F849E37CE26E339E56ADDC14C75C28AAED" xr6:coauthVersionLast="47" xr6:coauthVersionMax="47" xr10:uidLastSave="{F84A1BE5-7C23-4569-A01E-511D607B9461}"/>
  <bookViews>
    <workbookView xWindow="-20610" yWindow="-120" windowWidth="19710" windowHeight="11760" xr2:uid="{00000000-000D-0000-FFFF-FFFF00000000}"/>
  </bookViews>
  <sheets>
    <sheet name="2023 (with VA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11" i="1" s="1"/>
  <c r="E12" i="1" s="1"/>
  <c r="A5" i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<sst xmlns="http://schemas.openxmlformats.org/spreadsheetml/2006/main" count="109" uniqueCount="79">
  <si>
    <t>No.</t>
  </si>
  <si>
    <t>Store</t>
  </si>
  <si>
    <t>Crocs Chip Mong 271 Mega Mall</t>
  </si>
  <si>
    <t>FG Oder ID</t>
  </si>
  <si>
    <t>X8T4R1</t>
  </si>
  <si>
    <t>mapactive_cm</t>
  </si>
  <si>
    <t>Crocs Aeon Mall Mean Chey (Aeon 3)</t>
  </si>
  <si>
    <t>D6Q6X0</t>
  </si>
  <si>
    <t>aeon3_g086_1</t>
  </si>
  <si>
    <t>NB Chip Mong 271 Mega Mall</t>
  </si>
  <si>
    <t>cm271_lot139</t>
  </si>
  <si>
    <t>NB Aeon Mall Mean Chey (Aeon 3)</t>
  </si>
  <si>
    <t>aeon3_g086_2</t>
  </si>
  <si>
    <t>NB Aeon Mall Sen Sok (Aeon 2)</t>
  </si>
  <si>
    <t>R0M3Y2</t>
  </si>
  <si>
    <t>aeon2_t011_2</t>
  </si>
  <si>
    <t>Crocs Aeon Mall Sen Sok (Aeon 2)</t>
  </si>
  <si>
    <t>K1X5S9</t>
  </si>
  <si>
    <t>aeon2_t039</t>
  </si>
  <si>
    <t>Crocs Aeon Phnompenh (Aeon 1)</t>
  </si>
  <si>
    <t>L3Q5V6</t>
  </si>
  <si>
    <t>aeon1_storecrocs</t>
  </si>
  <si>
    <t>New Balance Aeon Phnompenh (Aeon 1)</t>
  </si>
  <si>
    <t>N1H9Z4</t>
  </si>
  <si>
    <t>aeon1_newbalance</t>
  </si>
  <si>
    <t>R5R2H9</t>
  </si>
  <si>
    <t>SID</t>
  </si>
  <si>
    <t>Account</t>
  </si>
  <si>
    <t>Deposit</t>
  </si>
  <si>
    <t>Installation</t>
  </si>
  <si>
    <t>Invoice</t>
  </si>
  <si>
    <t>Issue Date</t>
  </si>
  <si>
    <t>proforma Deposit</t>
  </si>
  <si>
    <t>TIPP2322903</t>
  </si>
  <si>
    <t>TIPP2322904</t>
  </si>
  <si>
    <t>1st Monthly Fee</t>
  </si>
  <si>
    <t>1st Monthly Fee Start Date</t>
  </si>
  <si>
    <t>Internet - Initialization</t>
  </si>
  <si>
    <t>Internet - Monthly</t>
  </si>
  <si>
    <t>Amount</t>
  </si>
  <si>
    <t>TIPP2325832</t>
  </si>
  <si>
    <t>TIPP2330192</t>
  </si>
  <si>
    <t>TIPP2333006</t>
  </si>
  <si>
    <t>TIPP2340045</t>
  </si>
  <si>
    <t>TIPP2342201</t>
  </si>
  <si>
    <t>TIPP2342202</t>
  </si>
  <si>
    <t>Proforma Deposit SID 3</t>
  </si>
  <si>
    <t>TIPP2347499</t>
  </si>
  <si>
    <t>TIPP2353644</t>
  </si>
  <si>
    <t>TIPP2356788</t>
  </si>
  <si>
    <t>TIPP2365752</t>
  </si>
  <si>
    <t>TIPP2366035</t>
  </si>
  <si>
    <t>TIPP2366036</t>
  </si>
  <si>
    <t>Proforma deposit</t>
  </si>
  <si>
    <t>Free</t>
  </si>
  <si>
    <t>TIPP2369733</t>
  </si>
  <si>
    <t>TIPP2369734</t>
  </si>
  <si>
    <t>TIPP2374714</t>
  </si>
  <si>
    <t>TIPP2383999</t>
  </si>
  <si>
    <t>Proforma deposit SID 4</t>
  </si>
  <si>
    <t>TIPP2345396</t>
  </si>
  <si>
    <t>TIPP2345397</t>
  </si>
  <si>
    <t>Proforma deposit SID 5</t>
  </si>
  <si>
    <t>TIPP2345572</t>
  </si>
  <si>
    <t>TIPP2345573</t>
  </si>
  <si>
    <t>TIPP2353643</t>
  </si>
  <si>
    <t>Notes</t>
  </si>
  <si>
    <t>Initial: Bata Aeon Mean Chey (Aeon 3)</t>
  </si>
  <si>
    <t>Bata Chip Mong Mega Mall 271</t>
  </si>
  <si>
    <t>Store Code</t>
  </si>
  <si>
    <t>K702</t>
  </si>
  <si>
    <t>K703</t>
  </si>
  <si>
    <t>NH02</t>
  </si>
  <si>
    <t>NH03</t>
  </si>
  <si>
    <t>NH04</t>
  </si>
  <si>
    <t>K704</t>
  </si>
  <si>
    <t>K705</t>
  </si>
  <si>
    <t>NH01</t>
  </si>
  <si>
    <t>KV01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</si>
</sst>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/mmm/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Alignment="1">
      <alignment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44" fontId="0" fillId="2" borderId="1" xfId="1" applyFont="1" applyFill="1" applyBorder="1" applyAlignment="1">
      <alignment vertical="center"/>
    </xf>
    <xf numFmtId="17" fontId="0" fillId="3" borderId="1" xfId="0" applyNumberForma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44" fontId="0" fillId="4" borderId="1" xfId="1" applyFon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44" fontId="0" fillId="7" borderId="1" xfId="1" applyFont="1" applyFill="1" applyBorder="1" applyAlignment="1">
      <alignment vertical="center"/>
    </xf>
    <xf numFmtId="44" fontId="0" fillId="7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7" borderId="5" xfId="1" applyFont="1" applyFill="1" applyBorder="1" applyAlignment="1">
      <alignment horizontal="center" vertical="center"/>
    </xf>
    <xf numFmtId="44" fontId="0" fillId="7" borderId="6" xfId="1" applyFont="1" applyFill="1" applyBorder="1" applyAlignment="1">
      <alignment horizontal="center" vertical="center"/>
    </xf>
    <xf numFmtId="44" fontId="0" fillId="7" borderId="7" xfId="1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8" borderId="5" xfId="1" applyFont="1" applyFill="1" applyBorder="1" applyAlignment="1">
      <alignment horizontal="center" vertical="center" wrapText="1"/>
    </xf>
    <xf numFmtId="44" fontId="0" fillId="8" borderId="7" xfId="1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64" fontId="0" fillId="8" borderId="5" xfId="0" applyNumberFormat="1" applyFill="1" applyBorder="1" applyAlignment="1">
      <alignment horizontal="center" vertical="center"/>
    </xf>
    <xf numFmtId="164" fontId="0" fillId="8" borderId="7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3" borderId="7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4" fontId="0" fillId="6" borderId="5" xfId="1" applyFont="1" applyFill="1" applyBorder="1" applyAlignment="1">
      <alignment horizontal="center" vertical="center"/>
    </xf>
    <xf numFmtId="44" fontId="0" fillId="6" borderId="7" xfId="1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164" fontId="0" fillId="6" borderId="5" xfId="0" applyNumberFormat="1" applyFill="1" applyBorder="1" applyAlignment="1">
      <alignment horizontal="center" vertical="center"/>
    </xf>
    <xf numFmtId="164" fontId="0" fillId="6" borderId="7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"/>
  <sheetViews>
    <sheetView tabSelected="1" zoomScale="85" zoomScaleNormal="85" workbookViewId="0">
      <pane xSplit="6" ySplit="3" topLeftCell="G4" activePane="bottomRight" state="frozen"/>
      <selection pane="topRight" activeCell="F1" sqref="F1"/>
      <selection pane="bottomLeft" activeCell="A4" sqref="A4"/>
      <selection pane="bottomRight" activeCell="E12" sqref="E12"/>
    </sheetView>
  </sheetViews>
  <sheetFormatPr defaultRowHeight="14.5" x14ac:dyDescent="0.35"/>
  <cols>
    <col min="1" max="1" width="3.81640625" style="2" bestFit="1" customWidth="1"/>
    <col min="2" max="2" width="37.1796875" style="1" bestFit="1" customWidth="1"/>
    <col min="3" max="3" width="7.08984375" style="2" customWidth="1"/>
    <col min="4" max="4" width="10.1796875" style="3" bestFit="1" customWidth="1"/>
    <col min="5" max="5" width="3.81640625" style="1" bestFit="1" customWidth="1"/>
    <col min="6" max="6" width="18.54296875" style="2" bestFit="1" customWidth="1"/>
    <col min="7" max="7" width="8.08984375" style="1" bestFit="1" customWidth="1"/>
    <col min="8" max="8" width="20.6328125" style="1" bestFit="1" customWidth="1"/>
    <col min="9" max="9" width="11.81640625" style="13" bestFit="1" customWidth="1"/>
    <col min="10" max="10" width="11.453125" style="12" bestFit="1" customWidth="1"/>
    <col min="11" max="11" width="12.1796875" style="1" bestFit="1" customWidth="1"/>
    <col min="12" max="12" width="11.81640625" style="13" bestFit="1" customWidth="1"/>
    <col min="13" max="13" width="23.6328125" style="14" bestFit="1" customWidth="1"/>
    <col min="14" max="14" width="14.7265625" style="14" bestFit="1" customWidth="1"/>
    <col min="15" max="15" width="12.1796875" style="1" bestFit="1" customWidth="1"/>
    <col min="16" max="16" width="12.26953125" style="10" bestFit="1" customWidth="1"/>
    <col min="17" max="17" width="12.1796875" style="1" bestFit="1" customWidth="1"/>
    <col min="18" max="18" width="9.1796875" style="12" bestFit="1" customWidth="1"/>
    <col min="19" max="19" width="11.1796875" style="1" bestFit="1" customWidth="1"/>
    <col min="20" max="20" width="12.1796875" style="1" bestFit="1" customWidth="1"/>
    <col min="21" max="21" width="9.1796875" style="12" bestFit="1" customWidth="1"/>
    <col min="22" max="22" width="10.36328125" style="10" bestFit="1" customWidth="1"/>
    <col min="23" max="23" width="12.1796875" style="1" bestFit="1" customWidth="1"/>
    <col min="24" max="24" width="9.1796875" style="1" bestFit="1" customWidth="1"/>
    <col min="25" max="25" width="9.7265625" style="1" bestFit="1" customWidth="1"/>
    <col min="26" max="26" width="12.1796875" style="1" bestFit="1" customWidth="1"/>
    <col min="27" max="27" width="10.81640625" style="12" bestFit="1" customWidth="1"/>
    <col min="28" max="28" width="10.81640625" style="1" bestFit="1" customWidth="1"/>
    <col min="29" max="29" width="12.1796875" style="1" bestFit="1" customWidth="1"/>
    <col min="30" max="30" width="10.81640625" style="1" bestFit="1" customWidth="1"/>
    <col min="31" max="31" width="10.54296875" style="1" bestFit="1" customWidth="1"/>
    <col min="32" max="32" width="12.1796875" style="1" bestFit="1" customWidth="1"/>
    <col min="33" max="33" width="10.81640625" style="1" bestFit="1" customWidth="1"/>
    <col min="34" max="34" width="10.453125" style="1" bestFit="1" customWidth="1"/>
    <col min="35" max="35" width="12.1796875" style="1" bestFit="1" customWidth="1"/>
    <col min="36" max="36" width="10.81640625" style="1" bestFit="1" customWidth="1"/>
    <col min="37" max="37" width="10.90625" style="1" bestFit="1" customWidth="1"/>
    <col min="38" max="38" width="12.1796875" style="1" bestFit="1" customWidth="1"/>
    <col min="39" max="39" width="10.81640625" style="1" bestFit="1" customWidth="1"/>
    <col min="40" max="40" width="10.6328125" style="1" bestFit="1" customWidth="1"/>
    <col min="41" max="41" width="35" style="1" bestFit="1" customWidth="1"/>
    <col min="42" max="16384" width="8.7265625" style="1"/>
  </cols>
  <sheetData>
    <row r="1" spans="1:41" s="2" customFormat="1" x14ac:dyDescent="0.35">
      <c r="A1" s="49" t="s">
        <v>0</v>
      </c>
      <c r="B1" s="49" t="s">
        <v>1</v>
      </c>
      <c r="C1" s="55" t="s">
        <v>69</v>
      </c>
      <c r="D1" s="52" t="s">
        <v>3</v>
      </c>
      <c r="E1" s="61" t="s">
        <v>37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  <c r="Q1" s="26" t="s">
        <v>38</v>
      </c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70" t="s">
        <v>66</v>
      </c>
    </row>
    <row r="2" spans="1:41" s="2" customFormat="1" ht="29" customHeight="1" x14ac:dyDescent="0.35">
      <c r="A2" s="50"/>
      <c r="B2" s="50"/>
      <c r="C2" s="71"/>
      <c r="D2" s="53"/>
      <c r="E2" s="55" t="s">
        <v>26</v>
      </c>
      <c r="F2" s="49" t="s">
        <v>27</v>
      </c>
      <c r="G2" s="57" t="s">
        <v>28</v>
      </c>
      <c r="H2" s="57" t="s">
        <v>30</v>
      </c>
      <c r="I2" s="59" t="s">
        <v>31</v>
      </c>
      <c r="J2" s="64" t="s">
        <v>29</v>
      </c>
      <c r="K2" s="66" t="s">
        <v>30</v>
      </c>
      <c r="L2" s="68" t="s">
        <v>31</v>
      </c>
      <c r="M2" s="43" t="s">
        <v>36</v>
      </c>
      <c r="N2" s="43" t="s">
        <v>35</v>
      </c>
      <c r="O2" s="45" t="s">
        <v>30</v>
      </c>
      <c r="P2" s="47" t="s">
        <v>31</v>
      </c>
      <c r="Q2" s="39">
        <v>45047</v>
      </c>
      <c r="R2" s="39"/>
      <c r="S2" s="39"/>
      <c r="T2" s="39">
        <v>45078</v>
      </c>
      <c r="U2" s="39"/>
      <c r="V2" s="39"/>
      <c r="W2" s="39">
        <v>45108</v>
      </c>
      <c r="X2" s="39"/>
      <c r="Y2" s="39"/>
      <c r="Z2" s="39">
        <v>45139</v>
      </c>
      <c r="AA2" s="39"/>
      <c r="AB2" s="39"/>
      <c r="AC2" s="39">
        <v>45170</v>
      </c>
      <c r="AD2" s="39"/>
      <c r="AE2" s="39"/>
      <c r="AF2" s="39">
        <v>45200</v>
      </c>
      <c r="AG2" s="39"/>
      <c r="AH2" s="39"/>
      <c r="AI2" s="39">
        <v>45231</v>
      </c>
      <c r="AJ2" s="39"/>
      <c r="AK2" s="39"/>
      <c r="AL2" s="39">
        <v>45261</v>
      </c>
      <c r="AM2" s="39"/>
      <c r="AN2" s="39"/>
      <c r="AO2" s="70"/>
    </row>
    <row r="3" spans="1:41" s="2" customFormat="1" x14ac:dyDescent="0.35">
      <c r="A3" s="51"/>
      <c r="B3" s="51"/>
      <c r="C3" s="56"/>
      <c r="D3" s="54"/>
      <c r="E3" s="56"/>
      <c r="F3" s="51"/>
      <c r="G3" s="58"/>
      <c r="H3" s="58"/>
      <c r="I3" s="60"/>
      <c r="J3" s="65"/>
      <c r="K3" s="67"/>
      <c r="L3" s="69"/>
      <c r="M3" s="44"/>
      <c r="N3" s="44"/>
      <c r="O3" s="46"/>
      <c r="P3" s="48"/>
      <c r="Q3" s="18" t="s">
        <v>30</v>
      </c>
      <c r="R3" s="19" t="s">
        <v>39</v>
      </c>
      <c r="S3" s="18" t="s">
        <v>31</v>
      </c>
      <c r="T3" s="18" t="s">
        <v>30</v>
      </c>
      <c r="U3" s="19" t="s">
        <v>39</v>
      </c>
      <c r="V3" s="20" t="s">
        <v>31</v>
      </c>
      <c r="W3" s="18" t="s">
        <v>30</v>
      </c>
      <c r="X3" s="19" t="s">
        <v>39</v>
      </c>
      <c r="Y3" s="20" t="s">
        <v>31</v>
      </c>
      <c r="Z3" s="18" t="s">
        <v>30</v>
      </c>
      <c r="AA3" s="19" t="s">
        <v>39</v>
      </c>
      <c r="AB3" s="20" t="s">
        <v>31</v>
      </c>
      <c r="AC3" s="18" t="s">
        <v>30</v>
      </c>
      <c r="AD3" s="19" t="s">
        <v>39</v>
      </c>
      <c r="AE3" s="20" t="s">
        <v>31</v>
      </c>
      <c r="AF3" s="18" t="s">
        <v>30</v>
      </c>
      <c r="AG3" s="19" t="s">
        <v>39</v>
      </c>
      <c r="AH3" s="20" t="s">
        <v>31</v>
      </c>
      <c r="AI3" s="18" t="s">
        <v>30</v>
      </c>
      <c r="AJ3" s="19" t="s">
        <v>39</v>
      </c>
      <c r="AK3" s="20" t="s">
        <v>31</v>
      </c>
      <c r="AL3" s="18" t="s">
        <v>30</v>
      </c>
      <c r="AM3" s="19" t="s">
        <v>39</v>
      </c>
      <c r="AN3" s="20" t="s">
        <v>31</v>
      </c>
      <c r="AO3" s="70"/>
    </row>
    <row r="4" spans="1:41" x14ac:dyDescent="0.35">
      <c r="A4" s="4">
        <v>1</v>
      </c>
      <c r="B4" s="5" t="s">
        <v>2</v>
      </c>
      <c r="C4" s="4" t="s">
        <v>70</v>
      </c>
      <c r="D4" s="6" t="s">
        <v>4</v>
      </c>
      <c r="E4" s="4">
        <v>1</v>
      </c>
      <c r="F4" s="4" t="s">
        <v>5</v>
      </c>
      <c r="G4" s="24">
        <v>50</v>
      </c>
      <c r="H4" s="5" t="s">
        <v>32</v>
      </c>
      <c r="I4" s="9">
        <v>45036</v>
      </c>
      <c r="J4" s="24">
        <v>55</v>
      </c>
      <c r="K4" s="5" t="s">
        <v>33</v>
      </c>
      <c r="L4" s="9">
        <v>45036</v>
      </c>
      <c r="M4" s="9">
        <v>45036</v>
      </c>
      <c r="N4" s="25">
        <v>112.94</v>
      </c>
      <c r="O4" s="5" t="s">
        <v>34</v>
      </c>
      <c r="P4" s="9">
        <v>45036</v>
      </c>
      <c r="Q4" s="5" t="s">
        <v>40</v>
      </c>
      <c r="R4" s="25">
        <v>308</v>
      </c>
      <c r="S4" s="9">
        <v>45047</v>
      </c>
      <c r="T4" s="40" t="s">
        <v>42</v>
      </c>
      <c r="U4" s="41">
        <v>616</v>
      </c>
      <c r="V4" s="42">
        <v>45078</v>
      </c>
      <c r="W4" s="40" t="s">
        <v>43</v>
      </c>
      <c r="X4" s="41">
        <v>616</v>
      </c>
      <c r="Y4" s="42">
        <v>45108</v>
      </c>
      <c r="Z4" s="40" t="s">
        <v>47</v>
      </c>
      <c r="AA4" s="41">
        <v>1540</v>
      </c>
      <c r="AB4" s="42">
        <v>45139</v>
      </c>
      <c r="AC4" s="40" t="s">
        <v>49</v>
      </c>
      <c r="AD4" s="41">
        <v>1848</v>
      </c>
      <c r="AE4" s="42">
        <v>45171</v>
      </c>
      <c r="AF4" s="40" t="s">
        <v>50</v>
      </c>
      <c r="AG4" s="41">
        <v>1848</v>
      </c>
      <c r="AH4" s="42">
        <v>45201</v>
      </c>
      <c r="AI4" s="30" t="s">
        <v>57</v>
      </c>
      <c r="AJ4" s="33">
        <v>2464</v>
      </c>
      <c r="AK4" s="36">
        <v>45231</v>
      </c>
      <c r="AL4" s="30" t="s">
        <v>58</v>
      </c>
      <c r="AM4" s="33">
        <v>2464</v>
      </c>
      <c r="AN4" s="36">
        <v>45261</v>
      </c>
    </row>
    <row r="5" spans="1:41" x14ac:dyDescent="0.35">
      <c r="A5" s="4">
        <f>A4+1</f>
        <v>2</v>
      </c>
      <c r="B5" s="5" t="s">
        <v>6</v>
      </c>
      <c r="C5" s="4" t="s">
        <v>71</v>
      </c>
      <c r="D5" s="6" t="s">
        <v>7</v>
      </c>
      <c r="E5" s="4">
        <f>E4+1</f>
        <v>2</v>
      </c>
      <c r="F5" s="4" t="s">
        <v>8</v>
      </c>
      <c r="G5" s="15"/>
      <c r="H5" s="15"/>
      <c r="I5" s="16"/>
      <c r="J5" s="17"/>
      <c r="K5" s="15"/>
      <c r="L5" s="16"/>
      <c r="M5" s="9">
        <v>45068</v>
      </c>
      <c r="N5" s="25">
        <v>99.36</v>
      </c>
      <c r="O5" s="5" t="s">
        <v>41</v>
      </c>
      <c r="P5" s="9">
        <v>45068</v>
      </c>
      <c r="Q5" s="21"/>
      <c r="R5" s="22"/>
      <c r="S5" s="21"/>
      <c r="T5" s="40"/>
      <c r="U5" s="41"/>
      <c r="V5" s="42"/>
      <c r="W5" s="40"/>
      <c r="X5" s="41"/>
      <c r="Y5" s="42"/>
      <c r="Z5" s="40"/>
      <c r="AA5" s="41"/>
      <c r="AB5" s="42"/>
      <c r="AC5" s="40"/>
      <c r="AD5" s="41"/>
      <c r="AE5" s="42"/>
      <c r="AF5" s="40"/>
      <c r="AG5" s="41"/>
      <c r="AH5" s="42"/>
      <c r="AI5" s="31"/>
      <c r="AJ5" s="34"/>
      <c r="AK5" s="37"/>
      <c r="AL5" s="31"/>
      <c r="AM5" s="34"/>
      <c r="AN5" s="37"/>
    </row>
    <row r="6" spans="1:41" x14ac:dyDescent="0.35">
      <c r="A6" s="4">
        <f t="shared" ref="A6:A12" si="0">A5+1</f>
        <v>3</v>
      </c>
      <c r="B6" s="5" t="s">
        <v>9</v>
      </c>
      <c r="C6" s="4" t="s">
        <v>72</v>
      </c>
      <c r="D6" s="6" t="s">
        <v>4</v>
      </c>
      <c r="E6" s="4">
        <f t="shared" ref="E6:E12" si="1">E5+1</f>
        <v>3</v>
      </c>
      <c r="F6" s="4" t="s">
        <v>10</v>
      </c>
      <c r="G6" s="24">
        <v>50</v>
      </c>
      <c r="H6" s="5" t="s">
        <v>46</v>
      </c>
      <c r="I6" s="9">
        <v>45125</v>
      </c>
      <c r="J6" s="24">
        <v>55</v>
      </c>
      <c r="K6" s="5" t="s">
        <v>44</v>
      </c>
      <c r="L6" s="9">
        <v>45117</v>
      </c>
      <c r="M6" s="9">
        <v>45117</v>
      </c>
      <c r="N6" s="25">
        <v>218.58</v>
      </c>
      <c r="O6" s="5" t="s">
        <v>45</v>
      </c>
      <c r="P6" s="9">
        <v>45117</v>
      </c>
      <c r="Q6" s="21"/>
      <c r="R6" s="22"/>
      <c r="S6" s="21"/>
      <c r="T6" s="21"/>
      <c r="U6" s="22"/>
      <c r="V6" s="23"/>
      <c r="W6" s="21"/>
      <c r="X6" s="21"/>
      <c r="Y6" s="21"/>
      <c r="Z6" s="40"/>
      <c r="AA6" s="41"/>
      <c r="AB6" s="42"/>
      <c r="AC6" s="40"/>
      <c r="AD6" s="41"/>
      <c r="AE6" s="42"/>
      <c r="AF6" s="40"/>
      <c r="AG6" s="41"/>
      <c r="AH6" s="42"/>
      <c r="AI6" s="31"/>
      <c r="AJ6" s="34"/>
      <c r="AK6" s="37"/>
      <c r="AL6" s="31"/>
      <c r="AM6" s="34"/>
      <c r="AN6" s="37"/>
    </row>
    <row r="7" spans="1:41" x14ac:dyDescent="0.35">
      <c r="A7" s="4">
        <f t="shared" si="0"/>
        <v>4</v>
      </c>
      <c r="B7" s="5" t="s">
        <v>11</v>
      </c>
      <c r="C7" s="4" t="s">
        <v>73</v>
      </c>
      <c r="D7" s="6" t="s">
        <v>7</v>
      </c>
      <c r="E7" s="4">
        <f t="shared" si="1"/>
        <v>4</v>
      </c>
      <c r="F7" s="4" t="s">
        <v>12</v>
      </c>
      <c r="G7" s="24">
        <v>50</v>
      </c>
      <c r="H7" s="5" t="s">
        <v>59</v>
      </c>
      <c r="I7" s="9">
        <v>45134</v>
      </c>
      <c r="J7" s="24">
        <v>55</v>
      </c>
      <c r="K7" s="5" t="s">
        <v>60</v>
      </c>
      <c r="L7" s="9">
        <v>45133</v>
      </c>
      <c r="M7" s="9">
        <v>45133</v>
      </c>
      <c r="N7" s="25">
        <v>59.61</v>
      </c>
      <c r="O7" s="5" t="s">
        <v>61</v>
      </c>
      <c r="P7" s="9">
        <v>45133</v>
      </c>
      <c r="Q7" s="21"/>
      <c r="R7" s="22"/>
      <c r="S7" s="21"/>
      <c r="T7" s="21"/>
      <c r="U7" s="22"/>
      <c r="V7" s="23"/>
      <c r="W7" s="21"/>
      <c r="X7" s="21"/>
      <c r="Y7" s="21"/>
      <c r="Z7" s="40"/>
      <c r="AA7" s="41"/>
      <c r="AB7" s="42"/>
      <c r="AC7" s="40"/>
      <c r="AD7" s="41"/>
      <c r="AE7" s="42"/>
      <c r="AF7" s="40"/>
      <c r="AG7" s="41"/>
      <c r="AH7" s="42"/>
      <c r="AI7" s="31"/>
      <c r="AJ7" s="34"/>
      <c r="AK7" s="37"/>
      <c r="AL7" s="31"/>
      <c r="AM7" s="34"/>
      <c r="AN7" s="37"/>
    </row>
    <row r="8" spans="1:41" x14ac:dyDescent="0.35">
      <c r="A8" s="4">
        <f t="shared" si="0"/>
        <v>5</v>
      </c>
      <c r="B8" s="5" t="s">
        <v>13</v>
      </c>
      <c r="C8" s="4" t="s">
        <v>74</v>
      </c>
      <c r="D8" s="6" t="s">
        <v>14</v>
      </c>
      <c r="E8" s="4">
        <f t="shared" si="1"/>
        <v>5</v>
      </c>
      <c r="F8" s="4" t="s">
        <v>15</v>
      </c>
      <c r="G8" s="24">
        <v>50</v>
      </c>
      <c r="H8" s="5" t="s">
        <v>62</v>
      </c>
      <c r="I8" s="9">
        <v>45135</v>
      </c>
      <c r="J8" s="24">
        <v>55</v>
      </c>
      <c r="K8" s="5" t="s">
        <v>63</v>
      </c>
      <c r="L8" s="9">
        <v>45134</v>
      </c>
      <c r="M8" s="9">
        <v>45134</v>
      </c>
      <c r="N8" s="25">
        <v>49.68</v>
      </c>
      <c r="O8" s="5" t="s">
        <v>64</v>
      </c>
      <c r="P8" s="9">
        <v>45134</v>
      </c>
      <c r="Q8" s="21"/>
      <c r="R8" s="22"/>
      <c r="S8" s="21"/>
      <c r="T8" s="21"/>
      <c r="U8" s="22"/>
      <c r="V8" s="23"/>
      <c r="W8" s="21"/>
      <c r="X8" s="21"/>
      <c r="Y8" s="21"/>
      <c r="Z8" s="40"/>
      <c r="AA8" s="41"/>
      <c r="AB8" s="42"/>
      <c r="AC8" s="40"/>
      <c r="AD8" s="41"/>
      <c r="AE8" s="42"/>
      <c r="AF8" s="40"/>
      <c r="AG8" s="41"/>
      <c r="AH8" s="42"/>
      <c r="AI8" s="31"/>
      <c r="AJ8" s="34"/>
      <c r="AK8" s="37"/>
      <c r="AL8" s="31"/>
      <c r="AM8" s="34"/>
      <c r="AN8" s="37"/>
    </row>
    <row r="9" spans="1:41" x14ac:dyDescent="0.35">
      <c r="A9" s="4">
        <f t="shared" si="0"/>
        <v>6</v>
      </c>
      <c r="B9" s="5" t="s">
        <v>16</v>
      </c>
      <c r="C9" s="4" t="s">
        <v>75</v>
      </c>
      <c r="D9" s="6" t="s">
        <v>17</v>
      </c>
      <c r="E9" s="4">
        <f t="shared" si="1"/>
        <v>6</v>
      </c>
      <c r="F9" s="4" t="s">
        <v>18</v>
      </c>
      <c r="G9" s="24">
        <v>50</v>
      </c>
      <c r="H9" s="5" t="s">
        <v>53</v>
      </c>
      <c r="I9" s="9">
        <v>45162</v>
      </c>
      <c r="J9" s="24">
        <v>55</v>
      </c>
      <c r="K9" s="5" t="s">
        <v>65</v>
      </c>
      <c r="L9" s="9">
        <v>45162</v>
      </c>
      <c r="M9" s="9">
        <v>45162</v>
      </c>
      <c r="N9" s="25">
        <v>79.489999999999995</v>
      </c>
      <c r="O9" s="5" t="s">
        <v>48</v>
      </c>
      <c r="P9" s="9">
        <v>45162</v>
      </c>
      <c r="Q9" s="21"/>
      <c r="R9" s="22"/>
      <c r="S9" s="21"/>
      <c r="T9" s="21"/>
      <c r="U9" s="22"/>
      <c r="V9" s="23"/>
      <c r="W9" s="21"/>
      <c r="X9" s="21"/>
      <c r="Y9" s="21"/>
      <c r="Z9" s="21"/>
      <c r="AA9" s="22"/>
      <c r="AB9" s="21"/>
      <c r="AC9" s="40"/>
      <c r="AD9" s="41"/>
      <c r="AE9" s="42"/>
      <c r="AF9" s="40"/>
      <c r="AG9" s="41"/>
      <c r="AH9" s="42"/>
      <c r="AI9" s="31"/>
      <c r="AJ9" s="34"/>
      <c r="AK9" s="37"/>
      <c r="AL9" s="31"/>
      <c r="AM9" s="34"/>
      <c r="AN9" s="37"/>
    </row>
    <row r="10" spans="1:41" x14ac:dyDescent="0.35">
      <c r="A10" s="4">
        <f t="shared" si="0"/>
        <v>7</v>
      </c>
      <c r="B10" s="5" t="s">
        <v>19</v>
      </c>
      <c r="C10" s="4" t="s">
        <v>76</v>
      </c>
      <c r="D10" s="6" t="s">
        <v>20</v>
      </c>
      <c r="E10" s="4">
        <f t="shared" si="1"/>
        <v>7</v>
      </c>
      <c r="F10" s="4" t="s">
        <v>21</v>
      </c>
      <c r="G10" s="24">
        <v>50</v>
      </c>
      <c r="H10" s="5" t="s">
        <v>53</v>
      </c>
      <c r="I10" s="9">
        <v>45203</v>
      </c>
      <c r="J10" s="24">
        <v>55</v>
      </c>
      <c r="K10" s="5" t="s">
        <v>51</v>
      </c>
      <c r="L10" s="9">
        <v>45202</v>
      </c>
      <c r="M10" s="9">
        <v>45202</v>
      </c>
      <c r="N10" s="25">
        <v>288.12</v>
      </c>
      <c r="O10" s="5" t="s">
        <v>52</v>
      </c>
      <c r="P10" s="9">
        <v>45202</v>
      </c>
      <c r="Q10" s="21"/>
      <c r="R10" s="22"/>
      <c r="S10" s="21"/>
      <c r="T10" s="21"/>
      <c r="U10" s="22"/>
      <c r="V10" s="23"/>
      <c r="W10" s="21"/>
      <c r="X10" s="21"/>
      <c r="Y10" s="21"/>
      <c r="Z10" s="21"/>
      <c r="AA10" s="22"/>
      <c r="AB10" s="21"/>
      <c r="AC10" s="21"/>
      <c r="AD10" s="21"/>
      <c r="AE10" s="21"/>
      <c r="AF10" s="21"/>
      <c r="AG10" s="21"/>
      <c r="AH10" s="21"/>
      <c r="AI10" s="31"/>
      <c r="AJ10" s="34"/>
      <c r="AK10" s="37"/>
      <c r="AL10" s="31"/>
      <c r="AM10" s="34"/>
      <c r="AN10" s="37"/>
    </row>
    <row r="11" spans="1:41" x14ac:dyDescent="0.35">
      <c r="A11" s="4">
        <f t="shared" si="0"/>
        <v>8</v>
      </c>
      <c r="B11" s="5" t="s">
        <v>22</v>
      </c>
      <c r="C11" s="4" t="s">
        <v>77</v>
      </c>
      <c r="D11" s="6" t="s">
        <v>23</v>
      </c>
      <c r="E11" s="4">
        <f t="shared" si="1"/>
        <v>8</v>
      </c>
      <c r="F11" s="4" t="s">
        <v>24</v>
      </c>
      <c r="G11" s="27" t="s">
        <v>54</v>
      </c>
      <c r="H11" s="28"/>
      <c r="I11" s="29"/>
      <c r="J11" s="24">
        <v>55</v>
      </c>
      <c r="K11" s="5" t="s">
        <v>55</v>
      </c>
      <c r="L11" s="9">
        <v>45216</v>
      </c>
      <c r="M11" s="9">
        <v>45216</v>
      </c>
      <c r="N11" s="25">
        <v>149.03</v>
      </c>
      <c r="O11" s="5" t="s">
        <v>56</v>
      </c>
      <c r="P11" s="9">
        <v>45216</v>
      </c>
      <c r="Q11" s="21"/>
      <c r="R11" s="22"/>
      <c r="S11" s="21"/>
      <c r="T11" s="21"/>
      <c r="U11" s="22"/>
      <c r="V11" s="23"/>
      <c r="W11" s="21"/>
      <c r="X11" s="21"/>
      <c r="Y11" s="21"/>
      <c r="Z11" s="21"/>
      <c r="AA11" s="22"/>
      <c r="AB11" s="21"/>
      <c r="AC11" s="21"/>
      <c r="AD11" s="21"/>
      <c r="AE11" s="21"/>
      <c r="AF11" s="21"/>
      <c r="AG11" s="21"/>
      <c r="AH11" s="21"/>
      <c r="AI11" s="32"/>
      <c r="AJ11" s="35"/>
      <c r="AK11" s="38"/>
      <c r="AL11" s="32"/>
      <c r="AM11" s="35"/>
      <c r="AN11" s="38"/>
    </row>
    <row r="12" spans="1:41" x14ac:dyDescent="0.35">
      <c r="A12" s="4">
        <f t="shared" si="0"/>
        <v>9</v>
      </c>
      <c r="B12" s="5" t="s">
        <v>68</v>
      </c>
      <c r="C12" s="4" t="s">
        <v>78</v>
      </c>
      <c r="D12" s="6" t="s">
        <v>25</v>
      </c>
      <c r="E12" s="4">
        <f t="shared" si="1"/>
        <v>9</v>
      </c>
      <c r="F12" s="4"/>
      <c r="G12" s="5"/>
      <c r="H12" s="5"/>
      <c r="I12" s="9"/>
      <c r="J12" s="7"/>
      <c r="K12" s="5"/>
      <c r="L12" s="9"/>
      <c r="M12" s="11"/>
      <c r="N12" s="11"/>
      <c r="O12" s="5"/>
      <c r="P12" s="8"/>
      <c r="Q12" s="21"/>
      <c r="R12" s="22"/>
      <c r="S12" s="21"/>
      <c r="T12" s="21"/>
      <c r="U12" s="22"/>
      <c r="V12" s="23"/>
      <c r="W12" s="21"/>
      <c r="X12" s="21"/>
      <c r="Y12" s="21"/>
      <c r="Z12" s="21"/>
      <c r="AA12" s="22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1" t="s">
        <v>67</v>
      </c>
    </row>
  </sheetData>
  <mergeCells count="49">
    <mergeCell ref="AO1:AO3"/>
    <mergeCell ref="C1:C3"/>
    <mergeCell ref="T4:T5"/>
    <mergeCell ref="U4:U5"/>
    <mergeCell ref="V4:V5"/>
    <mergeCell ref="A1:A3"/>
    <mergeCell ref="B1:B3"/>
    <mergeCell ref="D1:D3"/>
    <mergeCell ref="E2:E3"/>
    <mergeCell ref="F2:F3"/>
    <mergeCell ref="G2:G3"/>
    <mergeCell ref="H2:H3"/>
    <mergeCell ref="I2:I3"/>
    <mergeCell ref="E1:P1"/>
    <mergeCell ref="J2:J3"/>
    <mergeCell ref="K2:K3"/>
    <mergeCell ref="L2:L3"/>
    <mergeCell ref="M2:M3"/>
    <mergeCell ref="N2:N3"/>
    <mergeCell ref="O2:O3"/>
    <mergeCell ref="P2:P3"/>
    <mergeCell ref="Q2:S2"/>
    <mergeCell ref="T2:V2"/>
    <mergeCell ref="AD4:AD9"/>
    <mergeCell ref="AE4:AE9"/>
    <mergeCell ref="W2:Y2"/>
    <mergeCell ref="W4:W5"/>
    <mergeCell ref="X4:X5"/>
    <mergeCell ref="Y4:Y5"/>
    <mergeCell ref="Z2:AB2"/>
    <mergeCell ref="Z4:Z8"/>
    <mergeCell ref="AA4:AA8"/>
    <mergeCell ref="AB4:AB8"/>
    <mergeCell ref="Q1:AN1"/>
    <mergeCell ref="G11:I11"/>
    <mergeCell ref="AI4:AI11"/>
    <mergeCell ref="AJ4:AJ11"/>
    <mergeCell ref="AK4:AK11"/>
    <mergeCell ref="AL4:AL11"/>
    <mergeCell ref="AM4:AM11"/>
    <mergeCell ref="AF2:AH2"/>
    <mergeCell ref="AF4:AF9"/>
    <mergeCell ref="AG4:AG9"/>
    <mergeCell ref="AH4:AH9"/>
    <mergeCell ref="AI2:AK2"/>
    <mergeCell ref="AL2:AN2"/>
    <mergeCell ref="AN4:AN11"/>
    <mergeCell ref="AC2:AE2"/>
    <mergeCell ref="AC4:AC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47EBF53701AE4DB4131FC12CF7C60B" ma:contentTypeVersion="14" ma:contentTypeDescription="Create a new document." ma:contentTypeScope="" ma:versionID="d80aa012e75b88a4db722abfcfba7f57">
  <xsd:schema xmlns:xsd="http://www.w3.org/2001/XMLSchema" xmlns:xs="http://www.w3.org/2001/XMLSchema" xmlns:p="http://schemas.microsoft.com/office/2006/metadata/properties" xmlns:ns2="30244633-fe53-457c-bf4a-663379417716" xmlns:ns3="3398f5b3-d997-4a50-a652-14898b611e26" targetNamespace="http://schemas.microsoft.com/office/2006/metadata/properties" ma:root="true" ma:fieldsID="3971fb8ed75c69c40d6d28042865da38" ns2:_="" ns3:_="">
    <xsd:import namespace="30244633-fe53-457c-bf4a-663379417716"/>
    <xsd:import namespace="3398f5b3-d997-4a50-a652-14898b61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44633-fe53-457c-bf4a-663379417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8f5b3-d997-4a50-a652-14898b611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c6c3e78-916c-499e-bf1e-b4f14d2382af}" ma:internalName="TaxCatchAll" ma:showField="CatchAllData" ma:web="3398f5b3-d997-4a50-a652-14898b61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3B4C2-35EF-48B2-A7E8-B010B133D301}"/>
</file>

<file path=customXml/itemProps2.xml><?xml version="1.0" encoding="utf-8"?>
<ds:datastoreItem xmlns:ds="http://schemas.openxmlformats.org/officeDocument/2006/customXml" ds:itemID="{5B72892B-DBB6-48F6-960E-CECD3A45D7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(with VAT)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Trung Hieu</dc:creator>
  <cp:lastModifiedBy>Pham Trung Hieu</cp:lastModifiedBy>
  <dcterms:created xsi:type="dcterms:W3CDTF">2023-12-25T14:51:09Z</dcterms:created>
  <dcterms:modified xsi:type="dcterms:W3CDTF">2024-01-19T06:49:26Z</dcterms:modified>
</cp:coreProperties>
</file>