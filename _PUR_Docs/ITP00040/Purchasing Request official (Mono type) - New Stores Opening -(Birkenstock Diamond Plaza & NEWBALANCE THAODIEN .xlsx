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03"/>
  <workbookPr filterPrivacy="1" defaultThemeVersion="124226"/>
  <xr:revisionPtr revIDLastSave="20" documentId="13_ncr:1_{19BF7381-BA64-46E1-A2E6-D392BBC22D9D}" xr6:coauthVersionLast="47" xr6:coauthVersionMax="47" xr10:uidLastSave="{9D4DA8A5-C58A-4B4C-B755-0F5342AB1B9E}"/>
  <bookViews>
    <workbookView xWindow="-20610" yWindow="-120" windowWidth="19710" windowHeight="11760" xr2:uid="{00000000-000D-0000-FFFF-FFFF00000000}"/>
  </bookViews>
  <sheets>
    <sheet name="Phiếu yêu cầu mua hàng hóa,...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3" l="1"/>
  <c r="P13" i="3"/>
  <c r="P12" i="3"/>
  <c r="N12" i="3"/>
  <c r="A13" i="3"/>
  <c r="A14" i="3" s="1"/>
  <c r="P17" i="3" l="1"/>
  <c r="A15" i="3"/>
  <c r="A16" i="3" s="1"/>
</calcChain>
</file>

<file path=xl/sharedStrings.xml><?xml version="1.0" encoding="utf-8"?>
<sst xmlns="http://schemas.openxmlformats.org/spreadsheetml/2006/main" count="64" uniqueCount="61">
  <si>
    <r>
      <t xml:space="preserve">PURCHASING REQUEST
</t>
    </r>
    <r>
      <rPr>
        <b/>
        <i/>
        <sz val="18"/>
        <rFont val="Times New Roman"/>
        <family val="1"/>
      </rPr>
      <t>PHIẾU YÊU CẦU MUA HÀNG HÓA, THIẾT BỊ, VẬT TƯ</t>
    </r>
  </si>
  <si>
    <t>MAGNA MANAGEMENT ASIA CO.,LTD (MMA)</t>
  </si>
  <si>
    <r>
      <t xml:space="preserve">Request Date / </t>
    </r>
    <r>
      <rPr>
        <i/>
        <sz val="12"/>
        <rFont val="Times New Roman"/>
        <family val="1"/>
      </rPr>
      <t>Ngày Yêu Cầu</t>
    </r>
    <r>
      <rPr>
        <sz val="12"/>
        <rFont val="Times New Roman"/>
        <family val="1"/>
      </rPr>
      <t>:</t>
    </r>
  </si>
  <si>
    <t>30/Nov/2023</t>
  </si>
  <si>
    <t>Unit 14-02 - Floor 14th - Lottery Tower</t>
  </si>
  <si>
    <r>
      <t xml:space="preserve">Requested By / </t>
    </r>
    <r>
      <rPr>
        <i/>
        <sz val="12"/>
        <rFont val="Times New Roman"/>
        <family val="1"/>
      </rPr>
      <t>Người Yêu Cầu</t>
    </r>
    <r>
      <rPr>
        <sz val="12"/>
        <rFont val="Times New Roman"/>
        <family val="1"/>
      </rPr>
      <t>:</t>
    </r>
  </si>
  <si>
    <t>TRAN QUOC DAT</t>
  </si>
  <si>
    <t xml:space="preserve"> 77 Tran Nhan Ton - Ward 9 - Dist. 5 - Ho Chi Minh City</t>
  </si>
  <si>
    <r>
      <t xml:space="preserve">Designation / </t>
    </r>
    <r>
      <rPr>
        <i/>
        <sz val="12"/>
        <rFont val="Times New Roman"/>
        <family val="1"/>
      </rPr>
      <t>Chức Vụ</t>
    </r>
    <r>
      <rPr>
        <i/>
        <sz val="12"/>
        <rFont val="Times New Roman"/>
        <family val="1"/>
      </rPr>
      <t xml:space="preserve">: </t>
    </r>
  </si>
  <si>
    <t>IT Supervisor &amp; Operation Supervisor</t>
  </si>
  <si>
    <t>Tax Code : 0314853023</t>
  </si>
  <si>
    <r>
      <t xml:space="preserve">Currency / </t>
    </r>
    <r>
      <rPr>
        <i/>
        <sz val="12"/>
        <rFont val="Times New Roman"/>
        <family val="1"/>
      </rPr>
      <t>Ngoại Tệ : VND</t>
    </r>
  </si>
  <si>
    <r>
      <t xml:space="preserve">No.
</t>
    </r>
    <r>
      <rPr>
        <b/>
        <i/>
        <sz val="12"/>
        <rFont val="Times New Roman"/>
        <family val="1"/>
      </rPr>
      <t>Stt</t>
    </r>
  </si>
  <si>
    <t xml:space="preserve"> Description</t>
  </si>
  <si>
    <t xml:space="preserve">Cost center </t>
  </si>
  <si>
    <t>Code</t>
  </si>
  <si>
    <t>Specific</t>
  </si>
  <si>
    <t>Unit</t>
  </si>
  <si>
    <t xml:space="preserve">Stock </t>
  </si>
  <si>
    <t>Request</t>
  </si>
  <si>
    <t>Request of delivery date</t>
  </si>
  <si>
    <t xml:space="preserve">Purpose </t>
  </si>
  <si>
    <t xml:space="preserve">Dự toán/Budget   </t>
  </si>
  <si>
    <t>Unit price</t>
  </si>
  <si>
    <t>VAT</t>
  </si>
  <si>
    <t xml:space="preserve">Total  </t>
  </si>
  <si>
    <t>Diễn Giải</t>
  </si>
  <si>
    <t>Mã đơn vị</t>
  </si>
  <si>
    <t>Mã vật tư</t>
  </si>
  <si>
    <t xml:space="preserve">Yêu cầu cụ thể của thiết bị </t>
  </si>
  <si>
    <t>ĐVT</t>
  </si>
  <si>
    <t>Số lượng tồn</t>
  </si>
  <si>
    <t>Số lượng yêu cầu</t>
  </si>
  <si>
    <t xml:space="preserve">Ngày phải giao hàng </t>
  </si>
  <si>
    <t>Mục đích sử dụng</t>
  </si>
  <si>
    <t xml:space="preserve"> Đơn giá (VND)</t>
  </si>
  <si>
    <t xml:space="preserve"> Thành tiền (VND)</t>
  </si>
  <si>
    <t>Ổ cắm LiOA 10 ổ cắm ('10-outlet LiOA socket)</t>
  </si>
  <si>
    <t>cái</t>
  </si>
  <si>
    <t>mua cho store : 
1.Birkenstock Diamond Plaza
2.New Balance Thao Dien</t>
  </si>
  <si>
    <t>Thiết bị chia mạng Cisco CBS110-16T-EU +HP Desktop Mini Chassis Tower Stand (chân đế gắn MiniPC)
Cisco CBS110-16T-EU network switch +HP Desktop Mini Chassis Tower Stand (MiniPC mounting base)</t>
  </si>
  <si>
    <t xml:space="preserve">cái </t>
  </si>
  <si>
    <t>USB HUB 4 PORT 3.0</t>
  </si>
  <si>
    <r>
      <t>Tổng Cộng/</t>
    </r>
    <r>
      <rPr>
        <b/>
        <i/>
        <sz val="12"/>
        <rFont val="Times New Roman"/>
        <family val="1"/>
      </rPr>
      <t xml:space="preserve">Total </t>
    </r>
    <r>
      <rPr>
        <b/>
        <sz val="12"/>
        <rFont val="Times New Roman"/>
        <family val="1"/>
      </rPr>
      <t>:</t>
    </r>
  </si>
  <si>
    <t>VND</t>
  </si>
  <si>
    <r>
      <t xml:space="preserve"> Bằng Chữ</t>
    </r>
    <r>
      <rPr>
        <i/>
        <sz val="12"/>
        <rFont val="Times New Roman"/>
        <family val="1"/>
      </rPr>
      <t>/In Words</t>
    </r>
    <r>
      <rPr>
        <sz val="12"/>
        <rFont val="Times New Roman"/>
        <family val="1"/>
      </rPr>
      <t xml:space="preserve"> :</t>
    </r>
  </si>
  <si>
    <t>Requester</t>
  </si>
  <si>
    <t>Line Manager</t>
  </si>
  <si>
    <t>Procurement Dept</t>
  </si>
  <si>
    <t>Finance - General Manager</t>
  </si>
  <si>
    <t>Country Manager</t>
  </si>
  <si>
    <t xml:space="preserve">Người Yêu Cầu </t>
  </si>
  <si>
    <t>Trưởng Bộ Phận</t>
  </si>
  <si>
    <t>Ban VPP</t>
  </si>
  <si>
    <t>Giám Đốc Tài  Chính</t>
  </si>
  <si>
    <t>Giám Đốc Vùng</t>
  </si>
  <si>
    <t>TRAN QUOC  DAT</t>
  </si>
  <si>
    <t>PHAM TRUNG HIEU</t>
  </si>
  <si>
    <t>Ms. Ni</t>
  </si>
  <si>
    <t>Ms. Phuong Uyen</t>
  </si>
  <si>
    <t>Mr. Darryl Peacock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</si>
</sst>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VNI-Times"/>
    </font>
    <font>
      <sz val="12"/>
      <name val="Times New Roman"/>
      <family val="1"/>
    </font>
    <font>
      <b/>
      <sz val="18"/>
      <name val="Times New Roman"/>
      <family val="1"/>
    </font>
    <font>
      <b/>
      <i/>
      <sz val="18"/>
      <name val="Times New Roman"/>
      <family val="1"/>
    </font>
    <font>
      <sz val="11"/>
      <color indexed="8"/>
      <name val="Calibri"/>
      <family val="2"/>
    </font>
    <font>
      <b/>
      <sz val="12"/>
      <color indexed="8"/>
      <name val="Times New Roman"/>
      <family val="1"/>
    </font>
    <font>
      <i/>
      <sz val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i/>
      <sz val="12"/>
      <name val="Times New Roman"/>
      <family val="1"/>
    </font>
    <font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sz val="8"/>
      <name val="Calibri"/>
      <family val="2"/>
      <scheme val="minor"/>
    </font>
    <font>
      <sz val="12.5"/>
      <name val="Times New Roman"/>
      <family val="1"/>
      <charset val="163"/>
    </font>
    <font>
      <sz val="12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8" fillId="0" borderId="0"/>
    <xf numFmtId="43" fontId="8" fillId="0" borderId="0" applyFont="0" applyFill="0" applyBorder="0" applyAlignment="0" applyProtection="0"/>
    <xf numFmtId="0" fontId="2" fillId="0" borderId="0"/>
  </cellStyleXfs>
  <cellXfs count="125">
    <xf numFmtId="0" fontId="0" fillId="0" borderId="0" xfId="0"/>
    <xf numFmtId="0" fontId="3" fillId="0" borderId="0" xfId="1" applyFont="1"/>
    <xf numFmtId="0" fontId="5" fillId="0" borderId="0" xfId="2" applyFont="1"/>
    <xf numFmtId="0" fontId="8" fillId="0" borderId="0" xfId="3"/>
    <xf numFmtId="0" fontId="3" fillId="0" borderId="0" xfId="2" applyFont="1"/>
    <xf numFmtId="0" fontId="11" fillId="0" borderId="0" xfId="3" applyFont="1"/>
    <xf numFmtId="0" fontId="12" fillId="0" borderId="0" xfId="3" applyFont="1"/>
    <xf numFmtId="164" fontId="5" fillId="0" borderId="0" xfId="4" applyNumberFormat="1" applyFont="1" applyAlignment="1"/>
    <xf numFmtId="164" fontId="5" fillId="0" borderId="0" xfId="4" applyNumberFormat="1" applyFont="1" applyAlignment="1">
      <alignment horizontal="right"/>
    </xf>
    <xf numFmtId="0" fontId="3" fillId="0" borderId="1" xfId="2" applyFont="1" applyBorder="1" applyAlignment="1">
      <alignment horizontal="center" wrapText="1"/>
    </xf>
    <xf numFmtId="0" fontId="5" fillId="0" borderId="0" xfId="2" applyFont="1" applyAlignment="1">
      <alignment horizontal="center"/>
    </xf>
    <xf numFmtId="164" fontId="3" fillId="0" borderId="1" xfId="4" applyNumberFormat="1" applyFont="1" applyBorder="1" applyAlignment="1">
      <alignment horizontal="right"/>
    </xf>
    <xf numFmtId="164" fontId="3" fillId="0" borderId="1" xfId="4" applyNumberFormat="1" applyFont="1" applyFill="1" applyBorder="1" applyAlignment="1">
      <alignment horizontal="right"/>
    </xf>
    <xf numFmtId="164" fontId="3" fillId="0" borderId="1" xfId="4" applyNumberFormat="1" applyFont="1" applyBorder="1" applyAlignment="1"/>
    <xf numFmtId="164" fontId="5" fillId="0" borderId="0" xfId="4" applyNumberFormat="1" applyFont="1" applyBorder="1" applyAlignment="1">
      <alignment horizontal="center"/>
    </xf>
    <xf numFmtId="164" fontId="3" fillId="0" borderId="0" xfId="4" applyNumberFormat="1" applyFont="1" applyBorder="1" applyAlignment="1"/>
    <xf numFmtId="164" fontId="5" fillId="0" borderId="13" xfId="3" applyNumberFormat="1" applyFont="1" applyBorder="1"/>
    <xf numFmtId="0" fontId="5" fillId="0" borderId="13" xfId="2" applyFont="1" applyBorder="1"/>
    <xf numFmtId="164" fontId="5" fillId="0" borderId="13" xfId="4" applyNumberFormat="1" applyFont="1" applyBorder="1" applyAlignment="1"/>
    <xf numFmtId="164" fontId="5" fillId="0" borderId="13" xfId="4" applyNumberFormat="1" applyFont="1" applyBorder="1" applyAlignment="1">
      <alignment horizontal="right"/>
    </xf>
    <xf numFmtId="164" fontId="5" fillId="0" borderId="0" xfId="4" applyNumberFormat="1" applyFont="1" applyBorder="1" applyAlignment="1"/>
    <xf numFmtId="164" fontId="5" fillId="0" borderId="0" xfId="4" applyNumberFormat="1" applyFont="1" applyBorder="1" applyAlignment="1">
      <alignment horizontal="right"/>
    </xf>
    <xf numFmtId="0" fontId="13" fillId="0" borderId="15" xfId="2" applyFont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9" fontId="16" fillId="0" borderId="15" xfId="2" applyNumberFormat="1" applyFont="1" applyBorder="1" applyAlignment="1">
      <alignment horizontal="center" vertical="top"/>
    </xf>
    <xf numFmtId="0" fontId="13" fillId="0" borderId="23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17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5" fillId="0" borderId="1" xfId="4" applyNumberFormat="1" applyFont="1" applyBorder="1" applyAlignment="1">
      <alignment vertical="center"/>
    </xf>
    <xf numFmtId="164" fontId="5" fillId="0" borderId="1" xfId="4" applyNumberFormat="1" applyFont="1" applyBorder="1" applyAlignment="1">
      <alignment vertical="center" wrapText="1"/>
    </xf>
    <xf numFmtId="164" fontId="5" fillId="0" borderId="1" xfId="4" applyNumberFormat="1" applyFont="1" applyBorder="1" applyAlignment="1">
      <alignment horizontal="right" vertical="center"/>
    </xf>
    <xf numFmtId="164" fontId="5" fillId="0" borderId="1" xfId="4" applyNumberFormat="1" applyFont="1" applyFill="1" applyBorder="1" applyAlignment="1">
      <alignment vertical="center"/>
    </xf>
    <xf numFmtId="17" fontId="5" fillId="0" borderId="1" xfId="3" applyNumberFormat="1" applyFont="1" applyBorder="1" applyAlignment="1">
      <alignment horizontal="left" vertical="center" wrapText="1"/>
    </xf>
    <xf numFmtId="49" fontId="5" fillId="0" borderId="1" xfId="4" applyNumberFormat="1" applyFont="1" applyBorder="1" applyAlignment="1">
      <alignment horizontal="center" vertical="center"/>
    </xf>
    <xf numFmtId="164" fontId="5" fillId="0" borderId="0" xfId="4" applyNumberFormat="1" applyFont="1" applyBorder="1" applyAlignment="1">
      <alignment vertical="center" wrapText="1"/>
    </xf>
    <xf numFmtId="3" fontId="18" fillId="3" borderId="1" xfId="5" applyNumberFormat="1" applyFont="1" applyFill="1" applyBorder="1" applyAlignment="1" applyProtection="1">
      <alignment horizontal="center" vertical="center" wrapText="1"/>
      <protection hidden="1"/>
    </xf>
    <xf numFmtId="3" fontId="19" fillId="3" borderId="1" xfId="0" applyNumberFormat="1" applyFont="1" applyFill="1" applyBorder="1" applyAlignment="1">
      <alignment horizontal="right" vertical="center"/>
    </xf>
    <xf numFmtId="3" fontId="19" fillId="3" borderId="1" xfId="0" applyNumberFormat="1" applyFont="1" applyFill="1" applyBorder="1" applyAlignment="1">
      <alignment horizontal="center" vertical="center" wrapText="1"/>
    </xf>
    <xf numFmtId="164" fontId="5" fillId="0" borderId="1" xfId="4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1" xfId="2" quotePrefix="1" applyFont="1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/>
    </xf>
    <xf numFmtId="17" fontId="5" fillId="0" borderId="1" xfId="3" applyNumberFormat="1" applyFont="1" applyBorder="1" applyAlignment="1">
      <alignment horizontal="left" vertical="center" wrapText="1"/>
    </xf>
    <xf numFmtId="164" fontId="3" fillId="0" borderId="1" xfId="4" applyNumberFormat="1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13" fillId="0" borderId="2" xfId="2" applyFont="1" applyBorder="1" applyAlignment="1">
      <alignment horizontal="center"/>
    </xf>
    <xf numFmtId="0" fontId="13" fillId="0" borderId="4" xfId="2" applyFont="1" applyBorder="1" applyAlignment="1">
      <alignment horizontal="center"/>
    </xf>
    <xf numFmtId="0" fontId="13" fillId="0" borderId="3" xfId="2" applyFont="1" applyBorder="1" applyAlignment="1">
      <alignment horizontal="center"/>
    </xf>
    <xf numFmtId="164" fontId="3" fillId="0" borderId="2" xfId="4" applyNumberFormat="1" applyFont="1" applyBorder="1" applyAlignment="1">
      <alignment horizontal="right"/>
    </xf>
    <xf numFmtId="164" fontId="3" fillId="0" borderId="4" xfId="4" applyNumberFormat="1" applyFont="1" applyBorder="1" applyAlignment="1">
      <alignment horizontal="right"/>
    </xf>
    <xf numFmtId="164" fontId="3" fillId="0" borderId="3" xfId="4" applyNumberFormat="1" applyFont="1" applyBorder="1" applyAlignment="1">
      <alignment horizontal="right"/>
    </xf>
    <xf numFmtId="0" fontId="3" fillId="0" borderId="2" xfId="2" applyFont="1" applyBorder="1" applyAlignment="1">
      <alignment horizontal="right"/>
    </xf>
    <xf numFmtId="0" fontId="3" fillId="0" borderId="4" xfId="2" applyFont="1" applyBorder="1" applyAlignment="1">
      <alignment horizontal="right"/>
    </xf>
    <xf numFmtId="0" fontId="3" fillId="0" borderId="13" xfId="2" applyFont="1" applyBorder="1" applyAlignment="1">
      <alignment horizontal="right"/>
    </xf>
    <xf numFmtId="0" fontId="3" fillId="0" borderId="3" xfId="2" applyFont="1" applyBorder="1" applyAlignment="1">
      <alignment horizontal="right"/>
    </xf>
    <xf numFmtId="0" fontId="13" fillId="0" borderId="1" xfId="2" applyFont="1" applyBorder="1" applyAlignment="1">
      <alignment horizontal="center"/>
    </xf>
    <xf numFmtId="0" fontId="5" fillId="0" borderId="24" xfId="2" applyFont="1" applyBorder="1" applyAlignment="1">
      <alignment horizontal="center"/>
    </xf>
    <xf numFmtId="0" fontId="5" fillId="0" borderId="5" xfId="2" applyFont="1" applyBorder="1" applyAlignment="1">
      <alignment horizontal="center"/>
    </xf>
    <xf numFmtId="0" fontId="5" fillId="0" borderId="25" xfId="2" applyFont="1" applyBorder="1" applyAlignment="1">
      <alignment horizontal="center"/>
    </xf>
    <xf numFmtId="0" fontId="5" fillId="0" borderId="18" xfId="2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5" fillId="0" borderId="19" xfId="2" applyFont="1" applyBorder="1" applyAlignment="1">
      <alignment horizontal="center"/>
    </xf>
    <xf numFmtId="0" fontId="5" fillId="0" borderId="21" xfId="2" applyFont="1" applyBorder="1" applyAlignment="1">
      <alignment horizontal="center"/>
    </xf>
    <xf numFmtId="0" fontId="5" fillId="0" borderId="7" xfId="2" applyFont="1" applyBorder="1" applyAlignment="1">
      <alignment horizontal="center"/>
    </xf>
    <xf numFmtId="0" fontId="5" fillId="0" borderId="20" xfId="2" applyFont="1" applyBorder="1" applyAlignment="1">
      <alignment horizontal="center"/>
    </xf>
    <xf numFmtId="164" fontId="5" fillId="0" borderId="24" xfId="4" applyNumberFormat="1" applyFont="1" applyBorder="1" applyAlignment="1">
      <alignment horizontal="center"/>
    </xf>
    <xf numFmtId="164" fontId="5" fillId="0" borderId="25" xfId="4" applyNumberFormat="1" applyFont="1" applyBorder="1" applyAlignment="1">
      <alignment horizontal="center"/>
    </xf>
    <xf numFmtId="164" fontId="5" fillId="0" borderId="18" xfId="4" applyNumberFormat="1" applyFont="1" applyBorder="1" applyAlignment="1">
      <alignment horizontal="center"/>
    </xf>
    <xf numFmtId="164" fontId="5" fillId="0" borderId="19" xfId="4" applyNumberFormat="1" applyFont="1" applyBorder="1" applyAlignment="1">
      <alignment horizontal="center"/>
    </xf>
    <xf numFmtId="164" fontId="5" fillId="0" borderId="21" xfId="4" applyNumberFormat="1" applyFont="1" applyBorder="1" applyAlignment="1">
      <alignment horizontal="center"/>
    </xf>
    <xf numFmtId="164" fontId="5" fillId="0" borderId="20" xfId="4" applyNumberFormat="1" applyFont="1" applyBorder="1" applyAlignment="1">
      <alignment horizontal="center"/>
    </xf>
    <xf numFmtId="164" fontId="13" fillId="0" borderId="1" xfId="4" applyNumberFormat="1" applyFont="1" applyBorder="1" applyAlignment="1">
      <alignment horizontal="center"/>
    </xf>
    <xf numFmtId="164" fontId="1" fillId="0" borderId="2" xfId="2" applyNumberFormat="1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164" fontId="3" fillId="0" borderId="2" xfId="4" applyNumberFormat="1" applyFont="1" applyBorder="1" applyAlignment="1">
      <alignment horizontal="center" vertical="center"/>
    </xf>
    <xf numFmtId="164" fontId="3" fillId="0" borderId="4" xfId="4" applyNumberFormat="1" applyFont="1" applyBorder="1" applyAlignment="1">
      <alignment horizontal="center" vertical="center"/>
    </xf>
    <xf numFmtId="164" fontId="3" fillId="0" borderId="3" xfId="4" applyNumberFormat="1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5" fillId="0" borderId="23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5" fillId="0" borderId="9" xfId="2" applyFont="1" applyBorder="1" applyAlignment="1">
      <alignment horizontal="center"/>
    </xf>
    <xf numFmtId="0" fontId="5" fillId="0" borderId="10" xfId="2" applyFont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5" fillId="0" borderId="14" xfId="2" applyFont="1" applyBorder="1" applyAlignment="1">
      <alignment horizontal="center"/>
    </xf>
    <xf numFmtId="164" fontId="1" fillId="0" borderId="4" xfId="2" applyNumberFormat="1" applyFont="1" applyBorder="1" applyAlignment="1">
      <alignment horizontal="center" vertical="center"/>
    </xf>
    <xf numFmtId="164" fontId="1" fillId="0" borderId="3" xfId="2" applyNumberFormat="1" applyFont="1" applyBorder="1" applyAlignment="1">
      <alignment horizontal="center" vertical="center"/>
    </xf>
    <xf numFmtId="0" fontId="5" fillId="0" borderId="0" xfId="1" applyFont="1" applyAlignment="1">
      <alignment horizontal="right"/>
    </xf>
    <xf numFmtId="0" fontId="5" fillId="0" borderId="6" xfId="1" applyFont="1" applyBorder="1" applyAlignment="1">
      <alignment horizontal="center"/>
    </xf>
    <xf numFmtId="0" fontId="3" fillId="0" borderId="1" xfId="2" applyFont="1" applyBorder="1" applyAlignment="1">
      <alignment horizont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14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0" borderId="11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14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6" fillId="0" borderId="0" xfId="2" applyFont="1" applyAlignment="1">
      <alignment horizontal="left" wrapText="1"/>
    </xf>
    <xf numFmtId="0" fontId="9" fillId="0" borderId="0" xfId="0" applyFont="1" applyAlignment="1">
      <alignment horizontal="left"/>
    </xf>
    <xf numFmtId="0" fontId="5" fillId="0" borderId="0" xfId="2" applyFont="1" applyAlignment="1">
      <alignment horizontal="right"/>
    </xf>
    <xf numFmtId="14" fontId="14" fillId="0" borderId="5" xfId="2" quotePrefix="1" applyNumberFormat="1" applyFont="1" applyBorder="1" applyAlignment="1">
      <alignment horizontal="center"/>
    </xf>
    <xf numFmtId="14" fontId="14" fillId="0" borderId="5" xfId="2" applyNumberFormat="1" applyFont="1" applyBorder="1" applyAlignment="1">
      <alignment horizontal="center"/>
    </xf>
    <xf numFmtId="164" fontId="5" fillId="0" borderId="6" xfId="4" applyNumberFormat="1" applyFont="1" applyBorder="1" applyAlignment="1">
      <alignment horizontal="center"/>
    </xf>
  </cellXfs>
  <cellStyles count="6">
    <cellStyle name="Comma 2" xfId="4" xr:uid="{00000000-0005-0000-0000-000000000000}"/>
    <cellStyle name="Normal" xfId="0" builtinId="0"/>
    <cellStyle name="Normal 2" xfId="3" xr:uid="{00000000-0005-0000-0000-000003000000}"/>
    <cellStyle name="Normal 2 2" xfId="5" xr:uid="{1AC111F1-020C-4D1B-8DAE-9F16FBABBAA3}"/>
    <cellStyle name="Normal_Form Request Nga (2)" xfId="2" xr:uid="{00000000-0005-0000-0000-000004000000}"/>
    <cellStyle name="Normal_Invoice format" xfId="1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1457587</xdr:colOff>
      <xdr:row>3</xdr:row>
      <xdr:rowOff>169090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444D0-CBB1-4EF3-83FD-D4AD47742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1977247" cy="1137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2"/>
  <sheetViews>
    <sheetView tabSelected="1" topLeftCell="A4" zoomScale="70" zoomScaleNormal="70" workbookViewId="0">
      <selection activeCell="E11" sqref="E11"/>
    </sheetView>
  </sheetViews>
  <sheetFormatPr defaultColWidth="9.140625" defaultRowHeight="15.6"/>
  <cols>
    <col min="1" max="1" width="7.5703125" style="2" customWidth="1"/>
    <col min="2" max="2" width="37.28515625" style="2" customWidth="1"/>
    <col min="3" max="3" width="21.28515625" style="2" customWidth="1"/>
    <col min="4" max="4" width="8.28515625" style="2" customWidth="1"/>
    <col min="5" max="5" width="12.85546875" style="2" bestFit="1" customWidth="1"/>
    <col min="6" max="6" width="12.5703125" style="2" customWidth="1"/>
    <col min="7" max="7" width="13.5703125" style="2" customWidth="1"/>
    <col min="8" max="8" width="21.7109375" style="2" customWidth="1"/>
    <col min="9" max="9" width="11.28515625" style="2" customWidth="1"/>
    <col min="10" max="10" width="11.85546875" style="2" customWidth="1"/>
    <col min="11" max="11" width="14.7109375" style="2" customWidth="1"/>
    <col min="12" max="12" width="20.85546875" style="2" customWidth="1"/>
    <col min="13" max="13" width="18.85546875" style="7" customWidth="1"/>
    <col min="14" max="14" width="0.140625" style="7" customWidth="1"/>
    <col min="15" max="15" width="19.28515625" style="8" customWidth="1"/>
    <col min="16" max="16" width="38.7109375" style="7" customWidth="1"/>
    <col min="17" max="18" width="9.140625" style="2"/>
    <col min="19" max="19" width="16.85546875" style="2" bestFit="1" customWidth="1"/>
    <col min="20" max="16384" width="9.140625" style="2"/>
  </cols>
  <sheetData>
    <row r="1" spans="1:17" ht="25.5" customHeight="1">
      <c r="A1" s="1"/>
      <c r="D1" s="119" t="s">
        <v>0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7" ht="25.5" customHeight="1">
      <c r="A2" s="1"/>
      <c r="C2" s="3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</row>
    <row r="3" spans="1:17" ht="25.5" customHeight="1">
      <c r="A3" s="1"/>
      <c r="B3" s="4"/>
      <c r="C3" s="3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</row>
    <row r="4" spans="1:17" ht="25.5" customHeight="1">
      <c r="A4" s="120" t="s">
        <v>1</v>
      </c>
      <c r="B4" s="120"/>
      <c r="C4" s="120"/>
      <c r="D4" s="121" t="s">
        <v>2</v>
      </c>
      <c r="E4" s="121"/>
      <c r="F4" s="121"/>
      <c r="G4" s="121"/>
      <c r="H4" s="121"/>
      <c r="I4" s="121"/>
      <c r="J4" s="121"/>
      <c r="K4" s="121"/>
      <c r="L4" s="121"/>
      <c r="M4" s="121"/>
      <c r="N4" s="122" t="s">
        <v>3</v>
      </c>
      <c r="O4" s="123"/>
      <c r="P4" s="123"/>
    </row>
    <row r="5" spans="1:17" ht="25.5" customHeight="1">
      <c r="A5" s="5" t="s">
        <v>4</v>
      </c>
      <c r="B5" s="6"/>
      <c r="C5" s="6"/>
      <c r="D5" s="121" t="s">
        <v>5</v>
      </c>
      <c r="E5" s="121"/>
      <c r="F5" s="121"/>
      <c r="G5" s="121"/>
      <c r="H5" s="121"/>
      <c r="I5" s="121"/>
      <c r="J5" s="121"/>
      <c r="K5" s="121"/>
      <c r="L5" s="121"/>
      <c r="M5" s="121"/>
      <c r="N5" s="124" t="s">
        <v>6</v>
      </c>
      <c r="O5" s="124"/>
      <c r="P5" s="124"/>
    </row>
    <row r="6" spans="1:17" ht="25.5" customHeight="1">
      <c r="A6" s="5" t="s">
        <v>7</v>
      </c>
      <c r="B6" s="6"/>
      <c r="C6" s="6"/>
      <c r="D6" s="96" t="s">
        <v>8</v>
      </c>
      <c r="E6" s="96"/>
      <c r="F6" s="96"/>
      <c r="G6" s="96"/>
      <c r="H6" s="96"/>
      <c r="I6" s="96"/>
      <c r="J6" s="96"/>
      <c r="K6" s="96"/>
      <c r="L6" s="96"/>
      <c r="M6" s="96"/>
      <c r="N6" s="97" t="s">
        <v>9</v>
      </c>
      <c r="O6" s="97"/>
      <c r="P6" s="97"/>
    </row>
    <row r="7" spans="1:17" ht="25.5" customHeight="1">
      <c r="A7" s="5" t="s">
        <v>10</v>
      </c>
      <c r="B7" s="6"/>
      <c r="C7" s="6"/>
      <c r="O7" s="68" t="s">
        <v>11</v>
      </c>
      <c r="P7" s="68"/>
    </row>
    <row r="8" spans="1:17" ht="17.25" customHeight="1">
      <c r="A8" s="3"/>
      <c r="P8" s="8"/>
    </row>
    <row r="9" spans="1:17" s="10" customFormat="1" ht="24" customHeight="1">
      <c r="A9" s="106" t="s">
        <v>12</v>
      </c>
      <c r="B9" s="108" t="s">
        <v>13</v>
      </c>
      <c r="C9" s="109"/>
      <c r="D9" s="110"/>
      <c r="E9" s="104" t="s">
        <v>14</v>
      </c>
      <c r="F9" s="117" t="s">
        <v>15</v>
      </c>
      <c r="G9" s="104" t="s">
        <v>16</v>
      </c>
      <c r="H9" s="104" t="s">
        <v>17</v>
      </c>
      <c r="I9" s="104" t="s">
        <v>18</v>
      </c>
      <c r="J9" s="106" t="s">
        <v>19</v>
      </c>
      <c r="K9" s="106" t="s">
        <v>20</v>
      </c>
      <c r="L9" s="104" t="s">
        <v>21</v>
      </c>
      <c r="M9" s="101" t="s">
        <v>22</v>
      </c>
      <c r="N9" s="102"/>
      <c r="O9" s="102"/>
      <c r="P9" s="103"/>
      <c r="Q9" s="2"/>
    </row>
    <row r="10" spans="1:17" s="10" customFormat="1" ht="36.6" customHeight="1">
      <c r="A10" s="106"/>
      <c r="B10" s="111"/>
      <c r="C10" s="112"/>
      <c r="D10" s="113"/>
      <c r="E10" s="105"/>
      <c r="F10" s="118"/>
      <c r="G10" s="105"/>
      <c r="H10" s="105"/>
      <c r="I10" s="105"/>
      <c r="J10" s="106"/>
      <c r="K10" s="106"/>
      <c r="L10" s="105"/>
      <c r="M10" s="98" t="s">
        <v>23</v>
      </c>
      <c r="N10" s="98"/>
      <c r="O10" s="9" t="s">
        <v>24</v>
      </c>
      <c r="P10" s="9" t="s">
        <v>25</v>
      </c>
      <c r="Q10" s="2"/>
    </row>
    <row r="11" spans="1:17" s="10" customFormat="1" ht="49.5" customHeight="1">
      <c r="A11" s="107"/>
      <c r="B11" s="114" t="s">
        <v>26</v>
      </c>
      <c r="C11" s="115"/>
      <c r="D11" s="116"/>
      <c r="E11" s="22" t="s">
        <v>27</v>
      </c>
      <c r="F11" s="23" t="s">
        <v>28</v>
      </c>
      <c r="G11" s="22" t="s">
        <v>29</v>
      </c>
      <c r="H11" s="22" t="s">
        <v>30</v>
      </c>
      <c r="I11" s="22" t="s">
        <v>31</v>
      </c>
      <c r="J11" s="22" t="s">
        <v>32</v>
      </c>
      <c r="K11" s="22" t="s">
        <v>33</v>
      </c>
      <c r="L11" s="22" t="s">
        <v>34</v>
      </c>
      <c r="M11" s="99" t="s">
        <v>35</v>
      </c>
      <c r="N11" s="100"/>
      <c r="O11" s="24"/>
      <c r="P11" s="25" t="s">
        <v>36</v>
      </c>
    </row>
    <row r="12" spans="1:17" s="27" customFormat="1" ht="90.6" customHeight="1">
      <c r="A12" s="26">
        <v>1</v>
      </c>
      <c r="B12" s="42" t="s">
        <v>37</v>
      </c>
      <c r="C12" s="43"/>
      <c r="D12" s="43"/>
      <c r="E12" s="29"/>
      <c r="F12" s="29"/>
      <c r="G12" s="29"/>
      <c r="H12" s="29" t="s">
        <v>38</v>
      </c>
      <c r="I12" s="30"/>
      <c r="J12" s="30">
        <v>2</v>
      </c>
      <c r="K12" s="35"/>
      <c r="L12" s="31" t="s">
        <v>39</v>
      </c>
      <c r="M12" s="37">
        <v>154000</v>
      </c>
      <c r="N12" s="37">
        <f>M12*8%</f>
        <v>12320</v>
      </c>
      <c r="O12" s="38">
        <v>12320</v>
      </c>
      <c r="P12" s="31">
        <f>(M12+O12)*J12</f>
        <v>332640</v>
      </c>
      <c r="Q12" s="36"/>
    </row>
    <row r="13" spans="1:17" s="27" customFormat="1" ht="90.6" customHeight="1">
      <c r="A13" s="28">
        <f>A12+1</f>
        <v>2</v>
      </c>
      <c r="B13" s="43" t="s">
        <v>40</v>
      </c>
      <c r="C13" s="43"/>
      <c r="D13" s="43"/>
      <c r="E13" s="29"/>
      <c r="F13" s="34"/>
      <c r="G13" s="34"/>
      <c r="H13" s="29" t="s">
        <v>41</v>
      </c>
      <c r="I13" s="30"/>
      <c r="J13" s="30">
        <v>2</v>
      </c>
      <c r="K13" s="35"/>
      <c r="L13" s="31" t="s">
        <v>39</v>
      </c>
      <c r="M13" s="39">
        <v>3100000</v>
      </c>
      <c r="N13" s="39">
        <v>3100000</v>
      </c>
      <c r="O13" s="32">
        <v>310000</v>
      </c>
      <c r="P13" s="31">
        <f>(M13+O13)*J13</f>
        <v>6820000</v>
      </c>
    </row>
    <row r="14" spans="1:17" s="27" customFormat="1" ht="90.6" customHeight="1">
      <c r="A14" s="28">
        <f>A13+1</f>
        <v>3</v>
      </c>
      <c r="B14" s="44" t="s">
        <v>42</v>
      </c>
      <c r="C14" s="44"/>
      <c r="D14" s="44"/>
      <c r="E14" s="29"/>
      <c r="F14" s="34"/>
      <c r="G14" s="34"/>
      <c r="H14" s="29" t="s">
        <v>41</v>
      </c>
      <c r="I14" s="30"/>
      <c r="J14" s="30">
        <v>2</v>
      </c>
      <c r="K14" s="35"/>
      <c r="L14" s="31" t="s">
        <v>39</v>
      </c>
      <c r="M14" s="39">
        <v>220000</v>
      </c>
      <c r="N14" s="39">
        <v>220000</v>
      </c>
      <c r="O14" s="32">
        <v>22000</v>
      </c>
      <c r="P14" s="31">
        <f>(M14+O14)*J14</f>
        <v>484000</v>
      </c>
    </row>
    <row r="15" spans="1:17" s="27" customFormat="1">
      <c r="A15" s="28">
        <f t="shared" ref="A15:A16" si="0">A14+1</f>
        <v>4</v>
      </c>
      <c r="B15" s="41"/>
      <c r="C15" s="41"/>
      <c r="D15" s="41"/>
      <c r="E15" s="29"/>
      <c r="F15" s="29"/>
      <c r="G15" s="29"/>
      <c r="H15" s="29"/>
      <c r="I15" s="30"/>
      <c r="J15" s="30"/>
      <c r="K15" s="35"/>
      <c r="L15" s="31"/>
      <c r="M15" s="40"/>
      <c r="N15" s="40"/>
      <c r="O15" s="32"/>
      <c r="P15" s="33"/>
    </row>
    <row r="16" spans="1:17" s="27" customFormat="1">
      <c r="A16" s="28">
        <f t="shared" si="0"/>
        <v>5</v>
      </c>
      <c r="B16" s="41"/>
      <c r="C16" s="41"/>
      <c r="D16" s="41"/>
      <c r="E16" s="29"/>
      <c r="F16" s="34"/>
      <c r="G16" s="34"/>
      <c r="H16" s="29"/>
      <c r="I16" s="30"/>
      <c r="J16" s="30"/>
      <c r="K16" s="35"/>
      <c r="L16" s="31"/>
      <c r="M16" s="40"/>
      <c r="N16" s="40"/>
      <c r="O16" s="32"/>
      <c r="P16" s="33"/>
    </row>
    <row r="17" spans="1:16" ht="32.25" customHeight="1">
      <c r="A17" s="53" t="s">
        <v>43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11" t="s">
        <v>44</v>
      </c>
      <c r="P17" s="12">
        <f>SUM(P12:P15)</f>
        <v>7636640</v>
      </c>
    </row>
    <row r="18" spans="1:16" ht="24.75" customHeight="1">
      <c r="A18" s="56"/>
      <c r="B18" s="57"/>
      <c r="C18" s="57"/>
      <c r="D18" s="57"/>
      <c r="E18" s="58"/>
      <c r="F18" s="58"/>
      <c r="G18" s="58"/>
      <c r="H18" s="58"/>
      <c r="I18" s="58"/>
      <c r="J18" s="58"/>
      <c r="K18" s="58"/>
      <c r="L18" s="58"/>
      <c r="M18" s="57"/>
      <c r="N18" s="59"/>
      <c r="O18" s="13"/>
      <c r="P18" s="13"/>
    </row>
    <row r="19" spans="1:16" ht="18" customHeight="1">
      <c r="M19" s="14"/>
      <c r="N19" s="14"/>
      <c r="O19" s="15"/>
      <c r="P19" s="15"/>
    </row>
    <row r="20" spans="1:16" ht="18" customHeight="1">
      <c r="B20" s="2" t="s">
        <v>45</v>
      </c>
      <c r="C20" s="16"/>
      <c r="D20" s="16"/>
      <c r="E20" s="16"/>
      <c r="F20" s="16"/>
      <c r="G20" s="16"/>
      <c r="H20" s="16"/>
      <c r="I20" s="17"/>
      <c r="J20" s="17"/>
      <c r="K20" s="17"/>
      <c r="L20" s="17"/>
      <c r="M20" s="18"/>
      <c r="N20" s="18"/>
      <c r="O20" s="19"/>
      <c r="P20" s="18"/>
    </row>
    <row r="21" spans="1:16" ht="18" customHeight="1">
      <c r="M21" s="20"/>
      <c r="N21" s="20"/>
      <c r="O21" s="21"/>
      <c r="P21" s="20"/>
    </row>
    <row r="22" spans="1:16" ht="18" customHeight="1"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  <c r="N22" s="18"/>
      <c r="O22" s="19"/>
      <c r="P22" s="18"/>
    </row>
    <row r="23" spans="1:16" ht="18" customHeight="1"/>
    <row r="24" spans="1:16" ht="15" customHeight="1">
      <c r="A24" s="46" t="s">
        <v>46</v>
      </c>
      <c r="B24" s="46"/>
      <c r="C24" s="47" t="s">
        <v>47</v>
      </c>
      <c r="D24" s="48"/>
      <c r="E24" s="49"/>
      <c r="F24" s="46" t="s">
        <v>48</v>
      </c>
      <c r="G24" s="46"/>
      <c r="H24" s="46"/>
      <c r="I24" s="45" t="s">
        <v>49</v>
      </c>
      <c r="J24" s="45"/>
      <c r="K24" s="45"/>
      <c r="L24" s="45"/>
      <c r="M24" s="45"/>
      <c r="N24" s="45"/>
      <c r="O24" s="45" t="s">
        <v>50</v>
      </c>
      <c r="P24" s="45"/>
    </row>
    <row r="25" spans="1:16" ht="15" customHeight="1">
      <c r="A25" s="60" t="s">
        <v>51</v>
      </c>
      <c r="B25" s="60"/>
      <c r="C25" s="50" t="s">
        <v>52</v>
      </c>
      <c r="D25" s="51"/>
      <c r="E25" s="52"/>
      <c r="F25" s="60" t="s">
        <v>53</v>
      </c>
      <c r="G25" s="60"/>
      <c r="H25" s="60"/>
      <c r="I25" s="76" t="s">
        <v>54</v>
      </c>
      <c r="J25" s="76"/>
      <c r="K25" s="76"/>
      <c r="L25" s="76"/>
      <c r="M25" s="76"/>
      <c r="N25" s="76"/>
      <c r="O25" s="76" t="s">
        <v>55</v>
      </c>
      <c r="P25" s="76"/>
    </row>
    <row r="26" spans="1:16" ht="18" customHeight="1">
      <c r="A26" s="85"/>
      <c r="B26" s="87"/>
      <c r="C26" s="88"/>
      <c r="D26" s="89"/>
      <c r="E26" s="90"/>
      <c r="F26" s="85"/>
      <c r="G26" s="86"/>
      <c r="H26" s="87"/>
      <c r="I26" s="61"/>
      <c r="J26" s="62"/>
      <c r="K26" s="62"/>
      <c r="L26" s="62"/>
      <c r="M26" s="62"/>
      <c r="N26" s="63"/>
      <c r="O26" s="70"/>
      <c r="P26" s="71"/>
    </row>
    <row r="27" spans="1:16" ht="18" customHeight="1">
      <c r="A27" s="85"/>
      <c r="B27" s="87"/>
      <c r="C27" s="85"/>
      <c r="D27" s="86"/>
      <c r="E27" s="87"/>
      <c r="F27" s="85"/>
      <c r="G27" s="86"/>
      <c r="H27" s="87"/>
      <c r="I27" s="64"/>
      <c r="J27" s="65"/>
      <c r="K27" s="65"/>
      <c r="L27" s="65"/>
      <c r="M27" s="65"/>
      <c r="N27" s="66"/>
      <c r="O27" s="72"/>
      <c r="P27" s="73"/>
    </row>
    <row r="28" spans="1:16" ht="18" customHeight="1">
      <c r="A28" s="85"/>
      <c r="B28" s="87"/>
      <c r="C28" s="85"/>
      <c r="D28" s="86"/>
      <c r="E28" s="87"/>
      <c r="F28" s="85"/>
      <c r="G28" s="86"/>
      <c r="H28" s="87"/>
      <c r="I28" s="64"/>
      <c r="J28" s="65"/>
      <c r="K28" s="65"/>
      <c r="L28" s="65"/>
      <c r="M28" s="65"/>
      <c r="N28" s="66"/>
      <c r="O28" s="72"/>
      <c r="P28" s="73"/>
    </row>
    <row r="29" spans="1:16" ht="18" customHeight="1">
      <c r="A29" s="85"/>
      <c r="B29" s="87"/>
      <c r="C29" s="85"/>
      <c r="D29" s="86"/>
      <c r="E29" s="87"/>
      <c r="F29" s="85"/>
      <c r="G29" s="86"/>
      <c r="H29" s="87"/>
      <c r="I29" s="64"/>
      <c r="J29" s="65"/>
      <c r="K29" s="65"/>
      <c r="L29" s="65"/>
      <c r="M29" s="65"/>
      <c r="N29" s="66"/>
      <c r="O29" s="72"/>
      <c r="P29" s="73"/>
    </row>
    <row r="30" spans="1:16" ht="18" customHeight="1">
      <c r="A30" s="85"/>
      <c r="B30" s="87"/>
      <c r="C30" s="85"/>
      <c r="D30" s="86"/>
      <c r="E30" s="87"/>
      <c r="F30" s="85"/>
      <c r="G30" s="86"/>
      <c r="H30" s="87"/>
      <c r="I30" s="64"/>
      <c r="J30" s="65"/>
      <c r="K30" s="65"/>
      <c r="L30" s="65"/>
      <c r="M30" s="65"/>
      <c r="N30" s="66"/>
      <c r="O30" s="72"/>
      <c r="P30" s="73"/>
    </row>
    <row r="31" spans="1:16" ht="18" customHeight="1">
      <c r="A31" s="85"/>
      <c r="B31" s="87"/>
      <c r="C31" s="91"/>
      <c r="D31" s="92"/>
      <c r="E31" s="93"/>
      <c r="F31" s="85"/>
      <c r="G31" s="86"/>
      <c r="H31" s="87"/>
      <c r="I31" s="67"/>
      <c r="J31" s="68"/>
      <c r="K31" s="68"/>
      <c r="L31" s="68"/>
      <c r="M31" s="68"/>
      <c r="N31" s="69"/>
      <c r="O31" s="74"/>
      <c r="P31" s="75"/>
    </row>
    <row r="32" spans="1:16" ht="27.75" customHeight="1">
      <c r="A32" s="77" t="s">
        <v>56</v>
      </c>
      <c r="B32" s="78"/>
      <c r="C32" s="77" t="s">
        <v>57</v>
      </c>
      <c r="D32" s="94"/>
      <c r="E32" s="95"/>
      <c r="F32" s="82" t="s">
        <v>58</v>
      </c>
      <c r="G32" s="83"/>
      <c r="H32" s="84"/>
      <c r="I32" s="79" t="s">
        <v>59</v>
      </c>
      <c r="J32" s="80"/>
      <c r="K32" s="80"/>
      <c r="L32" s="80"/>
      <c r="M32" s="80"/>
      <c r="N32" s="81"/>
      <c r="O32" s="79" t="s">
        <v>60</v>
      </c>
      <c r="P32" s="81"/>
    </row>
  </sheetData>
  <mergeCells count="52">
    <mergeCell ref="D1:P3"/>
    <mergeCell ref="A4:C4"/>
    <mergeCell ref="D4:M4"/>
    <mergeCell ref="N4:P4"/>
    <mergeCell ref="D5:M5"/>
    <mergeCell ref="N5:P5"/>
    <mergeCell ref="A9:A11"/>
    <mergeCell ref="I9:I10"/>
    <mergeCell ref="J9:J10"/>
    <mergeCell ref="K9:K10"/>
    <mergeCell ref="L9:L10"/>
    <mergeCell ref="H9:H10"/>
    <mergeCell ref="B9:D10"/>
    <mergeCell ref="B11:D11"/>
    <mergeCell ref="E9:E10"/>
    <mergeCell ref="F9:F10"/>
    <mergeCell ref="D6:M6"/>
    <mergeCell ref="N6:P6"/>
    <mergeCell ref="O7:P7"/>
    <mergeCell ref="M10:N10"/>
    <mergeCell ref="M11:N11"/>
    <mergeCell ref="M9:P9"/>
    <mergeCell ref="G9:G10"/>
    <mergeCell ref="I26:N31"/>
    <mergeCell ref="O26:P31"/>
    <mergeCell ref="I25:N25"/>
    <mergeCell ref="O25:P25"/>
    <mergeCell ref="A32:B32"/>
    <mergeCell ref="I32:N32"/>
    <mergeCell ref="O32:P32"/>
    <mergeCell ref="F32:H32"/>
    <mergeCell ref="F26:H31"/>
    <mergeCell ref="C26:E31"/>
    <mergeCell ref="C32:E32"/>
    <mergeCell ref="A26:B31"/>
    <mergeCell ref="O24:P24"/>
    <mergeCell ref="F24:H24"/>
    <mergeCell ref="C24:E24"/>
    <mergeCell ref="C25:E25"/>
    <mergeCell ref="A17:N17"/>
    <mergeCell ref="A18:N18"/>
    <mergeCell ref="A24:B24"/>
    <mergeCell ref="I24:N24"/>
    <mergeCell ref="F25:H25"/>
    <mergeCell ref="A25:B25"/>
    <mergeCell ref="M15:N15"/>
    <mergeCell ref="M16:N16"/>
    <mergeCell ref="B15:D15"/>
    <mergeCell ref="B12:D12"/>
    <mergeCell ref="B16:D16"/>
    <mergeCell ref="B14:D14"/>
    <mergeCell ref="B13:D13"/>
  </mergeCells>
  <phoneticPr fontId="17" type="noConversion"/>
  <pageMargins left="0.25" right="0.25" top="0.75" bottom="0.75" header="0.3" footer="0.3"/>
  <pageSetup paperSize="9" scale="53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47EBF53701AE4DB4131FC12CF7C60B" ma:contentTypeVersion="14" ma:contentTypeDescription="Create a new document." ma:contentTypeScope="" ma:versionID="d80aa012e75b88a4db722abfcfba7f57">
  <xsd:schema xmlns:xsd="http://www.w3.org/2001/XMLSchema" xmlns:xs="http://www.w3.org/2001/XMLSchema" xmlns:p="http://schemas.microsoft.com/office/2006/metadata/properties" xmlns:ns2="30244633-fe53-457c-bf4a-663379417716" xmlns:ns3="3398f5b3-d997-4a50-a652-14898b611e26" targetNamespace="http://schemas.microsoft.com/office/2006/metadata/properties" ma:root="true" ma:fieldsID="3971fb8ed75c69c40d6d28042865da38" ns2:_="" ns3:_="">
    <xsd:import namespace="30244633-fe53-457c-bf4a-663379417716"/>
    <xsd:import namespace="3398f5b3-d997-4a50-a652-14898b61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44633-fe53-457c-bf4a-663379417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8f5b3-d997-4a50-a652-14898b611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c6c3e78-916c-499e-bf1e-b4f14d2382af}" ma:internalName="TaxCatchAll" ma:showField="CatchAllData" ma:web="3398f5b3-d997-4a50-a652-14898b61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7AB45A-AF95-4236-8C50-7E752ED04AA3}"/>
</file>

<file path=customXml/itemProps2.xml><?xml version="1.0" encoding="utf-8"?>
<ds:datastoreItem xmlns:ds="http://schemas.openxmlformats.org/officeDocument/2006/customXml" ds:itemID="{882679FC-0A51-4A22-870C-500F26B333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Quoc Dat</cp:lastModifiedBy>
  <cp:revision/>
  <dcterms:created xsi:type="dcterms:W3CDTF">2006-09-16T00:00:00Z</dcterms:created>
  <dcterms:modified xsi:type="dcterms:W3CDTF">2023-12-06T07:22:40Z</dcterms:modified>
  <cp:category/>
  <cp:contentStatus/>
</cp:coreProperties>
</file>